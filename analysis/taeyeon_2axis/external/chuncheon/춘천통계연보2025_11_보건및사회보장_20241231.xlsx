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\2025 통계연보\2025 춘천통계연보\2025 춘천통계연보 자료(2024. 12. 31. 기준) 최종-수정진행\"/>
    </mc:Choice>
  </mc:AlternateContent>
  <xr:revisionPtr revIDLastSave="0" documentId="13_ncr:1_{681EA932-F94A-47BC-B9E5-CAF3121B95DB}" xr6:coauthVersionLast="36" xr6:coauthVersionMax="36" xr10:uidLastSave="{00000000-0000-0000-0000-000000000000}"/>
  <bookViews>
    <workbookView xWindow="0" yWindow="0" windowWidth="28800" windowHeight="12255" tabRatio="829" xr2:uid="{00000000-000D-0000-FFFF-FFFF00000000}"/>
  </bookViews>
  <sheets>
    <sheet name="01.의료기관" sheetId="98" r:id="rId1"/>
    <sheet name="02.의료기관종사의료인력" sheetId="99" r:id="rId2"/>
    <sheet name="03.보건소인력" sheetId="139" r:id="rId3"/>
    <sheet name="04.보건지소인력" sheetId="140" r:id="rId4"/>
    <sheet name="05.의약품제조판매" sheetId="102" r:id="rId5"/>
    <sheet name="06.식품위생업소" sheetId="103" r:id="rId6"/>
    <sheet name="07.공중위생업소" sheetId="104" r:id="rId7"/>
    <sheet name="08.예방접종" sheetId="105" r:id="rId8"/>
    <sheet name="9.법정감염병(1급)" sheetId="142" r:id="rId9"/>
    <sheet name="9-1.법정감염병(2급)" sheetId="143" r:id="rId10"/>
    <sheet name="9-2. 법정감염병(3~4급) (2)" sheetId="145" r:id="rId11"/>
    <sheet name="10.한센사업대상자현황" sheetId="106" r:id="rId12"/>
    <sheet name="11.결핵환자현황" sheetId="108" r:id="rId13"/>
    <sheet name="12.구강보건사업" sheetId="109" r:id="rId14"/>
    <sheet name="13.모자보건사업" sheetId="110" r:id="rId15"/>
    <sheet name="14.건강보험적용인구" sheetId="111" r:id="rId16"/>
    <sheet name="15.건강보험급여" sheetId="112" r:id="rId17"/>
    <sheet name="16.건강보험대상자진료실적" sheetId="113" r:id="rId18"/>
    <sheet name="17.국민연금가입자" sheetId="114" r:id="rId19"/>
    <sheet name="18.국민연금급여지급현황" sheetId="115" r:id="rId20"/>
    <sheet name="19.보훈대상자" sheetId="116" r:id="rId21"/>
    <sheet name="20.국가보훈대상자취업" sheetId="117" r:id="rId22"/>
    <sheet name="21.국가보훈대상자및자녀취학" sheetId="118" r:id="rId23"/>
    <sheet name="22.참전유공자등록현황" sheetId="119" r:id="rId24"/>
    <sheet name="23.적십자회비" sheetId="120" r:id="rId25"/>
    <sheet name="24.노인여가복지시설" sheetId="122" r:id="rId26"/>
    <sheet name="25.노인주거복지시설" sheetId="123" r:id="rId27"/>
    <sheet name="26.노인의료복지시설" sheetId="124" r:id="rId28"/>
    <sheet name="27.재가노인복지시설" sheetId="125" r:id="rId29"/>
    <sheet name="28.국민기초생활보장수급자" sheetId="126" r:id="rId30"/>
    <sheet name="29.기초연금수급자수" sheetId="127" r:id="rId31"/>
    <sheet name="30.여성복지시설" sheetId="128" r:id="rId32"/>
    <sheet name="31.여성폭력상담" sheetId="129" r:id="rId33"/>
    <sheet name="32.아동복지시설" sheetId="130" r:id="rId34"/>
    <sheet name="33.장애인 거주시설 수및 입소현황" sheetId="131" r:id="rId35"/>
    <sheet name="34.장애인등록" sheetId="132" r:id="rId36"/>
    <sheet name="35.노숙인 생활시설" sheetId="133" r:id="rId37"/>
    <sheet name="36.저소득한부모가족" sheetId="134" r:id="rId38"/>
    <sheet name="37.묘지및봉안시설" sheetId="141" r:id="rId39"/>
    <sheet name="38.어린이집" sheetId="137" r:id="rId40"/>
  </sheets>
  <externalReferences>
    <externalReference r:id="rId41"/>
    <externalReference r:id="rId42"/>
  </externalReferences>
  <definedNames>
    <definedName name="______32" localSheetId="0">#REF!</definedName>
    <definedName name="______32" localSheetId="1">#REF!</definedName>
    <definedName name="______32" localSheetId="2">#REF!</definedName>
    <definedName name="______32" localSheetId="3">#REF!</definedName>
    <definedName name="______32" localSheetId="4">#REF!</definedName>
    <definedName name="______32" localSheetId="5">#REF!</definedName>
    <definedName name="______32" localSheetId="6">#REF!</definedName>
    <definedName name="______32" localSheetId="7">#REF!</definedName>
    <definedName name="______32" localSheetId="11">#REF!</definedName>
    <definedName name="______32" localSheetId="12">#REF!</definedName>
    <definedName name="______32" localSheetId="13">#REF!</definedName>
    <definedName name="______32" localSheetId="14">#REF!</definedName>
    <definedName name="______32" localSheetId="15">#REF!</definedName>
    <definedName name="______32" localSheetId="16">#REF!</definedName>
    <definedName name="______32" localSheetId="17">#REF!</definedName>
    <definedName name="______32" localSheetId="18">#REF!</definedName>
    <definedName name="______32" localSheetId="19">#REF!</definedName>
    <definedName name="______32" localSheetId="20">#REF!</definedName>
    <definedName name="______32" localSheetId="21">#REF!</definedName>
    <definedName name="______32" localSheetId="22">#REF!</definedName>
    <definedName name="______32" localSheetId="23">#REF!</definedName>
    <definedName name="______32" localSheetId="24">#REF!</definedName>
    <definedName name="______32" localSheetId="25">#REF!</definedName>
    <definedName name="______32" localSheetId="26">#REF!</definedName>
    <definedName name="______32" localSheetId="27">#REF!</definedName>
    <definedName name="______32" localSheetId="28">#REF!</definedName>
    <definedName name="______32" localSheetId="29">#REF!</definedName>
    <definedName name="______32" localSheetId="30">#REF!</definedName>
    <definedName name="______32" localSheetId="31">#REF!</definedName>
    <definedName name="______32" localSheetId="32">#REF!</definedName>
    <definedName name="______32" localSheetId="33">#REF!</definedName>
    <definedName name="______32" localSheetId="34">#REF!</definedName>
    <definedName name="______32" localSheetId="35">#REF!</definedName>
    <definedName name="______32" localSheetId="36">#REF!</definedName>
    <definedName name="______32" localSheetId="37">#REF!</definedName>
    <definedName name="______32" localSheetId="38">#REF!</definedName>
    <definedName name="______32" localSheetId="39">#REF!</definedName>
    <definedName name="______32" localSheetId="8">#REF!</definedName>
    <definedName name="______32" localSheetId="9">#REF!</definedName>
    <definedName name="______32" localSheetId="10">#REF!</definedName>
    <definedName name="______32">#REF!</definedName>
    <definedName name="_____32" localSheetId="0">#REF!</definedName>
    <definedName name="_____32" localSheetId="1">#REF!</definedName>
    <definedName name="_____32" localSheetId="2">#REF!</definedName>
    <definedName name="_____32" localSheetId="3">#REF!</definedName>
    <definedName name="_____32" localSheetId="4">#REF!</definedName>
    <definedName name="_____32" localSheetId="5">#REF!</definedName>
    <definedName name="_____32" localSheetId="6">#REF!</definedName>
    <definedName name="_____32" localSheetId="7">#REF!</definedName>
    <definedName name="_____32" localSheetId="11">#REF!</definedName>
    <definedName name="_____32" localSheetId="12">#REF!</definedName>
    <definedName name="_____32" localSheetId="13">#REF!</definedName>
    <definedName name="_____32" localSheetId="14">#REF!</definedName>
    <definedName name="_____32" localSheetId="15">#REF!</definedName>
    <definedName name="_____32" localSheetId="16">#REF!</definedName>
    <definedName name="_____32" localSheetId="17">#REF!</definedName>
    <definedName name="_____32" localSheetId="18">#REF!</definedName>
    <definedName name="_____32" localSheetId="19">#REF!</definedName>
    <definedName name="_____32" localSheetId="20">#REF!</definedName>
    <definedName name="_____32" localSheetId="21">#REF!</definedName>
    <definedName name="_____32" localSheetId="22">#REF!</definedName>
    <definedName name="_____32" localSheetId="23">#REF!</definedName>
    <definedName name="_____32" localSheetId="24">#REF!</definedName>
    <definedName name="_____32" localSheetId="25">#REF!</definedName>
    <definedName name="_____32" localSheetId="26">#REF!</definedName>
    <definedName name="_____32" localSheetId="27">#REF!</definedName>
    <definedName name="_____32" localSheetId="28">#REF!</definedName>
    <definedName name="_____32" localSheetId="29">#REF!</definedName>
    <definedName name="_____32" localSheetId="30">#REF!</definedName>
    <definedName name="_____32" localSheetId="31">#REF!</definedName>
    <definedName name="_____32" localSheetId="32">#REF!</definedName>
    <definedName name="_____32" localSheetId="33">#REF!</definedName>
    <definedName name="_____32" localSheetId="34">#REF!</definedName>
    <definedName name="_____32" localSheetId="35">#REF!</definedName>
    <definedName name="_____32" localSheetId="36">#REF!</definedName>
    <definedName name="_____32" localSheetId="37">#REF!</definedName>
    <definedName name="_____32" localSheetId="38">#REF!</definedName>
    <definedName name="_____32" localSheetId="39">#REF!</definedName>
    <definedName name="_____32" localSheetId="8">#REF!</definedName>
    <definedName name="_____32" localSheetId="9">#REF!</definedName>
    <definedName name="_____32" localSheetId="10">#REF!</definedName>
    <definedName name="_____32">#REF!</definedName>
    <definedName name="____32" localSheetId="0">#REF!</definedName>
    <definedName name="____32" localSheetId="1">#REF!</definedName>
    <definedName name="____32" localSheetId="2">#REF!</definedName>
    <definedName name="____32" localSheetId="3">#REF!</definedName>
    <definedName name="____32" localSheetId="4">#REF!</definedName>
    <definedName name="____32" localSheetId="5">#REF!</definedName>
    <definedName name="____32" localSheetId="6">#REF!</definedName>
    <definedName name="____32" localSheetId="7">#REF!</definedName>
    <definedName name="____32" localSheetId="11">#REF!</definedName>
    <definedName name="____32" localSheetId="12">#REF!</definedName>
    <definedName name="____32" localSheetId="13">#REF!</definedName>
    <definedName name="____32" localSheetId="14">#REF!</definedName>
    <definedName name="____32" localSheetId="15">#REF!</definedName>
    <definedName name="____32" localSheetId="16">#REF!</definedName>
    <definedName name="____32" localSheetId="17">#REF!</definedName>
    <definedName name="____32" localSheetId="18">#REF!</definedName>
    <definedName name="____32" localSheetId="19">#REF!</definedName>
    <definedName name="____32" localSheetId="20">#REF!</definedName>
    <definedName name="____32" localSheetId="21">#REF!</definedName>
    <definedName name="____32" localSheetId="22">#REF!</definedName>
    <definedName name="____32" localSheetId="23">#REF!</definedName>
    <definedName name="____32" localSheetId="24">#REF!</definedName>
    <definedName name="____32" localSheetId="25">#REF!</definedName>
    <definedName name="____32" localSheetId="26">#REF!</definedName>
    <definedName name="____32" localSheetId="27">#REF!</definedName>
    <definedName name="____32" localSheetId="28">#REF!</definedName>
    <definedName name="____32" localSheetId="29">#REF!</definedName>
    <definedName name="____32" localSheetId="30">#REF!</definedName>
    <definedName name="____32" localSheetId="31">#REF!</definedName>
    <definedName name="____32" localSheetId="32">#REF!</definedName>
    <definedName name="____32" localSheetId="33">#REF!</definedName>
    <definedName name="____32" localSheetId="34">#REF!</definedName>
    <definedName name="____32" localSheetId="35">#REF!</definedName>
    <definedName name="____32" localSheetId="36">#REF!</definedName>
    <definedName name="____32" localSheetId="37">#REF!</definedName>
    <definedName name="____32" localSheetId="38">#REF!</definedName>
    <definedName name="____32" localSheetId="39">#REF!</definedName>
    <definedName name="____32" localSheetId="8">#REF!</definedName>
    <definedName name="____32" localSheetId="9">#REF!</definedName>
    <definedName name="____32" localSheetId="10">#REF!</definedName>
    <definedName name="____32">#REF!</definedName>
    <definedName name="___1_32" localSheetId="8">#REF!</definedName>
    <definedName name="___1_32" localSheetId="9">#REF!</definedName>
    <definedName name="___1_32" localSheetId="10">#REF!</definedName>
    <definedName name="___1_32">#REF!</definedName>
    <definedName name="___32" localSheetId="0">#REF!</definedName>
    <definedName name="___32" localSheetId="1">#REF!</definedName>
    <definedName name="___32" localSheetId="2">#REF!</definedName>
    <definedName name="___32" localSheetId="3">#REF!</definedName>
    <definedName name="___32" localSheetId="4">#REF!</definedName>
    <definedName name="___32" localSheetId="5">#REF!</definedName>
    <definedName name="___32" localSheetId="6">#REF!</definedName>
    <definedName name="___32" localSheetId="7">#REF!</definedName>
    <definedName name="___32" localSheetId="11">#REF!</definedName>
    <definedName name="___32" localSheetId="12">#REF!</definedName>
    <definedName name="___32" localSheetId="13">#REF!</definedName>
    <definedName name="___32" localSheetId="14">#REF!</definedName>
    <definedName name="___32" localSheetId="15">#REF!</definedName>
    <definedName name="___32" localSheetId="16">#REF!</definedName>
    <definedName name="___32" localSheetId="17">#REF!</definedName>
    <definedName name="___32" localSheetId="18">#REF!</definedName>
    <definedName name="___32" localSheetId="19">#REF!</definedName>
    <definedName name="___32" localSheetId="20">#REF!</definedName>
    <definedName name="___32" localSheetId="21">#REF!</definedName>
    <definedName name="___32" localSheetId="22">#REF!</definedName>
    <definedName name="___32" localSheetId="23">#REF!</definedName>
    <definedName name="___32" localSheetId="24">#REF!</definedName>
    <definedName name="___32" localSheetId="25">#REF!</definedName>
    <definedName name="___32" localSheetId="26">#REF!</definedName>
    <definedName name="___32" localSheetId="27">#REF!</definedName>
    <definedName name="___32" localSheetId="28">#REF!</definedName>
    <definedName name="___32" localSheetId="29">#REF!</definedName>
    <definedName name="___32" localSheetId="30">#REF!</definedName>
    <definedName name="___32" localSheetId="31">#REF!</definedName>
    <definedName name="___32" localSheetId="32">#REF!</definedName>
    <definedName name="___32" localSheetId="33">#REF!</definedName>
    <definedName name="___32" localSheetId="34">#REF!</definedName>
    <definedName name="___32" localSheetId="35">#REF!</definedName>
    <definedName name="___32" localSheetId="36">#REF!</definedName>
    <definedName name="___32" localSheetId="37">#REF!</definedName>
    <definedName name="___32" localSheetId="38">#REF!</definedName>
    <definedName name="___32" localSheetId="39">#REF!</definedName>
    <definedName name="___32" localSheetId="8">#REF!</definedName>
    <definedName name="___32" localSheetId="9">#REF!</definedName>
    <definedName name="___32" localSheetId="10">#REF!</definedName>
    <definedName name="___32">#REF!</definedName>
    <definedName name="__1_32" localSheetId="0">#REF!</definedName>
    <definedName name="__1_32" localSheetId="1">#REF!</definedName>
    <definedName name="__1_32" localSheetId="2">#REF!</definedName>
    <definedName name="__1_32" localSheetId="3">#REF!</definedName>
    <definedName name="__1_32" localSheetId="4">#REF!</definedName>
    <definedName name="__1_32" localSheetId="5">#REF!</definedName>
    <definedName name="__1_32" localSheetId="6">#REF!</definedName>
    <definedName name="__1_32" localSheetId="7">#REF!</definedName>
    <definedName name="__1_32" localSheetId="11">#REF!</definedName>
    <definedName name="__1_32" localSheetId="12">#REF!</definedName>
    <definedName name="__1_32" localSheetId="13">#REF!</definedName>
    <definedName name="__1_32" localSheetId="14">#REF!</definedName>
    <definedName name="__1_32" localSheetId="15">#REF!</definedName>
    <definedName name="__1_32" localSheetId="16">#REF!</definedName>
    <definedName name="__1_32" localSheetId="17">#REF!</definedName>
    <definedName name="__1_32" localSheetId="18">#REF!</definedName>
    <definedName name="__1_32" localSheetId="19">#REF!</definedName>
    <definedName name="__1_32" localSheetId="20">#REF!</definedName>
    <definedName name="__1_32" localSheetId="21">#REF!</definedName>
    <definedName name="__1_32" localSheetId="22">#REF!</definedName>
    <definedName name="__1_32" localSheetId="23">#REF!</definedName>
    <definedName name="__1_32" localSheetId="24">#REF!</definedName>
    <definedName name="__1_32" localSheetId="25">#REF!</definedName>
    <definedName name="__1_32" localSheetId="26">#REF!</definedName>
    <definedName name="__1_32" localSheetId="27">#REF!</definedName>
    <definedName name="__1_32" localSheetId="28">#REF!</definedName>
    <definedName name="__1_32" localSheetId="29">#REF!</definedName>
    <definedName name="__1_32" localSheetId="30">#REF!</definedName>
    <definedName name="__1_32" localSheetId="31">#REF!</definedName>
    <definedName name="__1_32" localSheetId="32">#REF!</definedName>
    <definedName name="__1_32" localSheetId="33">#REF!</definedName>
    <definedName name="__1_32" localSheetId="34">#REF!</definedName>
    <definedName name="__1_32" localSheetId="35">#REF!</definedName>
    <definedName name="__1_32" localSheetId="36">#REF!</definedName>
    <definedName name="__1_32" localSheetId="37">#REF!</definedName>
    <definedName name="__1_32" localSheetId="38">#REF!</definedName>
    <definedName name="__1_32" localSheetId="39">#REF!</definedName>
    <definedName name="__1_32" localSheetId="8">#REF!</definedName>
    <definedName name="__1_32" localSheetId="9">#REF!</definedName>
    <definedName name="__1_32" localSheetId="10">#REF!</definedName>
    <definedName name="__1_32">#REF!</definedName>
    <definedName name="__32" localSheetId="0">#REF!</definedName>
    <definedName name="__32" localSheetId="1">#REF!</definedName>
    <definedName name="__32" localSheetId="2">#REF!</definedName>
    <definedName name="__32" localSheetId="3">#REF!</definedName>
    <definedName name="__32" localSheetId="4">#REF!</definedName>
    <definedName name="__32" localSheetId="5">#REF!</definedName>
    <definedName name="__32" localSheetId="6">#REF!</definedName>
    <definedName name="__32" localSheetId="7">#REF!</definedName>
    <definedName name="__32" localSheetId="11">#REF!</definedName>
    <definedName name="__32" localSheetId="12">#REF!</definedName>
    <definedName name="__32" localSheetId="13">#REF!</definedName>
    <definedName name="__32" localSheetId="14">#REF!</definedName>
    <definedName name="__32" localSheetId="15">#REF!</definedName>
    <definedName name="__32" localSheetId="16">#REF!</definedName>
    <definedName name="__32" localSheetId="17">#REF!</definedName>
    <definedName name="__32" localSheetId="18">#REF!</definedName>
    <definedName name="__32" localSheetId="19">#REF!</definedName>
    <definedName name="__32" localSheetId="20">#REF!</definedName>
    <definedName name="__32" localSheetId="21">#REF!</definedName>
    <definedName name="__32" localSheetId="22">#REF!</definedName>
    <definedName name="__32" localSheetId="23">#REF!</definedName>
    <definedName name="__32" localSheetId="24">#REF!</definedName>
    <definedName name="__32" localSheetId="25">#REF!</definedName>
    <definedName name="__32" localSheetId="26">#REF!</definedName>
    <definedName name="__32" localSheetId="27">#REF!</definedName>
    <definedName name="__32" localSheetId="28">#REF!</definedName>
    <definedName name="__32" localSheetId="29">#REF!</definedName>
    <definedName name="__32" localSheetId="30">#REF!</definedName>
    <definedName name="__32" localSheetId="31">#REF!</definedName>
    <definedName name="__32" localSheetId="32">#REF!</definedName>
    <definedName name="__32" localSheetId="33">#REF!</definedName>
    <definedName name="__32" localSheetId="34">#REF!</definedName>
    <definedName name="__32" localSheetId="35">#REF!</definedName>
    <definedName name="__32" localSheetId="36">#REF!</definedName>
    <definedName name="__32" localSheetId="37">#REF!</definedName>
    <definedName name="__32" localSheetId="38">#REF!</definedName>
    <definedName name="__32" localSheetId="39">#REF!</definedName>
    <definedName name="__32" localSheetId="8">#REF!</definedName>
    <definedName name="__32" localSheetId="9">#REF!</definedName>
    <definedName name="__32" localSheetId="10">#REF!</definedName>
    <definedName name="__32">#REF!</definedName>
    <definedName name="_1_32" localSheetId="0">#REF!</definedName>
    <definedName name="_1_32" localSheetId="1">#REF!</definedName>
    <definedName name="_1_32" localSheetId="2">#REF!</definedName>
    <definedName name="_1_32" localSheetId="3">#REF!</definedName>
    <definedName name="_1_32" localSheetId="4">#REF!</definedName>
    <definedName name="_1_32" localSheetId="5">#REF!</definedName>
    <definedName name="_1_32" localSheetId="6">#REF!</definedName>
    <definedName name="_1_32" localSheetId="7">#REF!</definedName>
    <definedName name="_1_32" localSheetId="11">#REF!</definedName>
    <definedName name="_1_32" localSheetId="12">#REF!</definedName>
    <definedName name="_1_32" localSheetId="13">#REF!</definedName>
    <definedName name="_1_32" localSheetId="14">#REF!</definedName>
    <definedName name="_1_32" localSheetId="15">#REF!</definedName>
    <definedName name="_1_32" localSheetId="16">#REF!</definedName>
    <definedName name="_1_32" localSheetId="17">#REF!</definedName>
    <definedName name="_1_32" localSheetId="18">#REF!</definedName>
    <definedName name="_1_32" localSheetId="19">#REF!</definedName>
    <definedName name="_1_32" localSheetId="20">#REF!</definedName>
    <definedName name="_1_32" localSheetId="21">#REF!</definedName>
    <definedName name="_1_32" localSheetId="22">#REF!</definedName>
    <definedName name="_1_32" localSheetId="23">#REF!</definedName>
    <definedName name="_1_32" localSheetId="24">#REF!</definedName>
    <definedName name="_1_32" localSheetId="25">#REF!</definedName>
    <definedName name="_1_32" localSheetId="26">#REF!</definedName>
    <definedName name="_1_32" localSheetId="27">#REF!</definedName>
    <definedName name="_1_32" localSheetId="28">#REF!</definedName>
    <definedName name="_1_32" localSheetId="29">#REF!</definedName>
    <definedName name="_1_32" localSheetId="30">#REF!</definedName>
    <definedName name="_1_32" localSheetId="31">#REF!</definedName>
    <definedName name="_1_32" localSheetId="32">#REF!</definedName>
    <definedName name="_1_32" localSheetId="33">#REF!</definedName>
    <definedName name="_1_32" localSheetId="34">#REF!</definedName>
    <definedName name="_1_32" localSheetId="35">#REF!</definedName>
    <definedName name="_1_32" localSheetId="36">#REF!</definedName>
    <definedName name="_1_32" localSheetId="37">#REF!</definedName>
    <definedName name="_1_32" localSheetId="38">#REF!</definedName>
    <definedName name="_1_32" localSheetId="39">#REF!</definedName>
    <definedName name="_1_32" localSheetId="8">#REF!</definedName>
    <definedName name="_1_32" localSheetId="9">#REF!</definedName>
    <definedName name="_1_32" localSheetId="10">#REF!</definedName>
    <definedName name="_1_32">#REF!</definedName>
    <definedName name="_1_33" localSheetId="0">#REF!</definedName>
    <definedName name="_1_33" localSheetId="1">#REF!</definedName>
    <definedName name="_1_33" localSheetId="2">#REF!</definedName>
    <definedName name="_1_33" localSheetId="3">#REF!</definedName>
    <definedName name="_1_33" localSheetId="4">#REF!</definedName>
    <definedName name="_1_33" localSheetId="5">#REF!</definedName>
    <definedName name="_1_33" localSheetId="6">#REF!</definedName>
    <definedName name="_1_33" localSheetId="7">#REF!</definedName>
    <definedName name="_1_33" localSheetId="11">#REF!</definedName>
    <definedName name="_1_33" localSheetId="12">#REF!</definedName>
    <definedName name="_1_33" localSheetId="13">#REF!</definedName>
    <definedName name="_1_33" localSheetId="14">#REF!</definedName>
    <definedName name="_1_33" localSheetId="15">#REF!</definedName>
    <definedName name="_1_33" localSheetId="16">#REF!</definedName>
    <definedName name="_1_33" localSheetId="17">#REF!</definedName>
    <definedName name="_1_33" localSheetId="18">#REF!</definedName>
    <definedName name="_1_33" localSheetId="19">#REF!</definedName>
    <definedName name="_1_33" localSheetId="20">#REF!</definedName>
    <definedName name="_1_33" localSheetId="21">#REF!</definedName>
    <definedName name="_1_33" localSheetId="22">#REF!</definedName>
    <definedName name="_1_33" localSheetId="23">#REF!</definedName>
    <definedName name="_1_33" localSheetId="24">#REF!</definedName>
    <definedName name="_1_33" localSheetId="25">#REF!</definedName>
    <definedName name="_1_33" localSheetId="26">#REF!</definedName>
    <definedName name="_1_33" localSheetId="27">#REF!</definedName>
    <definedName name="_1_33" localSheetId="28">#REF!</definedName>
    <definedName name="_1_33" localSheetId="29">#REF!</definedName>
    <definedName name="_1_33" localSheetId="30">#REF!</definedName>
    <definedName name="_1_33" localSheetId="31">#REF!</definedName>
    <definedName name="_1_33" localSheetId="32">#REF!</definedName>
    <definedName name="_1_33" localSheetId="33">#REF!</definedName>
    <definedName name="_1_33" localSheetId="34">#REF!</definedName>
    <definedName name="_1_33" localSheetId="35">#REF!</definedName>
    <definedName name="_1_33" localSheetId="36">#REF!</definedName>
    <definedName name="_1_33" localSheetId="37">#REF!</definedName>
    <definedName name="_1_33" localSheetId="38">#REF!</definedName>
    <definedName name="_1_33" localSheetId="39">#REF!</definedName>
    <definedName name="_1_33" localSheetId="8">#REF!</definedName>
    <definedName name="_1_33" localSheetId="9">#REF!</definedName>
    <definedName name="_1_33" localSheetId="10">#REF!</definedName>
    <definedName name="_1_33">#REF!</definedName>
    <definedName name="_3_32" localSheetId="0">#REF!</definedName>
    <definedName name="_3_32" localSheetId="1">#REF!</definedName>
    <definedName name="_3_32" localSheetId="2">#REF!</definedName>
    <definedName name="_3_32" localSheetId="3">#REF!</definedName>
    <definedName name="_3_32" localSheetId="4">#REF!</definedName>
    <definedName name="_3_32" localSheetId="5">#REF!</definedName>
    <definedName name="_3_32" localSheetId="6">#REF!</definedName>
    <definedName name="_3_32" localSheetId="7">#REF!</definedName>
    <definedName name="_3_32" localSheetId="11">#REF!</definedName>
    <definedName name="_3_32" localSheetId="12">#REF!</definedName>
    <definedName name="_3_32" localSheetId="13">#REF!</definedName>
    <definedName name="_3_32" localSheetId="14">#REF!</definedName>
    <definedName name="_3_32" localSheetId="15">#REF!</definedName>
    <definedName name="_3_32" localSheetId="16">#REF!</definedName>
    <definedName name="_3_32" localSheetId="17">#REF!</definedName>
    <definedName name="_3_32" localSheetId="18">#REF!</definedName>
    <definedName name="_3_32" localSheetId="19">#REF!</definedName>
    <definedName name="_3_32" localSheetId="20">#REF!</definedName>
    <definedName name="_3_32" localSheetId="21">#REF!</definedName>
    <definedName name="_3_32" localSheetId="22">#REF!</definedName>
    <definedName name="_3_32" localSheetId="23">#REF!</definedName>
    <definedName name="_3_32" localSheetId="24">#REF!</definedName>
    <definedName name="_3_32" localSheetId="25">#REF!</definedName>
    <definedName name="_3_32" localSheetId="26">#REF!</definedName>
    <definedName name="_3_32" localSheetId="27">#REF!</definedName>
    <definedName name="_3_32" localSheetId="28">#REF!</definedName>
    <definedName name="_3_32" localSheetId="29">#REF!</definedName>
    <definedName name="_3_32" localSheetId="30">#REF!</definedName>
    <definedName name="_3_32" localSheetId="31">#REF!</definedName>
    <definedName name="_3_32" localSheetId="32">#REF!</definedName>
    <definedName name="_3_32" localSheetId="33">#REF!</definedName>
    <definedName name="_3_32" localSheetId="34">#REF!</definedName>
    <definedName name="_3_32" localSheetId="35">#REF!</definedName>
    <definedName name="_3_32" localSheetId="36">#REF!</definedName>
    <definedName name="_3_32" localSheetId="37">#REF!</definedName>
    <definedName name="_3_32" localSheetId="38">#REF!</definedName>
    <definedName name="_3_32" localSheetId="39">#REF!</definedName>
    <definedName name="_3_32" localSheetId="8">#REF!</definedName>
    <definedName name="_3_32" localSheetId="9">#REF!</definedName>
    <definedName name="_3_32" localSheetId="10">#REF!</definedName>
    <definedName name="_3_32">#REF!</definedName>
    <definedName name="_32" localSheetId="0">#REF!</definedName>
    <definedName name="_32" localSheetId="1">#REF!</definedName>
    <definedName name="_32" localSheetId="2">#REF!</definedName>
    <definedName name="_32" localSheetId="3">#REF!</definedName>
    <definedName name="_32" localSheetId="4">#REF!</definedName>
    <definedName name="_32" localSheetId="5">#REF!</definedName>
    <definedName name="_32" localSheetId="6">#REF!</definedName>
    <definedName name="_32" localSheetId="7">#REF!</definedName>
    <definedName name="_32" localSheetId="11">#REF!</definedName>
    <definedName name="_32" localSheetId="12">#REF!</definedName>
    <definedName name="_32" localSheetId="13">#REF!</definedName>
    <definedName name="_32" localSheetId="14">#REF!</definedName>
    <definedName name="_32" localSheetId="15">#REF!</definedName>
    <definedName name="_32" localSheetId="16">#REF!</definedName>
    <definedName name="_32" localSheetId="17">#REF!</definedName>
    <definedName name="_32" localSheetId="18">#REF!</definedName>
    <definedName name="_32" localSheetId="19">#REF!</definedName>
    <definedName name="_32" localSheetId="20">#REF!</definedName>
    <definedName name="_32" localSheetId="21">#REF!</definedName>
    <definedName name="_32" localSheetId="22">#REF!</definedName>
    <definedName name="_32" localSheetId="23">#REF!</definedName>
    <definedName name="_32" localSheetId="24">#REF!</definedName>
    <definedName name="_32" localSheetId="25">#REF!</definedName>
    <definedName name="_32" localSheetId="26">#REF!</definedName>
    <definedName name="_32" localSheetId="27">#REF!</definedName>
    <definedName name="_32" localSheetId="28">#REF!</definedName>
    <definedName name="_32" localSheetId="29">#REF!</definedName>
    <definedName name="_32" localSheetId="30">#REF!</definedName>
    <definedName name="_32" localSheetId="31">#REF!</definedName>
    <definedName name="_32" localSheetId="32">#REF!</definedName>
    <definedName name="_32" localSheetId="33">#REF!</definedName>
    <definedName name="_32" localSheetId="34">#REF!</definedName>
    <definedName name="_32" localSheetId="35">#REF!</definedName>
    <definedName name="_32" localSheetId="36">#REF!</definedName>
    <definedName name="_32" localSheetId="37">#REF!</definedName>
    <definedName name="_32" localSheetId="38">#REF!</definedName>
    <definedName name="_32" localSheetId="39">#REF!</definedName>
    <definedName name="_32" localSheetId="8">#REF!</definedName>
    <definedName name="_32" localSheetId="9">#REF!</definedName>
    <definedName name="_32" localSheetId="10">#REF!</definedName>
    <definedName name="_32">#REF!</definedName>
    <definedName name="_33" localSheetId="0">#REF!</definedName>
    <definedName name="_33" localSheetId="1">#REF!</definedName>
    <definedName name="_33" localSheetId="2">#REF!</definedName>
    <definedName name="_33" localSheetId="3">#REF!</definedName>
    <definedName name="_33" localSheetId="4">#REF!</definedName>
    <definedName name="_33" localSheetId="5">#REF!</definedName>
    <definedName name="_33" localSheetId="6">#REF!</definedName>
    <definedName name="_33" localSheetId="7">#REF!</definedName>
    <definedName name="_33" localSheetId="11">#REF!</definedName>
    <definedName name="_33" localSheetId="12">#REF!</definedName>
    <definedName name="_33" localSheetId="13">#REF!</definedName>
    <definedName name="_33" localSheetId="14">#REF!</definedName>
    <definedName name="_33" localSheetId="15">#REF!</definedName>
    <definedName name="_33" localSheetId="16">#REF!</definedName>
    <definedName name="_33" localSheetId="17">#REF!</definedName>
    <definedName name="_33" localSheetId="18">#REF!</definedName>
    <definedName name="_33" localSheetId="19">#REF!</definedName>
    <definedName name="_33" localSheetId="20">#REF!</definedName>
    <definedName name="_33" localSheetId="21">#REF!</definedName>
    <definedName name="_33" localSheetId="22">#REF!</definedName>
    <definedName name="_33" localSheetId="23">#REF!</definedName>
    <definedName name="_33" localSheetId="24">#REF!</definedName>
    <definedName name="_33" localSheetId="25">#REF!</definedName>
    <definedName name="_33" localSheetId="26">#REF!</definedName>
    <definedName name="_33" localSheetId="27">#REF!</definedName>
    <definedName name="_33" localSheetId="28">#REF!</definedName>
    <definedName name="_33" localSheetId="29">#REF!</definedName>
    <definedName name="_33" localSheetId="30">#REF!</definedName>
    <definedName name="_33" localSheetId="31">#REF!</definedName>
    <definedName name="_33" localSheetId="32">#REF!</definedName>
    <definedName name="_33" localSheetId="33">#REF!</definedName>
    <definedName name="_33" localSheetId="34">#REF!</definedName>
    <definedName name="_33" localSheetId="35">#REF!</definedName>
    <definedName name="_33" localSheetId="36">#REF!</definedName>
    <definedName name="_33" localSheetId="37">#REF!</definedName>
    <definedName name="_33" localSheetId="38">#REF!</definedName>
    <definedName name="_33" localSheetId="39">#REF!</definedName>
    <definedName name="_33" localSheetId="8">#REF!</definedName>
    <definedName name="_33" localSheetId="9">#REF!</definedName>
    <definedName name="_33" localSheetId="10">#REF!</definedName>
    <definedName name="_33">#REF!</definedName>
    <definedName name="_6_32" localSheetId="0">#REF!</definedName>
    <definedName name="_6_32" localSheetId="1">#REF!</definedName>
    <definedName name="_6_32" localSheetId="2">#REF!</definedName>
    <definedName name="_6_32" localSheetId="3">#REF!</definedName>
    <definedName name="_6_32" localSheetId="4">#REF!</definedName>
    <definedName name="_6_32" localSheetId="5">#REF!</definedName>
    <definedName name="_6_32" localSheetId="6">#REF!</definedName>
    <definedName name="_6_32" localSheetId="7">#REF!</definedName>
    <definedName name="_6_32" localSheetId="11">#REF!</definedName>
    <definedName name="_6_32" localSheetId="12">#REF!</definedName>
    <definedName name="_6_32" localSheetId="13">#REF!</definedName>
    <definedName name="_6_32" localSheetId="14">#REF!</definedName>
    <definedName name="_6_32" localSheetId="15">#REF!</definedName>
    <definedName name="_6_32" localSheetId="16">#REF!</definedName>
    <definedName name="_6_32" localSheetId="17">#REF!</definedName>
    <definedName name="_6_32" localSheetId="18">#REF!</definedName>
    <definedName name="_6_32" localSheetId="19">#REF!</definedName>
    <definedName name="_6_32" localSheetId="20">#REF!</definedName>
    <definedName name="_6_32" localSheetId="21">#REF!</definedName>
    <definedName name="_6_32" localSheetId="22">#REF!</definedName>
    <definedName name="_6_32" localSheetId="23">#REF!</definedName>
    <definedName name="_6_32" localSheetId="24">#REF!</definedName>
    <definedName name="_6_32" localSheetId="25">#REF!</definedName>
    <definedName name="_6_32" localSheetId="26">#REF!</definedName>
    <definedName name="_6_32" localSheetId="27">#REF!</definedName>
    <definedName name="_6_32" localSheetId="28">#REF!</definedName>
    <definedName name="_6_32" localSheetId="29">#REF!</definedName>
    <definedName name="_6_32" localSheetId="30">#REF!</definedName>
    <definedName name="_6_32" localSheetId="31">#REF!</definedName>
    <definedName name="_6_32" localSheetId="32">#REF!</definedName>
    <definedName name="_6_32" localSheetId="33">#REF!</definedName>
    <definedName name="_6_32" localSheetId="34">#REF!</definedName>
    <definedName name="_6_32" localSheetId="35">#REF!</definedName>
    <definedName name="_6_32" localSheetId="36">#REF!</definedName>
    <definedName name="_6_32" localSheetId="37">#REF!</definedName>
    <definedName name="_6_32" localSheetId="38">#REF!</definedName>
    <definedName name="_6_32" localSheetId="39">#REF!</definedName>
    <definedName name="_6_32" localSheetId="8">#REF!</definedName>
    <definedName name="_6_32" localSheetId="9">#REF!</definedName>
    <definedName name="_6_32" localSheetId="10">#REF!</definedName>
    <definedName name="_6_32">#REF!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23">#REF!</definedName>
    <definedName name="a" localSheetId="24">#REF!</definedName>
    <definedName name="a" localSheetId="25">#REF!</definedName>
    <definedName name="a" localSheetId="26">#REF!</definedName>
    <definedName name="a" localSheetId="27">#REF!</definedName>
    <definedName name="a" localSheetId="28">#REF!</definedName>
    <definedName name="a" localSheetId="29">#REF!</definedName>
    <definedName name="a" localSheetId="30">#REF!</definedName>
    <definedName name="a" localSheetId="31">#REF!</definedName>
    <definedName name="a" localSheetId="32">#REF!</definedName>
    <definedName name="a" localSheetId="33">#REF!</definedName>
    <definedName name="a" localSheetId="34">#REF!</definedName>
    <definedName name="a" localSheetId="35">#REF!</definedName>
    <definedName name="a" localSheetId="36">#REF!</definedName>
    <definedName name="a" localSheetId="37">#REF!</definedName>
    <definedName name="a" localSheetId="38">#REF!</definedName>
    <definedName name="a" localSheetId="39">#REF!</definedName>
    <definedName name="a" localSheetId="8">#REF!</definedName>
    <definedName name="a" localSheetId="9">#REF!</definedName>
    <definedName name="a" localSheetId="10">#REF!</definedName>
    <definedName name="a">#REF!</definedName>
    <definedName name="aaa" localSheetId="0">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 localSheetId="5">#REF!</definedName>
    <definedName name="aaa" localSheetId="6">#REF!</definedName>
    <definedName name="aaa" localSheetId="7">#REF!</definedName>
    <definedName name="aaa" localSheetId="11">#REF!</definedName>
    <definedName name="aaa" localSheetId="12">#REF!</definedName>
    <definedName name="aaa" localSheetId="13">#REF!</definedName>
    <definedName name="aaa" localSheetId="14">#REF!</definedName>
    <definedName name="aaa" localSheetId="15">#REF!</definedName>
    <definedName name="aaa" localSheetId="16">#REF!</definedName>
    <definedName name="aaa" localSheetId="17">#REF!</definedName>
    <definedName name="aaa" localSheetId="18">#REF!</definedName>
    <definedName name="aaa" localSheetId="19">#REF!</definedName>
    <definedName name="aaa" localSheetId="20">#REF!</definedName>
    <definedName name="aaa" localSheetId="21">#REF!</definedName>
    <definedName name="aaa" localSheetId="22">#REF!</definedName>
    <definedName name="aaa" localSheetId="23">#REF!</definedName>
    <definedName name="aaa" localSheetId="24">#REF!</definedName>
    <definedName name="aaa" localSheetId="25">#REF!</definedName>
    <definedName name="aaa" localSheetId="26">#REF!</definedName>
    <definedName name="aaa" localSheetId="27">#REF!</definedName>
    <definedName name="aaa" localSheetId="28">#REF!</definedName>
    <definedName name="aaa" localSheetId="29">#REF!</definedName>
    <definedName name="aaa" localSheetId="30">#REF!</definedName>
    <definedName name="aaa" localSheetId="31">#REF!</definedName>
    <definedName name="aaa" localSheetId="32">#REF!</definedName>
    <definedName name="aaa" localSheetId="33">#REF!</definedName>
    <definedName name="aaa" localSheetId="34">#REF!</definedName>
    <definedName name="aaa" localSheetId="35">#REF!</definedName>
    <definedName name="aaa" localSheetId="36">#REF!</definedName>
    <definedName name="aaa" localSheetId="37">#REF!</definedName>
    <definedName name="aaa" localSheetId="38">#REF!</definedName>
    <definedName name="aaa" localSheetId="39">#REF!</definedName>
    <definedName name="aaa" localSheetId="8">#REF!</definedName>
    <definedName name="aaa" localSheetId="9">#REF!</definedName>
    <definedName name="aaa" localSheetId="10">#REF!</definedName>
    <definedName name="aaa">#REF!</definedName>
    <definedName name="ad" localSheetId="0">#REF!</definedName>
    <definedName name="ad" localSheetId="1">#REF!</definedName>
    <definedName name="ad" localSheetId="2">#REF!</definedName>
    <definedName name="ad" localSheetId="3">#REF!</definedName>
    <definedName name="ad" localSheetId="4">#REF!</definedName>
    <definedName name="ad" localSheetId="5">#REF!</definedName>
    <definedName name="ad" localSheetId="6">#REF!</definedName>
    <definedName name="ad" localSheetId="7">#REF!</definedName>
    <definedName name="ad" localSheetId="11">#REF!</definedName>
    <definedName name="ad" localSheetId="12">#REF!</definedName>
    <definedName name="ad" localSheetId="13">#REF!</definedName>
    <definedName name="ad" localSheetId="14">#REF!</definedName>
    <definedName name="ad" localSheetId="15">#REF!</definedName>
    <definedName name="ad" localSheetId="16">#REF!</definedName>
    <definedName name="ad" localSheetId="17">#REF!</definedName>
    <definedName name="ad" localSheetId="18">#REF!</definedName>
    <definedName name="ad" localSheetId="19">#REF!</definedName>
    <definedName name="ad" localSheetId="20">#REF!</definedName>
    <definedName name="ad" localSheetId="21">#REF!</definedName>
    <definedName name="ad" localSheetId="22">#REF!</definedName>
    <definedName name="ad" localSheetId="23">#REF!</definedName>
    <definedName name="ad" localSheetId="24">#REF!</definedName>
    <definedName name="ad" localSheetId="25">#REF!</definedName>
    <definedName name="ad" localSheetId="26">#REF!</definedName>
    <definedName name="ad" localSheetId="27">#REF!</definedName>
    <definedName name="ad" localSheetId="28">#REF!</definedName>
    <definedName name="ad" localSheetId="29">#REF!</definedName>
    <definedName name="ad" localSheetId="30">#REF!</definedName>
    <definedName name="ad" localSheetId="31">#REF!</definedName>
    <definedName name="ad" localSheetId="32">#REF!</definedName>
    <definedName name="ad" localSheetId="33">#REF!</definedName>
    <definedName name="ad" localSheetId="34">#REF!</definedName>
    <definedName name="ad" localSheetId="35">#REF!</definedName>
    <definedName name="ad" localSheetId="36">#REF!</definedName>
    <definedName name="ad" localSheetId="37">#REF!</definedName>
    <definedName name="ad" localSheetId="38">#REF!</definedName>
    <definedName name="ad" localSheetId="39">#REF!</definedName>
    <definedName name="ad" localSheetId="8">#REF!</definedName>
    <definedName name="ad" localSheetId="9">#REF!</definedName>
    <definedName name="ad" localSheetId="10">#REF!</definedName>
    <definedName name="ad">#REF!</definedName>
    <definedName name="as" localSheetId="0">#REF!</definedName>
    <definedName name="as" localSheetId="1">#REF!</definedName>
    <definedName name="as" localSheetId="2">#REF!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11">#REF!</definedName>
    <definedName name="as" localSheetId="12">#REF!</definedName>
    <definedName name="as" localSheetId="13">#REF!</definedName>
    <definedName name="as" localSheetId="14">#REF!</definedName>
    <definedName name="as" localSheetId="15">#REF!</definedName>
    <definedName name="as" localSheetId="16">#REF!</definedName>
    <definedName name="as" localSheetId="17">#REF!</definedName>
    <definedName name="as" localSheetId="18">#REF!</definedName>
    <definedName name="as" localSheetId="19">#REF!</definedName>
    <definedName name="as" localSheetId="20">#REF!</definedName>
    <definedName name="as" localSheetId="21">#REF!</definedName>
    <definedName name="as" localSheetId="22">#REF!</definedName>
    <definedName name="as" localSheetId="23">#REF!</definedName>
    <definedName name="as" localSheetId="24">#REF!</definedName>
    <definedName name="as" localSheetId="25">#REF!</definedName>
    <definedName name="as" localSheetId="26">#REF!</definedName>
    <definedName name="as" localSheetId="27">#REF!</definedName>
    <definedName name="as" localSheetId="28">#REF!</definedName>
    <definedName name="as" localSheetId="29">#REF!</definedName>
    <definedName name="as" localSheetId="30">#REF!</definedName>
    <definedName name="as" localSheetId="31">#REF!</definedName>
    <definedName name="as" localSheetId="32">#REF!</definedName>
    <definedName name="as" localSheetId="33">#REF!</definedName>
    <definedName name="as" localSheetId="34">#REF!</definedName>
    <definedName name="as" localSheetId="35">#REF!</definedName>
    <definedName name="as" localSheetId="36">#REF!</definedName>
    <definedName name="as" localSheetId="37">#REF!</definedName>
    <definedName name="as" localSheetId="38">#REF!</definedName>
    <definedName name="as" localSheetId="39">#REF!</definedName>
    <definedName name="as" localSheetId="8">#REF!</definedName>
    <definedName name="as" localSheetId="9">#REF!</definedName>
    <definedName name="as" localSheetId="10">#REF!</definedName>
    <definedName name="as">#REF!</definedName>
    <definedName name="_xlnm.Consolidate_Area" localSheetId="8">#REF!</definedName>
    <definedName name="_xlnm.Consolidate_Area" localSheetId="9">#REF!</definedName>
    <definedName name="_xlnm.Consolidate_Area" localSheetId="10">#REF!</definedName>
    <definedName name="_xlnm.Consolidate_Area">#REF!</definedName>
    <definedName name="CopyRange" localSheetId="0">#REF!</definedName>
    <definedName name="CopyRange" localSheetId="1">#REF!</definedName>
    <definedName name="CopyRange" localSheetId="2">#REF!</definedName>
    <definedName name="CopyRange" localSheetId="3">#REF!</definedName>
    <definedName name="CopyRange" localSheetId="4">#REF!</definedName>
    <definedName name="CopyRange" localSheetId="5">#REF!</definedName>
    <definedName name="CopyRange" localSheetId="6">#REF!</definedName>
    <definedName name="CopyRange" localSheetId="7">#REF!</definedName>
    <definedName name="CopyRange" localSheetId="11">#REF!</definedName>
    <definedName name="CopyRange" localSheetId="12">#REF!</definedName>
    <definedName name="CopyRange" localSheetId="13">#REF!</definedName>
    <definedName name="CopyRange" localSheetId="14">#REF!</definedName>
    <definedName name="CopyRange" localSheetId="15">#REF!</definedName>
    <definedName name="CopyRange" localSheetId="16">#REF!</definedName>
    <definedName name="CopyRange" localSheetId="17">#REF!</definedName>
    <definedName name="CopyRange" localSheetId="18">#REF!</definedName>
    <definedName name="CopyRange" localSheetId="19">#REF!</definedName>
    <definedName name="CopyRange" localSheetId="20">#REF!</definedName>
    <definedName name="CopyRange" localSheetId="21">#REF!</definedName>
    <definedName name="CopyRange" localSheetId="22">#REF!</definedName>
    <definedName name="CopyRange" localSheetId="23">#REF!</definedName>
    <definedName name="CopyRange" localSheetId="24">#REF!</definedName>
    <definedName name="CopyRange" localSheetId="25">#REF!</definedName>
    <definedName name="CopyRange" localSheetId="26">#REF!</definedName>
    <definedName name="CopyRange" localSheetId="27">#REF!</definedName>
    <definedName name="CopyRange" localSheetId="28">#REF!</definedName>
    <definedName name="CopyRange" localSheetId="29">#REF!</definedName>
    <definedName name="CopyRange" localSheetId="30">#REF!</definedName>
    <definedName name="CopyRange" localSheetId="31">#REF!</definedName>
    <definedName name="CopyRange" localSheetId="32">#REF!</definedName>
    <definedName name="CopyRange" localSheetId="33">#REF!</definedName>
    <definedName name="CopyRange" localSheetId="34">#REF!</definedName>
    <definedName name="CopyRange" localSheetId="35">#REF!</definedName>
    <definedName name="CopyRange" localSheetId="36">#REF!</definedName>
    <definedName name="CopyRange" localSheetId="37">#REF!</definedName>
    <definedName name="CopyRange" localSheetId="38">#REF!</definedName>
    <definedName name="CopyRange" localSheetId="39">#REF!</definedName>
    <definedName name="CopyRange" localSheetId="8">#REF!</definedName>
    <definedName name="CopyRange" localSheetId="9">#REF!</definedName>
    <definedName name="CopyRange" localSheetId="10">#REF!</definedName>
    <definedName name="CopyRange">#REF!</definedName>
    <definedName name="dd" localSheetId="8">#REF!</definedName>
    <definedName name="dd" localSheetId="9">#REF!</definedName>
    <definedName name="dd" localSheetId="10">#REF!</definedName>
    <definedName name="dd">#REF!</definedName>
    <definedName name="dnfkwlf" localSheetId="0">#REF!</definedName>
    <definedName name="dnfkwlf" localSheetId="1">#REF!</definedName>
    <definedName name="dnfkwlf" localSheetId="2">#REF!</definedName>
    <definedName name="dnfkwlf" localSheetId="3">#REF!</definedName>
    <definedName name="dnfkwlf" localSheetId="4">#REF!</definedName>
    <definedName name="dnfkwlf" localSheetId="5">#REF!</definedName>
    <definedName name="dnfkwlf" localSheetId="6">#REF!</definedName>
    <definedName name="dnfkwlf" localSheetId="7">#REF!</definedName>
    <definedName name="dnfkwlf" localSheetId="11">#REF!</definedName>
    <definedName name="dnfkwlf" localSheetId="12">#REF!</definedName>
    <definedName name="dnfkwlf" localSheetId="13">#REF!</definedName>
    <definedName name="dnfkwlf" localSheetId="14">#REF!</definedName>
    <definedName name="dnfkwlf" localSheetId="15">#REF!</definedName>
    <definedName name="dnfkwlf" localSheetId="16">#REF!</definedName>
    <definedName name="dnfkwlf" localSheetId="17">#REF!</definedName>
    <definedName name="dnfkwlf" localSheetId="18">#REF!</definedName>
    <definedName name="dnfkwlf" localSheetId="19">#REF!</definedName>
    <definedName name="dnfkwlf" localSheetId="20">#REF!</definedName>
    <definedName name="dnfkwlf" localSheetId="21">#REF!</definedName>
    <definedName name="dnfkwlf" localSheetId="22">#REF!</definedName>
    <definedName name="dnfkwlf" localSheetId="23">#REF!</definedName>
    <definedName name="dnfkwlf" localSheetId="24">#REF!</definedName>
    <definedName name="dnfkwlf" localSheetId="25">#REF!</definedName>
    <definedName name="dnfkwlf" localSheetId="26">#REF!</definedName>
    <definedName name="dnfkwlf" localSheetId="27">#REF!</definedName>
    <definedName name="dnfkwlf" localSheetId="28">#REF!</definedName>
    <definedName name="dnfkwlf" localSheetId="29">#REF!</definedName>
    <definedName name="dnfkwlf" localSheetId="30">#REF!</definedName>
    <definedName name="dnfkwlf" localSheetId="31">#REF!</definedName>
    <definedName name="dnfkwlf" localSheetId="32">#REF!</definedName>
    <definedName name="dnfkwlf" localSheetId="33">#REF!</definedName>
    <definedName name="dnfkwlf" localSheetId="34">#REF!</definedName>
    <definedName name="dnfkwlf" localSheetId="35">#REF!</definedName>
    <definedName name="dnfkwlf" localSheetId="36">#REF!</definedName>
    <definedName name="dnfkwlf" localSheetId="37">#REF!</definedName>
    <definedName name="dnfkwlf" localSheetId="38">#REF!</definedName>
    <definedName name="dnfkwlf" localSheetId="39">#REF!</definedName>
    <definedName name="dnfkwlf" localSheetId="8">#REF!</definedName>
    <definedName name="dnfkwlf" localSheetId="9">#REF!</definedName>
    <definedName name="dnfkwlf" localSheetId="10">#REF!</definedName>
    <definedName name="dnfkwlf">#REF!</definedName>
    <definedName name="Document_array" localSheetId="10">{"Book1"}</definedName>
    <definedName name="Document_array">{"Book1"}</definedName>
    <definedName name="FileName" localSheetId="0">#REF!</definedName>
    <definedName name="FileName" localSheetId="1">#REF!</definedName>
    <definedName name="FileName" localSheetId="2">#REF!</definedName>
    <definedName name="FileName" localSheetId="3">#REF!</definedName>
    <definedName name="FileName" localSheetId="4">#REF!</definedName>
    <definedName name="FileName" localSheetId="5">#REF!</definedName>
    <definedName name="FileName" localSheetId="6">#REF!</definedName>
    <definedName name="FileName" localSheetId="7">#REF!</definedName>
    <definedName name="FileName" localSheetId="11">#REF!</definedName>
    <definedName name="FileName" localSheetId="12">#REF!</definedName>
    <definedName name="FileName" localSheetId="13">#REF!</definedName>
    <definedName name="FileName" localSheetId="14">#REF!</definedName>
    <definedName name="FileName" localSheetId="15">#REF!</definedName>
    <definedName name="FileName" localSheetId="16">#REF!</definedName>
    <definedName name="FileName" localSheetId="17">#REF!</definedName>
    <definedName name="FileName" localSheetId="18">#REF!</definedName>
    <definedName name="FileName" localSheetId="19">#REF!</definedName>
    <definedName name="FileName" localSheetId="20">#REF!</definedName>
    <definedName name="FileName" localSheetId="21">#REF!</definedName>
    <definedName name="FileName" localSheetId="22">#REF!</definedName>
    <definedName name="FileName" localSheetId="23">#REF!</definedName>
    <definedName name="FileName" localSheetId="24">#REF!</definedName>
    <definedName name="FileName" localSheetId="25">#REF!</definedName>
    <definedName name="FileName" localSheetId="26">#REF!</definedName>
    <definedName name="FileName" localSheetId="27">#REF!</definedName>
    <definedName name="FileName" localSheetId="28">#REF!</definedName>
    <definedName name="FileName" localSheetId="29">#REF!</definedName>
    <definedName name="FileName" localSheetId="30">#REF!</definedName>
    <definedName name="FileName" localSheetId="31">#REF!</definedName>
    <definedName name="FileName" localSheetId="32">#REF!</definedName>
    <definedName name="FileName" localSheetId="33">#REF!</definedName>
    <definedName name="FileName" localSheetId="34">#REF!</definedName>
    <definedName name="FileName" localSheetId="35">#REF!</definedName>
    <definedName name="FileName" localSheetId="36">#REF!</definedName>
    <definedName name="FileName" localSheetId="37">#REF!</definedName>
    <definedName name="FileName" localSheetId="38">#REF!</definedName>
    <definedName name="FileName" localSheetId="39">#REF!</definedName>
    <definedName name="FileName" localSheetId="8">#REF!</definedName>
    <definedName name="FileName" localSheetId="9">#REF!</definedName>
    <definedName name="FileName" localSheetId="10">#REF!</definedName>
    <definedName name="FileName">#REF!</definedName>
    <definedName name="Hidden_Range" localSheetId="0">#REF!</definedName>
    <definedName name="Hidden_Range" localSheetId="1">#REF!</definedName>
    <definedName name="Hidden_Range" localSheetId="2">#REF!</definedName>
    <definedName name="Hidden_Range" localSheetId="3">#REF!</definedName>
    <definedName name="Hidden_Range" localSheetId="4">#REF!</definedName>
    <definedName name="Hidden_Range" localSheetId="5">#REF!</definedName>
    <definedName name="Hidden_Range" localSheetId="6">#REF!</definedName>
    <definedName name="Hidden_Range" localSheetId="7">#REF!</definedName>
    <definedName name="Hidden_Range" localSheetId="11">#REF!</definedName>
    <definedName name="Hidden_Range" localSheetId="12">#REF!</definedName>
    <definedName name="Hidden_Range" localSheetId="13">#REF!</definedName>
    <definedName name="Hidden_Range" localSheetId="14">#REF!</definedName>
    <definedName name="Hidden_Range" localSheetId="15">#REF!</definedName>
    <definedName name="Hidden_Range" localSheetId="16">#REF!</definedName>
    <definedName name="Hidden_Range" localSheetId="17">#REF!</definedName>
    <definedName name="Hidden_Range" localSheetId="18">#REF!</definedName>
    <definedName name="Hidden_Range" localSheetId="19">#REF!</definedName>
    <definedName name="Hidden_Range" localSheetId="20">#REF!</definedName>
    <definedName name="Hidden_Range" localSheetId="21">#REF!</definedName>
    <definedName name="Hidden_Range" localSheetId="22">#REF!</definedName>
    <definedName name="Hidden_Range" localSheetId="23">#REF!</definedName>
    <definedName name="Hidden_Range" localSheetId="24">#REF!</definedName>
    <definedName name="Hidden_Range" localSheetId="25">#REF!</definedName>
    <definedName name="Hidden_Range" localSheetId="26">#REF!</definedName>
    <definedName name="Hidden_Range" localSheetId="27">#REF!</definedName>
    <definedName name="Hidden_Range" localSheetId="28">#REF!</definedName>
    <definedName name="Hidden_Range" localSheetId="29">#REF!</definedName>
    <definedName name="Hidden_Range" localSheetId="30">#REF!</definedName>
    <definedName name="Hidden_Range" localSheetId="31">#REF!</definedName>
    <definedName name="Hidden_Range" localSheetId="32">#REF!</definedName>
    <definedName name="Hidden_Range" localSheetId="33">#REF!</definedName>
    <definedName name="Hidden_Range" localSheetId="34">#REF!</definedName>
    <definedName name="Hidden_Range" localSheetId="35">#REF!</definedName>
    <definedName name="Hidden_Range" localSheetId="36">#REF!</definedName>
    <definedName name="Hidden_Range" localSheetId="37">#REF!</definedName>
    <definedName name="Hidden_Range" localSheetId="38">#REF!</definedName>
    <definedName name="Hidden_Range" localSheetId="39">#REF!</definedName>
    <definedName name="Hidden_Range" localSheetId="8">#REF!</definedName>
    <definedName name="Hidden_Range" localSheetId="9">#REF!</definedName>
    <definedName name="Hidden_Range" localSheetId="10">#REF!</definedName>
    <definedName name="Hidden_Range">#REF!</definedName>
    <definedName name="HTML_CodePage" hidden="1">949</definedName>
    <definedName name="HTML_Control" localSheetId="10" hidden="1">{"'6.강수량'!$A$1:$O$37","'6.강수량'!$A$1:$C$1"}</definedName>
    <definedName name="HTML_Control" hidden="1">{"'6.강수량'!$A$1:$O$37","'6.강수량'!$A$1:$C$1"}</definedName>
    <definedName name="HTML_Description" hidden="1">""</definedName>
    <definedName name="HTML_Email" hidden="1">""</definedName>
    <definedName name="HTML_Header" hidden="1">"6.강수량"</definedName>
    <definedName name="HTML_LastUpdate" hidden="1">"2002-01-04"</definedName>
    <definedName name="HTML_LineAfter" hidden="1">FALSE</definedName>
    <definedName name="HTML_LineBefore" hidden="1">FALSE</definedName>
    <definedName name="HTML_Name" hidden="1">"홍사훈"</definedName>
    <definedName name="HTML_OBDlg2" hidden="1">TRUE</definedName>
    <definedName name="HTML_OBDlg4" hidden="1">TRUE</definedName>
    <definedName name="HTML_OS" hidden="1">0</definedName>
    <definedName name="HTML_PathFile" hidden="1">"C:\홍 사 훈\++통계연보\제41회 통계연보\MyHTML.htm"</definedName>
    <definedName name="HTML_Title" hidden="1">"+02"</definedName>
    <definedName name="IP" localSheetId="0">#REF!</definedName>
    <definedName name="IP" localSheetId="1">#REF!</definedName>
    <definedName name="IP" localSheetId="2">#REF!</definedName>
    <definedName name="IP" localSheetId="3">#REF!</definedName>
    <definedName name="IP" localSheetId="4">#REF!</definedName>
    <definedName name="IP" localSheetId="5">#REF!</definedName>
    <definedName name="IP" localSheetId="6">#REF!</definedName>
    <definedName name="IP" localSheetId="7">#REF!</definedName>
    <definedName name="IP" localSheetId="11">#REF!</definedName>
    <definedName name="IP" localSheetId="12">#REF!</definedName>
    <definedName name="IP" localSheetId="13">#REF!</definedName>
    <definedName name="IP" localSheetId="14">#REF!</definedName>
    <definedName name="IP" localSheetId="15">#REF!</definedName>
    <definedName name="IP" localSheetId="16">#REF!</definedName>
    <definedName name="IP" localSheetId="17">#REF!</definedName>
    <definedName name="IP" localSheetId="18">#REF!</definedName>
    <definedName name="IP" localSheetId="19">#REF!</definedName>
    <definedName name="IP" localSheetId="20">#REF!</definedName>
    <definedName name="IP" localSheetId="21">#REF!</definedName>
    <definedName name="IP" localSheetId="22">#REF!</definedName>
    <definedName name="IP" localSheetId="23">#REF!</definedName>
    <definedName name="IP" localSheetId="24">#REF!</definedName>
    <definedName name="IP" localSheetId="25">#REF!</definedName>
    <definedName name="IP" localSheetId="26">#REF!</definedName>
    <definedName name="IP" localSheetId="27">#REF!</definedName>
    <definedName name="IP" localSheetId="28">#REF!</definedName>
    <definedName name="IP" localSheetId="29">#REF!</definedName>
    <definedName name="IP" localSheetId="30">#REF!</definedName>
    <definedName name="IP" localSheetId="31">#REF!</definedName>
    <definedName name="IP" localSheetId="32">#REF!</definedName>
    <definedName name="IP" localSheetId="33">#REF!</definedName>
    <definedName name="IP" localSheetId="34">#REF!</definedName>
    <definedName name="IP" localSheetId="35">#REF!</definedName>
    <definedName name="IP" localSheetId="36">#REF!</definedName>
    <definedName name="IP" localSheetId="37">#REF!</definedName>
    <definedName name="IP" localSheetId="38">#REF!</definedName>
    <definedName name="IP" localSheetId="39">#REF!</definedName>
    <definedName name="IP" localSheetId="8">#REF!</definedName>
    <definedName name="IP" localSheetId="9">#REF!</definedName>
    <definedName name="IP" localSheetId="10">#REF!</definedName>
    <definedName name="IP">#REF!</definedName>
    <definedName name="k" localSheetId="8">#REF!</definedName>
    <definedName name="k" localSheetId="9">#REF!</definedName>
    <definedName name="k" localSheetId="10">#REF!</definedName>
    <definedName name="k">#REF!</definedName>
    <definedName name="PasteRange" localSheetId="0">#REF!</definedName>
    <definedName name="PasteRange" localSheetId="1">#REF!</definedName>
    <definedName name="PasteRange" localSheetId="2">#REF!</definedName>
    <definedName name="PasteRange" localSheetId="3">#REF!</definedName>
    <definedName name="PasteRange" localSheetId="4">#REF!</definedName>
    <definedName name="PasteRange" localSheetId="5">#REF!</definedName>
    <definedName name="PasteRange" localSheetId="6">#REF!</definedName>
    <definedName name="PasteRange" localSheetId="7">#REF!</definedName>
    <definedName name="PasteRange" localSheetId="11">#REF!</definedName>
    <definedName name="PasteRange" localSheetId="12">#REF!</definedName>
    <definedName name="PasteRange" localSheetId="13">#REF!</definedName>
    <definedName name="PasteRange" localSheetId="14">#REF!</definedName>
    <definedName name="PasteRange" localSheetId="15">#REF!</definedName>
    <definedName name="PasteRange" localSheetId="16">#REF!</definedName>
    <definedName name="PasteRange" localSheetId="17">#REF!</definedName>
    <definedName name="PasteRange" localSheetId="18">#REF!</definedName>
    <definedName name="PasteRange" localSheetId="19">#REF!</definedName>
    <definedName name="PasteRange" localSheetId="20">#REF!</definedName>
    <definedName name="PasteRange" localSheetId="21">#REF!</definedName>
    <definedName name="PasteRange" localSheetId="22">#REF!</definedName>
    <definedName name="PasteRange" localSheetId="23">#REF!</definedName>
    <definedName name="PasteRange" localSheetId="24">#REF!</definedName>
    <definedName name="PasteRange" localSheetId="25">#REF!</definedName>
    <definedName name="PasteRange" localSheetId="26">#REF!</definedName>
    <definedName name="PasteRange" localSheetId="27">#REF!</definedName>
    <definedName name="PasteRange" localSheetId="28">#REF!</definedName>
    <definedName name="PasteRange" localSheetId="29">#REF!</definedName>
    <definedName name="PasteRange" localSheetId="30">#REF!</definedName>
    <definedName name="PasteRange" localSheetId="31">#REF!</definedName>
    <definedName name="PasteRange" localSheetId="32">#REF!</definedName>
    <definedName name="PasteRange" localSheetId="33">#REF!</definedName>
    <definedName name="PasteRange" localSheetId="34">#REF!</definedName>
    <definedName name="PasteRange" localSheetId="35">#REF!</definedName>
    <definedName name="PasteRange" localSheetId="36">#REF!</definedName>
    <definedName name="PasteRange" localSheetId="37">#REF!</definedName>
    <definedName name="PasteRange" localSheetId="38">#REF!</definedName>
    <definedName name="PasteRange" localSheetId="39">#REF!</definedName>
    <definedName name="PasteRange" localSheetId="8">#REF!</definedName>
    <definedName name="PasteRange" localSheetId="9">#REF!</definedName>
    <definedName name="PasteRange" localSheetId="10">#REF!</definedName>
    <definedName name="PasteRange">#REF!</definedName>
    <definedName name="_xlnm.Print_Area" localSheetId="0">'01.의료기관'!$A$1:$AB$45</definedName>
    <definedName name="_xlnm.Print_Area" localSheetId="2">'03.보건소인력'!$A$1:$Y$18</definedName>
    <definedName name="_xlnm.Print_Area" localSheetId="3">'04.보건지소인력'!$A$1:$W$20</definedName>
    <definedName name="_xlnm.Print_Area" localSheetId="4">'05.의약품제조판매'!$A$1:$Q$16</definedName>
    <definedName name="_xlnm.Print_Area" localSheetId="5">'06.식품위생업소'!$A$1:$V$44</definedName>
    <definedName name="_xlnm.Print_Area" localSheetId="6">'07.공중위생업소'!$A$1:$J$41</definedName>
    <definedName name="_xlnm.Print_Area" localSheetId="7">'08.예방접종'!$A$1:$K$16</definedName>
    <definedName name="_xlnm.Print_Area" localSheetId="12">'11.결핵환자현황'!$A$1:$AI$28</definedName>
    <definedName name="_xlnm.Print_Area" localSheetId="13">'12.구강보건사업'!$A$1:$E$19</definedName>
    <definedName name="_xlnm.Print_Area" localSheetId="14">'13.모자보건사업'!$A$1:$C$16</definedName>
    <definedName name="_xlnm.Print_Area" localSheetId="15">'14.건강보험적용인구'!$A$1:$Q$20</definedName>
    <definedName name="_xlnm.Print_Area" localSheetId="16">'15.건강보험급여'!$A$2:$G$22</definedName>
    <definedName name="_xlnm.Print_Area" localSheetId="18">'17.국민연금가입자'!$A$1:$I$20</definedName>
    <definedName name="_xlnm.Print_Area" localSheetId="19">'18.국민연금급여지급현황'!$A$1:$W$21</definedName>
    <definedName name="_xlnm.Print_Area" localSheetId="20">'19.보훈대상자'!$A$1:$AC$22</definedName>
    <definedName name="_xlnm.Print_Area" localSheetId="24">'23.적십자회비'!$A$1:$O$18</definedName>
    <definedName name="_xlnm.Print_Area" localSheetId="25">'24.노인여가복지시설'!$A$1:$H$42</definedName>
    <definedName name="_xlnm.Print_Area" localSheetId="29">'28.국민기초생활보장수급자'!$A$1:$Q$21</definedName>
    <definedName name="_xlnm.Print_Area" localSheetId="30">'29.기초연금수급자수'!$A$1:$J$43</definedName>
    <definedName name="_xlnm.Print_Area" localSheetId="31">'30.여성복지시설'!$A$1:$AS$24</definedName>
    <definedName name="_xlnm.Print_Area" localSheetId="34">'33.장애인 거주시설 수및 입소현황'!$A$1:$Y$21</definedName>
    <definedName name="_xlnm.Print_Area" localSheetId="35">'34.장애인등록'!$A$1:$U$44</definedName>
    <definedName name="_xlnm.Print_Area" localSheetId="36">'35.노숙인 생활시설'!$A$1:$U$18</definedName>
    <definedName name="_xlnm.Print_Area" localSheetId="37">'36.저소득한부모가족'!$A$1:$I$20</definedName>
    <definedName name="_xlnm.Print_Area" localSheetId="38">'37.묘지및봉안시설'!$A$1:$AH$23</definedName>
    <definedName name="_xlnm.Print_Area" localSheetId="8">'9.법정감염병(1급)'!$A$1:$AO$21</definedName>
    <definedName name="_xlnm.Print_Area" localSheetId="9">'9-1.법정감염병(2급)'!$A$1:$AY$20</definedName>
    <definedName name="_xlnm.Print_Area" localSheetId="10">'9-2. 법정감염병(3~4급) (2)'!$A$1:$BM$20</definedName>
    <definedName name="Print_Time" localSheetId="0">#REF!</definedName>
    <definedName name="Print_Time" localSheetId="1">#REF!</definedName>
    <definedName name="Print_Time" localSheetId="2">#REF!</definedName>
    <definedName name="Print_Time" localSheetId="3">#REF!</definedName>
    <definedName name="Print_Time" localSheetId="4">#REF!</definedName>
    <definedName name="Print_Time" localSheetId="5">#REF!</definedName>
    <definedName name="Print_Time" localSheetId="6">#REF!</definedName>
    <definedName name="Print_Time" localSheetId="7">#REF!</definedName>
    <definedName name="Print_Time" localSheetId="11">#REF!</definedName>
    <definedName name="Print_Time" localSheetId="12">#REF!</definedName>
    <definedName name="Print_Time" localSheetId="13">#REF!</definedName>
    <definedName name="Print_Time" localSheetId="14">#REF!</definedName>
    <definedName name="Print_Time" localSheetId="15">#REF!</definedName>
    <definedName name="Print_Time" localSheetId="16">#REF!</definedName>
    <definedName name="Print_Time" localSheetId="17">#REF!</definedName>
    <definedName name="Print_Time" localSheetId="18">#REF!</definedName>
    <definedName name="Print_Time" localSheetId="19">#REF!</definedName>
    <definedName name="Print_Time" localSheetId="20">#REF!</definedName>
    <definedName name="Print_Time" localSheetId="21">#REF!</definedName>
    <definedName name="Print_Time" localSheetId="22">#REF!</definedName>
    <definedName name="Print_Time" localSheetId="23">#REF!</definedName>
    <definedName name="Print_Time" localSheetId="24">#REF!</definedName>
    <definedName name="Print_Time" localSheetId="25">#REF!</definedName>
    <definedName name="Print_Time" localSheetId="26">#REF!</definedName>
    <definedName name="Print_Time" localSheetId="27">#REF!</definedName>
    <definedName name="Print_Time" localSheetId="28">#REF!</definedName>
    <definedName name="Print_Time" localSheetId="29">#REF!</definedName>
    <definedName name="Print_Time" localSheetId="30">#REF!</definedName>
    <definedName name="Print_Time" localSheetId="31">#REF!</definedName>
    <definedName name="Print_Time" localSheetId="32">#REF!</definedName>
    <definedName name="Print_Time" localSheetId="33">#REF!</definedName>
    <definedName name="Print_Time" localSheetId="34">#REF!</definedName>
    <definedName name="Print_Time" localSheetId="35">#REF!</definedName>
    <definedName name="Print_Time" localSheetId="36">#REF!</definedName>
    <definedName name="Print_Time" localSheetId="37">#REF!</definedName>
    <definedName name="Print_Time" localSheetId="38">#REF!</definedName>
    <definedName name="Print_Time" localSheetId="39">#REF!</definedName>
    <definedName name="Print_Time" localSheetId="8">#REF!</definedName>
    <definedName name="Print_Time" localSheetId="9">#REF!</definedName>
    <definedName name="Print_Time" localSheetId="10">#REF!</definedName>
    <definedName name="Print_Time">#REF!</definedName>
    <definedName name="PrintYN" localSheetId="0">#REF!</definedName>
    <definedName name="PrintYN" localSheetId="1">#REF!</definedName>
    <definedName name="PrintYN" localSheetId="2">#REF!</definedName>
    <definedName name="PrintYN" localSheetId="3">#REF!</definedName>
    <definedName name="PrintYN" localSheetId="4">#REF!</definedName>
    <definedName name="PrintYN" localSheetId="5">#REF!</definedName>
    <definedName name="PrintYN" localSheetId="6">#REF!</definedName>
    <definedName name="PrintYN" localSheetId="7">#REF!</definedName>
    <definedName name="PrintYN" localSheetId="11">#REF!</definedName>
    <definedName name="PrintYN" localSheetId="12">#REF!</definedName>
    <definedName name="PrintYN" localSheetId="13">#REF!</definedName>
    <definedName name="PrintYN" localSheetId="14">#REF!</definedName>
    <definedName name="PrintYN" localSheetId="15">#REF!</definedName>
    <definedName name="PrintYN" localSheetId="16">#REF!</definedName>
    <definedName name="PrintYN" localSheetId="17">#REF!</definedName>
    <definedName name="PrintYN" localSheetId="18">#REF!</definedName>
    <definedName name="PrintYN" localSheetId="19">#REF!</definedName>
    <definedName name="PrintYN" localSheetId="20">#REF!</definedName>
    <definedName name="PrintYN" localSheetId="21">#REF!</definedName>
    <definedName name="PrintYN" localSheetId="22">#REF!</definedName>
    <definedName name="PrintYN" localSheetId="23">#REF!</definedName>
    <definedName name="PrintYN" localSheetId="24">#REF!</definedName>
    <definedName name="PrintYN" localSheetId="25">#REF!</definedName>
    <definedName name="PrintYN" localSheetId="26">#REF!</definedName>
    <definedName name="PrintYN" localSheetId="27">#REF!</definedName>
    <definedName name="PrintYN" localSheetId="28">#REF!</definedName>
    <definedName name="PrintYN" localSheetId="29">#REF!</definedName>
    <definedName name="PrintYN" localSheetId="30">#REF!</definedName>
    <definedName name="PrintYN" localSheetId="31">#REF!</definedName>
    <definedName name="PrintYN" localSheetId="32">#REF!</definedName>
    <definedName name="PrintYN" localSheetId="33">#REF!</definedName>
    <definedName name="PrintYN" localSheetId="34">#REF!</definedName>
    <definedName name="PrintYN" localSheetId="35">#REF!</definedName>
    <definedName name="PrintYN" localSheetId="36">#REF!</definedName>
    <definedName name="PrintYN" localSheetId="37">#REF!</definedName>
    <definedName name="PrintYN" localSheetId="38">#REF!</definedName>
    <definedName name="PrintYN" localSheetId="39">#REF!</definedName>
    <definedName name="PrintYN" localSheetId="8">#REF!</definedName>
    <definedName name="PrintYN" localSheetId="9">#REF!</definedName>
    <definedName name="PrintYN" localSheetId="10">#REF!</definedName>
    <definedName name="PrintYN">#REF!</definedName>
    <definedName name="QueryID" localSheetId="0">#REF!</definedName>
    <definedName name="QueryID" localSheetId="1">#REF!</definedName>
    <definedName name="QueryID" localSheetId="2">#REF!</definedName>
    <definedName name="QueryID" localSheetId="3">#REF!</definedName>
    <definedName name="QueryID" localSheetId="4">#REF!</definedName>
    <definedName name="QueryID" localSheetId="5">#REF!</definedName>
    <definedName name="QueryID" localSheetId="6">#REF!</definedName>
    <definedName name="QueryID" localSheetId="7">#REF!</definedName>
    <definedName name="QueryID" localSheetId="11">#REF!</definedName>
    <definedName name="QueryID" localSheetId="12">#REF!</definedName>
    <definedName name="QueryID" localSheetId="13">#REF!</definedName>
    <definedName name="QueryID" localSheetId="14">#REF!</definedName>
    <definedName name="QueryID" localSheetId="15">#REF!</definedName>
    <definedName name="QueryID" localSheetId="16">#REF!</definedName>
    <definedName name="QueryID" localSheetId="17">#REF!</definedName>
    <definedName name="QueryID" localSheetId="18">#REF!</definedName>
    <definedName name="QueryID" localSheetId="19">#REF!</definedName>
    <definedName name="QueryID" localSheetId="20">#REF!</definedName>
    <definedName name="QueryID" localSheetId="21">#REF!</definedName>
    <definedName name="QueryID" localSheetId="22">#REF!</definedName>
    <definedName name="QueryID" localSheetId="23">#REF!</definedName>
    <definedName name="QueryID" localSheetId="24">#REF!</definedName>
    <definedName name="QueryID" localSheetId="25">#REF!</definedName>
    <definedName name="QueryID" localSheetId="26">#REF!</definedName>
    <definedName name="QueryID" localSheetId="27">#REF!</definedName>
    <definedName name="QueryID" localSheetId="28">#REF!</definedName>
    <definedName name="QueryID" localSheetId="29">#REF!</definedName>
    <definedName name="QueryID" localSheetId="30">#REF!</definedName>
    <definedName name="QueryID" localSheetId="31">#REF!</definedName>
    <definedName name="QueryID" localSheetId="32">#REF!</definedName>
    <definedName name="QueryID" localSheetId="33">#REF!</definedName>
    <definedName name="QueryID" localSheetId="34">#REF!</definedName>
    <definedName name="QueryID" localSheetId="35">#REF!</definedName>
    <definedName name="QueryID" localSheetId="36">#REF!</definedName>
    <definedName name="QueryID" localSheetId="37">#REF!</definedName>
    <definedName name="QueryID" localSheetId="38">#REF!</definedName>
    <definedName name="QueryID" localSheetId="39">#REF!</definedName>
    <definedName name="QueryID" localSheetId="8">#REF!</definedName>
    <definedName name="QueryID" localSheetId="9">#REF!</definedName>
    <definedName name="QueryID" localSheetId="10">#REF!</definedName>
    <definedName name="QueryID">#REF!</definedName>
    <definedName name="Range" localSheetId="0">#REF!</definedName>
    <definedName name="Range" localSheetId="1">#REF!</definedName>
    <definedName name="Range" localSheetId="2">#REF!</definedName>
    <definedName name="Range" localSheetId="3">#REF!</definedName>
    <definedName name="Range" localSheetId="4">#REF!</definedName>
    <definedName name="Range" localSheetId="5">#REF!</definedName>
    <definedName name="Range" localSheetId="6">#REF!</definedName>
    <definedName name="Range" localSheetId="7">#REF!</definedName>
    <definedName name="Range" localSheetId="11">#REF!</definedName>
    <definedName name="Range" localSheetId="12">#REF!</definedName>
    <definedName name="Range" localSheetId="13">#REF!</definedName>
    <definedName name="Range" localSheetId="14">#REF!</definedName>
    <definedName name="Range" localSheetId="15">#REF!</definedName>
    <definedName name="Range" localSheetId="16">#REF!</definedName>
    <definedName name="Range" localSheetId="17">#REF!</definedName>
    <definedName name="Range" localSheetId="18">#REF!</definedName>
    <definedName name="Range" localSheetId="19">#REF!</definedName>
    <definedName name="Range" localSheetId="20">#REF!</definedName>
    <definedName name="Range" localSheetId="21">#REF!</definedName>
    <definedName name="Range" localSheetId="22">#REF!</definedName>
    <definedName name="Range" localSheetId="23">#REF!</definedName>
    <definedName name="Range" localSheetId="24">#REF!</definedName>
    <definedName name="Range" localSheetId="25">#REF!</definedName>
    <definedName name="Range" localSheetId="26">#REF!</definedName>
    <definedName name="Range" localSheetId="27">#REF!</definedName>
    <definedName name="Range" localSheetId="28">#REF!</definedName>
    <definedName name="Range" localSheetId="29">#REF!</definedName>
    <definedName name="Range" localSheetId="30">#REF!</definedName>
    <definedName name="Range" localSheetId="31">#REF!</definedName>
    <definedName name="Range" localSheetId="32">#REF!</definedName>
    <definedName name="Range" localSheetId="33">#REF!</definedName>
    <definedName name="Range" localSheetId="34">#REF!</definedName>
    <definedName name="Range" localSheetId="35">#REF!</definedName>
    <definedName name="Range" localSheetId="36">#REF!</definedName>
    <definedName name="Range" localSheetId="37">#REF!</definedName>
    <definedName name="Range" localSheetId="38">#REF!</definedName>
    <definedName name="Range" localSheetId="39">#REF!</definedName>
    <definedName name="Range" localSheetId="8">#REF!</definedName>
    <definedName name="Range" localSheetId="9">#REF!</definedName>
    <definedName name="Range" localSheetId="10">#REF!</definedName>
    <definedName name="Range">#REF!</definedName>
    <definedName name="s" localSheetId="8">#REF!</definedName>
    <definedName name="s" localSheetId="9">#REF!</definedName>
    <definedName name="s" localSheetId="10">#REF!</definedName>
    <definedName name="s">#REF!</definedName>
    <definedName name="sss" localSheetId="10">{"Book1"}</definedName>
    <definedName name="sss">{"Book1"}</definedName>
    <definedName name="StartRow" localSheetId="0">#REF!</definedName>
    <definedName name="StartRow" localSheetId="1">#REF!</definedName>
    <definedName name="StartRow" localSheetId="2">#REF!</definedName>
    <definedName name="StartRow" localSheetId="3">#REF!</definedName>
    <definedName name="StartRow" localSheetId="4">#REF!</definedName>
    <definedName name="StartRow" localSheetId="5">#REF!</definedName>
    <definedName name="StartRow" localSheetId="6">#REF!</definedName>
    <definedName name="StartRow" localSheetId="7">#REF!</definedName>
    <definedName name="StartRow" localSheetId="11">#REF!</definedName>
    <definedName name="StartRow" localSheetId="12">#REF!</definedName>
    <definedName name="StartRow" localSheetId="13">#REF!</definedName>
    <definedName name="StartRow" localSheetId="14">#REF!</definedName>
    <definedName name="StartRow" localSheetId="15">#REF!</definedName>
    <definedName name="StartRow" localSheetId="16">#REF!</definedName>
    <definedName name="StartRow" localSheetId="17">#REF!</definedName>
    <definedName name="StartRow" localSheetId="18">#REF!</definedName>
    <definedName name="StartRow" localSheetId="19">#REF!</definedName>
    <definedName name="StartRow" localSheetId="20">#REF!</definedName>
    <definedName name="StartRow" localSheetId="21">#REF!</definedName>
    <definedName name="StartRow" localSheetId="22">#REF!</definedName>
    <definedName name="StartRow" localSheetId="23">#REF!</definedName>
    <definedName name="StartRow" localSheetId="24">#REF!</definedName>
    <definedName name="StartRow" localSheetId="25">#REF!</definedName>
    <definedName name="StartRow" localSheetId="26">#REF!</definedName>
    <definedName name="StartRow" localSheetId="27">#REF!</definedName>
    <definedName name="StartRow" localSheetId="28">#REF!</definedName>
    <definedName name="StartRow" localSheetId="29">#REF!</definedName>
    <definedName name="StartRow" localSheetId="30">#REF!</definedName>
    <definedName name="StartRow" localSheetId="31">#REF!</definedName>
    <definedName name="StartRow" localSheetId="32">#REF!</definedName>
    <definedName name="StartRow" localSheetId="33">#REF!</definedName>
    <definedName name="StartRow" localSheetId="34">#REF!</definedName>
    <definedName name="StartRow" localSheetId="35">#REF!</definedName>
    <definedName name="StartRow" localSheetId="36">#REF!</definedName>
    <definedName name="StartRow" localSheetId="37">#REF!</definedName>
    <definedName name="StartRow" localSheetId="38">#REF!</definedName>
    <definedName name="StartRow" localSheetId="39">#REF!</definedName>
    <definedName name="StartRow" localSheetId="8">#REF!</definedName>
    <definedName name="StartRow" localSheetId="9">#REF!</definedName>
    <definedName name="StartRow" localSheetId="10">#REF!</definedName>
    <definedName name="StartRow">#REF!</definedName>
    <definedName name="tnwjd" localSheetId="0">#REF!</definedName>
    <definedName name="tnwjd" localSheetId="1">#REF!</definedName>
    <definedName name="tnwjd" localSheetId="2">#REF!</definedName>
    <definedName name="tnwjd" localSheetId="3">#REF!</definedName>
    <definedName name="tnwjd" localSheetId="4">#REF!</definedName>
    <definedName name="tnwjd" localSheetId="5">#REF!</definedName>
    <definedName name="tnwjd" localSheetId="6">#REF!</definedName>
    <definedName name="tnwjd" localSheetId="7">#REF!</definedName>
    <definedName name="tnwjd" localSheetId="11">#REF!</definedName>
    <definedName name="tnwjd" localSheetId="12">#REF!</definedName>
    <definedName name="tnwjd" localSheetId="13">#REF!</definedName>
    <definedName name="tnwjd" localSheetId="14">#REF!</definedName>
    <definedName name="tnwjd" localSheetId="15">#REF!</definedName>
    <definedName name="tnwjd" localSheetId="16">#REF!</definedName>
    <definedName name="tnwjd" localSheetId="17">#REF!</definedName>
    <definedName name="tnwjd" localSheetId="18">#REF!</definedName>
    <definedName name="tnwjd" localSheetId="19">#REF!</definedName>
    <definedName name="tnwjd" localSheetId="20">#REF!</definedName>
    <definedName name="tnwjd" localSheetId="21">#REF!</definedName>
    <definedName name="tnwjd" localSheetId="22">#REF!</definedName>
    <definedName name="tnwjd" localSheetId="23">#REF!</definedName>
    <definedName name="tnwjd" localSheetId="24">#REF!</definedName>
    <definedName name="tnwjd" localSheetId="25">#REF!</definedName>
    <definedName name="tnwjd" localSheetId="26">#REF!</definedName>
    <definedName name="tnwjd" localSheetId="27">#REF!</definedName>
    <definedName name="tnwjd" localSheetId="28">#REF!</definedName>
    <definedName name="tnwjd" localSheetId="29">#REF!</definedName>
    <definedName name="tnwjd" localSheetId="30">#REF!</definedName>
    <definedName name="tnwjd" localSheetId="31">#REF!</definedName>
    <definedName name="tnwjd" localSheetId="32">#REF!</definedName>
    <definedName name="tnwjd" localSheetId="33">#REF!</definedName>
    <definedName name="tnwjd" localSheetId="34">#REF!</definedName>
    <definedName name="tnwjd" localSheetId="35">#REF!</definedName>
    <definedName name="tnwjd" localSheetId="36">#REF!</definedName>
    <definedName name="tnwjd" localSheetId="37">#REF!</definedName>
    <definedName name="tnwjd" localSheetId="38">#REF!</definedName>
    <definedName name="tnwjd" localSheetId="39">#REF!</definedName>
    <definedName name="tnwjd" localSheetId="8">#REF!</definedName>
    <definedName name="tnwjd" localSheetId="9">#REF!</definedName>
    <definedName name="tnwjd" localSheetId="10">#REF!</definedName>
    <definedName name="tnwjd">#REF!</definedName>
    <definedName name="xx" localSheetId="0">#REF!</definedName>
    <definedName name="xx" localSheetId="1">#REF!</definedName>
    <definedName name="xx" localSheetId="2">#REF!</definedName>
    <definedName name="xx" localSheetId="3">#REF!</definedName>
    <definedName name="xx" localSheetId="4">#REF!</definedName>
    <definedName name="xx" localSheetId="5">#REF!</definedName>
    <definedName name="xx" localSheetId="6">#REF!</definedName>
    <definedName name="xx" localSheetId="7">#REF!</definedName>
    <definedName name="xx" localSheetId="11">#REF!</definedName>
    <definedName name="xx" localSheetId="12">#REF!</definedName>
    <definedName name="xx" localSheetId="13">#REF!</definedName>
    <definedName name="xx" localSheetId="14">#REF!</definedName>
    <definedName name="xx" localSheetId="15">#REF!</definedName>
    <definedName name="xx" localSheetId="16">#REF!</definedName>
    <definedName name="xx" localSheetId="17">#REF!</definedName>
    <definedName name="xx" localSheetId="18">#REF!</definedName>
    <definedName name="xx" localSheetId="19">#REF!</definedName>
    <definedName name="xx" localSheetId="20">#REF!</definedName>
    <definedName name="xx" localSheetId="21">#REF!</definedName>
    <definedName name="xx" localSheetId="22">#REF!</definedName>
    <definedName name="xx" localSheetId="23">#REF!</definedName>
    <definedName name="xx" localSheetId="24">#REF!</definedName>
    <definedName name="xx" localSheetId="25">#REF!</definedName>
    <definedName name="xx" localSheetId="26">#REF!</definedName>
    <definedName name="xx" localSheetId="27">#REF!</definedName>
    <definedName name="xx" localSheetId="28">#REF!</definedName>
    <definedName name="xx" localSheetId="29">#REF!</definedName>
    <definedName name="xx" localSheetId="30">#REF!</definedName>
    <definedName name="xx" localSheetId="31">#REF!</definedName>
    <definedName name="xx" localSheetId="32">#REF!</definedName>
    <definedName name="xx" localSheetId="33">#REF!</definedName>
    <definedName name="xx" localSheetId="34">#REF!</definedName>
    <definedName name="xx" localSheetId="35">#REF!</definedName>
    <definedName name="xx" localSheetId="36">#REF!</definedName>
    <definedName name="xx" localSheetId="37">#REF!</definedName>
    <definedName name="xx" localSheetId="38">#REF!</definedName>
    <definedName name="xx" localSheetId="39">#REF!</definedName>
    <definedName name="xx" localSheetId="8">#REF!</definedName>
    <definedName name="xx" localSheetId="9">#REF!</definedName>
    <definedName name="xx" localSheetId="10">#REF!</definedName>
    <definedName name="xx">#REF!</definedName>
    <definedName name="YEAR" localSheetId="0">#REF!</definedName>
    <definedName name="YEAR" localSheetId="1">#REF!</definedName>
    <definedName name="YEAR" localSheetId="2">#REF!</definedName>
    <definedName name="YEAR" localSheetId="3">#REF!</definedName>
    <definedName name="YEAR" localSheetId="4">#REF!</definedName>
    <definedName name="YEAR" localSheetId="5">#REF!</definedName>
    <definedName name="YEAR" localSheetId="6">#REF!</definedName>
    <definedName name="YEAR" localSheetId="7">#REF!</definedName>
    <definedName name="YEAR" localSheetId="11">#REF!</definedName>
    <definedName name="YEAR" localSheetId="12">#REF!</definedName>
    <definedName name="YEAR" localSheetId="13">#REF!</definedName>
    <definedName name="YEAR" localSheetId="14">#REF!</definedName>
    <definedName name="YEAR" localSheetId="15">#REF!</definedName>
    <definedName name="YEAR" localSheetId="16">#REF!</definedName>
    <definedName name="YEAR" localSheetId="17">#REF!</definedName>
    <definedName name="YEAR" localSheetId="18">#REF!</definedName>
    <definedName name="YEAR" localSheetId="19">#REF!</definedName>
    <definedName name="YEAR" localSheetId="20">#REF!</definedName>
    <definedName name="YEAR" localSheetId="21">#REF!</definedName>
    <definedName name="YEAR" localSheetId="22">#REF!</definedName>
    <definedName name="YEAR" localSheetId="23">#REF!</definedName>
    <definedName name="YEAR" localSheetId="24">#REF!</definedName>
    <definedName name="YEAR" localSheetId="25">#REF!</definedName>
    <definedName name="YEAR" localSheetId="26">#REF!</definedName>
    <definedName name="YEAR" localSheetId="27">#REF!</definedName>
    <definedName name="YEAR" localSheetId="28">#REF!</definedName>
    <definedName name="YEAR" localSheetId="29">#REF!</definedName>
    <definedName name="YEAR" localSheetId="30">#REF!</definedName>
    <definedName name="YEAR" localSheetId="31">#REF!</definedName>
    <definedName name="YEAR" localSheetId="32">#REF!</definedName>
    <definedName name="YEAR" localSheetId="33">#REF!</definedName>
    <definedName name="YEAR" localSheetId="34">#REF!</definedName>
    <definedName name="YEAR" localSheetId="35">#REF!</definedName>
    <definedName name="YEAR" localSheetId="36">#REF!</definedName>
    <definedName name="YEAR" localSheetId="37">#REF!</definedName>
    <definedName name="YEAR" localSheetId="38">#REF!</definedName>
    <definedName name="YEAR" localSheetId="39">#REF!</definedName>
    <definedName name="YEAR" localSheetId="8">#REF!</definedName>
    <definedName name="YEAR" localSheetId="9">#REF!</definedName>
    <definedName name="YEAR" localSheetId="10">#REF!</definedName>
    <definedName name="YEAR">#REF!</definedName>
    <definedName name="young" localSheetId="0">#REF!</definedName>
    <definedName name="young" localSheetId="1">#REF!</definedName>
    <definedName name="young" localSheetId="2">#REF!</definedName>
    <definedName name="young" localSheetId="3">#REF!</definedName>
    <definedName name="young" localSheetId="4">#REF!</definedName>
    <definedName name="young" localSheetId="5">#REF!</definedName>
    <definedName name="young" localSheetId="6">#REF!</definedName>
    <definedName name="young" localSheetId="7">#REF!</definedName>
    <definedName name="young" localSheetId="11">#REF!</definedName>
    <definedName name="young" localSheetId="12">#REF!</definedName>
    <definedName name="young" localSheetId="13">#REF!</definedName>
    <definedName name="young" localSheetId="14">#REF!</definedName>
    <definedName name="young" localSheetId="15">#REF!</definedName>
    <definedName name="young" localSheetId="16">#REF!</definedName>
    <definedName name="young" localSheetId="17">#REF!</definedName>
    <definedName name="young" localSheetId="18">#REF!</definedName>
    <definedName name="young" localSheetId="19">#REF!</definedName>
    <definedName name="young" localSheetId="20">#REF!</definedName>
    <definedName name="young" localSheetId="21">#REF!</definedName>
    <definedName name="young" localSheetId="22">#REF!</definedName>
    <definedName name="young" localSheetId="23">#REF!</definedName>
    <definedName name="young" localSheetId="24">#REF!</definedName>
    <definedName name="young" localSheetId="25">#REF!</definedName>
    <definedName name="young" localSheetId="26">#REF!</definedName>
    <definedName name="young" localSheetId="27">#REF!</definedName>
    <definedName name="young" localSheetId="28">#REF!</definedName>
    <definedName name="young" localSheetId="29">#REF!</definedName>
    <definedName name="young" localSheetId="30">#REF!</definedName>
    <definedName name="young" localSheetId="31">#REF!</definedName>
    <definedName name="young" localSheetId="32">#REF!</definedName>
    <definedName name="young" localSheetId="33">#REF!</definedName>
    <definedName name="young" localSheetId="34">#REF!</definedName>
    <definedName name="young" localSheetId="35">#REF!</definedName>
    <definedName name="young" localSheetId="36">#REF!</definedName>
    <definedName name="young" localSheetId="37">#REF!</definedName>
    <definedName name="young" localSheetId="38">#REF!</definedName>
    <definedName name="young" localSheetId="39">#REF!</definedName>
    <definedName name="young" localSheetId="8">#REF!</definedName>
    <definedName name="young" localSheetId="9">#REF!</definedName>
    <definedName name="young" localSheetId="10">#REF!</definedName>
    <definedName name="young">#REF!</definedName>
    <definedName name="yy" localSheetId="0">#REF!</definedName>
    <definedName name="yy" localSheetId="1">#REF!</definedName>
    <definedName name="yy" localSheetId="2">#REF!</definedName>
    <definedName name="yy" localSheetId="3">#REF!</definedName>
    <definedName name="yy" localSheetId="4">#REF!</definedName>
    <definedName name="yy" localSheetId="5">#REF!</definedName>
    <definedName name="yy" localSheetId="6">#REF!</definedName>
    <definedName name="yy" localSheetId="7">#REF!</definedName>
    <definedName name="yy" localSheetId="11">#REF!</definedName>
    <definedName name="yy" localSheetId="12">#REF!</definedName>
    <definedName name="yy" localSheetId="13">#REF!</definedName>
    <definedName name="yy" localSheetId="14">#REF!</definedName>
    <definedName name="yy" localSheetId="15">#REF!</definedName>
    <definedName name="yy" localSheetId="16">#REF!</definedName>
    <definedName name="yy" localSheetId="17">#REF!</definedName>
    <definedName name="yy" localSheetId="18">#REF!</definedName>
    <definedName name="yy" localSheetId="19">#REF!</definedName>
    <definedName name="yy" localSheetId="20">#REF!</definedName>
    <definedName name="yy" localSheetId="21">#REF!</definedName>
    <definedName name="yy" localSheetId="22">#REF!</definedName>
    <definedName name="yy" localSheetId="23">#REF!</definedName>
    <definedName name="yy" localSheetId="24">#REF!</definedName>
    <definedName name="yy" localSheetId="25">#REF!</definedName>
    <definedName name="yy" localSheetId="26">#REF!</definedName>
    <definedName name="yy" localSheetId="27">#REF!</definedName>
    <definedName name="yy" localSheetId="28">#REF!</definedName>
    <definedName name="yy" localSheetId="29">#REF!</definedName>
    <definedName name="yy" localSheetId="30">#REF!</definedName>
    <definedName name="yy" localSheetId="31">#REF!</definedName>
    <definedName name="yy" localSheetId="32">#REF!</definedName>
    <definedName name="yy" localSheetId="33">#REF!</definedName>
    <definedName name="yy" localSheetId="34">#REF!</definedName>
    <definedName name="yy" localSheetId="35">#REF!</definedName>
    <definedName name="yy" localSheetId="36">#REF!</definedName>
    <definedName name="yy" localSheetId="37">#REF!</definedName>
    <definedName name="yy" localSheetId="38">#REF!</definedName>
    <definedName name="yy" localSheetId="39">#REF!</definedName>
    <definedName name="yy" localSheetId="8">#REF!</definedName>
    <definedName name="yy" localSheetId="9">#REF!</definedName>
    <definedName name="yy" localSheetId="10">#REF!</definedName>
    <definedName name="yy">#REF!</definedName>
    <definedName name="교육" localSheetId="0">[1]Template_1!#REF!</definedName>
    <definedName name="교육" localSheetId="1">[1]Template_1!#REF!</definedName>
    <definedName name="교육" localSheetId="2">[1]Template_1!#REF!</definedName>
    <definedName name="교육" localSheetId="3">[1]Template_1!#REF!</definedName>
    <definedName name="교육" localSheetId="4">[1]Template_1!#REF!</definedName>
    <definedName name="교육" localSheetId="5">[1]Template_1!#REF!</definedName>
    <definedName name="교육" localSheetId="6">[1]Template_1!#REF!</definedName>
    <definedName name="교육" localSheetId="7">[1]Template_1!#REF!</definedName>
    <definedName name="교육" localSheetId="11">[1]Template_1!#REF!</definedName>
    <definedName name="교육" localSheetId="12">[1]Template_1!#REF!</definedName>
    <definedName name="교육" localSheetId="13">[1]Template_1!#REF!</definedName>
    <definedName name="교육" localSheetId="14">[1]Template_1!#REF!</definedName>
    <definedName name="교육" localSheetId="15">[1]Template_1!#REF!</definedName>
    <definedName name="교육" localSheetId="16">[1]Template_1!#REF!</definedName>
    <definedName name="교육" localSheetId="17">[1]Template_1!#REF!</definedName>
    <definedName name="교육" localSheetId="18">[1]Template_1!#REF!</definedName>
    <definedName name="교육" localSheetId="19">[1]Template_1!#REF!</definedName>
    <definedName name="교육" localSheetId="20">[1]Template_1!#REF!</definedName>
    <definedName name="교육" localSheetId="21">[1]Template_1!#REF!</definedName>
    <definedName name="교육" localSheetId="22">[1]Template_1!#REF!</definedName>
    <definedName name="교육" localSheetId="23">[1]Template_1!#REF!</definedName>
    <definedName name="교육" localSheetId="24">[1]Template_1!#REF!</definedName>
    <definedName name="교육" localSheetId="25">[1]Template_1!#REF!</definedName>
    <definedName name="교육" localSheetId="26">[1]Template_1!#REF!</definedName>
    <definedName name="교육" localSheetId="27">[1]Template_1!#REF!</definedName>
    <definedName name="교육" localSheetId="28">[1]Template_1!#REF!</definedName>
    <definedName name="교육" localSheetId="29">[1]Template_1!#REF!</definedName>
    <definedName name="교육" localSheetId="30">[1]Template_1!#REF!</definedName>
    <definedName name="교육" localSheetId="31">[1]Template_1!#REF!</definedName>
    <definedName name="교육" localSheetId="32">[1]Template_1!#REF!</definedName>
    <definedName name="교육" localSheetId="33">[1]Template_1!#REF!</definedName>
    <definedName name="교육" localSheetId="34">[1]Template_1!#REF!</definedName>
    <definedName name="교육" localSheetId="35">[1]Template_1!#REF!</definedName>
    <definedName name="교육" localSheetId="36">[1]Template_1!#REF!</definedName>
    <definedName name="교육" localSheetId="37">[1]Template_1!#REF!</definedName>
    <definedName name="교육" localSheetId="38">[1]Template_1!#REF!</definedName>
    <definedName name="교육" localSheetId="39">[1]Template_1!#REF!</definedName>
    <definedName name="교육" localSheetId="8">[1]Template_1!#REF!</definedName>
    <definedName name="교육" localSheetId="9">[1]Template_1!#REF!</definedName>
    <definedName name="교육" localSheetId="10">[1]Template_1!#REF!</definedName>
    <definedName name="교육">[1]Template_1!#REF!</definedName>
    <definedName name="국가" localSheetId="8">#REF!</definedName>
    <definedName name="국가" localSheetId="9">#REF!</definedName>
    <definedName name="국가" localSheetId="10">#REF!</definedName>
    <definedName name="국가">#REF!</definedName>
    <definedName name="글로벌" localSheetId="0">#REF!</definedName>
    <definedName name="글로벌" localSheetId="1">#REF!</definedName>
    <definedName name="글로벌" localSheetId="2">#REF!</definedName>
    <definedName name="글로벌" localSheetId="3">#REF!</definedName>
    <definedName name="글로벌" localSheetId="4">#REF!</definedName>
    <definedName name="글로벌" localSheetId="5">#REF!</definedName>
    <definedName name="글로벌" localSheetId="6">#REF!</definedName>
    <definedName name="글로벌" localSheetId="7">#REF!</definedName>
    <definedName name="글로벌" localSheetId="11">#REF!</definedName>
    <definedName name="글로벌" localSheetId="12">#REF!</definedName>
    <definedName name="글로벌" localSheetId="13">#REF!</definedName>
    <definedName name="글로벌" localSheetId="14">#REF!</definedName>
    <definedName name="글로벌" localSheetId="15">#REF!</definedName>
    <definedName name="글로벌" localSheetId="16">#REF!</definedName>
    <definedName name="글로벌" localSheetId="17">#REF!</definedName>
    <definedName name="글로벌" localSheetId="18">#REF!</definedName>
    <definedName name="글로벌" localSheetId="19">#REF!</definedName>
    <definedName name="글로벌" localSheetId="20">#REF!</definedName>
    <definedName name="글로벌" localSheetId="21">#REF!</definedName>
    <definedName name="글로벌" localSheetId="22">#REF!</definedName>
    <definedName name="글로벌" localSheetId="23">#REF!</definedName>
    <definedName name="글로벌" localSheetId="24">#REF!</definedName>
    <definedName name="글로벌" localSheetId="25">#REF!</definedName>
    <definedName name="글로벌" localSheetId="26">#REF!</definedName>
    <definedName name="글로벌" localSheetId="27">#REF!</definedName>
    <definedName name="글로벌" localSheetId="28">#REF!</definedName>
    <definedName name="글로벌" localSheetId="29">#REF!</definedName>
    <definedName name="글로벌" localSheetId="30">#REF!</definedName>
    <definedName name="글로벌" localSheetId="31">#REF!</definedName>
    <definedName name="글로벌" localSheetId="32">#REF!</definedName>
    <definedName name="글로벌" localSheetId="33">#REF!</definedName>
    <definedName name="글로벌" localSheetId="34">#REF!</definedName>
    <definedName name="글로벌" localSheetId="35">#REF!</definedName>
    <definedName name="글로벌" localSheetId="36">#REF!</definedName>
    <definedName name="글로벌" localSheetId="37">#REF!</definedName>
    <definedName name="글로벌" localSheetId="38">#REF!</definedName>
    <definedName name="글로벌" localSheetId="39">#REF!</definedName>
    <definedName name="글로벌" localSheetId="8">#REF!</definedName>
    <definedName name="글로벌" localSheetId="9">#REF!</definedName>
    <definedName name="글로벌" localSheetId="10">#REF!</definedName>
    <definedName name="글로벌">#REF!</definedName>
    <definedName name="ㄴ">[1]Template_1!$I$3</definedName>
    <definedName name="노인" localSheetId="0">#REF!</definedName>
    <definedName name="노인" localSheetId="1">#REF!</definedName>
    <definedName name="노인" localSheetId="2">#REF!</definedName>
    <definedName name="노인" localSheetId="3">#REF!</definedName>
    <definedName name="노인" localSheetId="4">#REF!</definedName>
    <definedName name="노인" localSheetId="5">#REF!</definedName>
    <definedName name="노인" localSheetId="6">#REF!</definedName>
    <definedName name="노인" localSheetId="7">#REF!</definedName>
    <definedName name="노인" localSheetId="11">#REF!</definedName>
    <definedName name="노인" localSheetId="12">#REF!</definedName>
    <definedName name="노인" localSheetId="13">#REF!</definedName>
    <definedName name="노인" localSheetId="14">#REF!</definedName>
    <definedName name="노인" localSheetId="15">#REF!</definedName>
    <definedName name="노인" localSheetId="16">#REF!</definedName>
    <definedName name="노인" localSheetId="17">#REF!</definedName>
    <definedName name="노인" localSheetId="18">#REF!</definedName>
    <definedName name="노인" localSheetId="19">#REF!</definedName>
    <definedName name="노인" localSheetId="20">#REF!</definedName>
    <definedName name="노인" localSheetId="21">#REF!</definedName>
    <definedName name="노인" localSheetId="22">#REF!</definedName>
    <definedName name="노인" localSheetId="23">#REF!</definedName>
    <definedName name="노인" localSheetId="24">#REF!</definedName>
    <definedName name="노인" localSheetId="25">#REF!</definedName>
    <definedName name="노인" localSheetId="26">#REF!</definedName>
    <definedName name="노인" localSheetId="27">#REF!</definedName>
    <definedName name="노인" localSheetId="28">#REF!</definedName>
    <definedName name="노인" localSheetId="29">#REF!</definedName>
    <definedName name="노인" localSheetId="30">#REF!</definedName>
    <definedName name="노인" localSheetId="31">#REF!</definedName>
    <definedName name="노인" localSheetId="32">#REF!</definedName>
    <definedName name="노인" localSheetId="33">#REF!</definedName>
    <definedName name="노인" localSheetId="34">#REF!</definedName>
    <definedName name="노인" localSheetId="35">#REF!</definedName>
    <definedName name="노인" localSheetId="36">#REF!</definedName>
    <definedName name="노인" localSheetId="37">#REF!</definedName>
    <definedName name="노인" localSheetId="38">#REF!</definedName>
    <definedName name="노인" localSheetId="39">#REF!</definedName>
    <definedName name="노인" localSheetId="8">#REF!</definedName>
    <definedName name="노인" localSheetId="9">#REF!</definedName>
    <definedName name="노인" localSheetId="10">#REF!</definedName>
    <definedName name="노인">#REF!</definedName>
    <definedName name="ㄹ" localSheetId="0">[1]Template_1!#REF!</definedName>
    <definedName name="ㄹ" localSheetId="1">[1]Template_1!#REF!</definedName>
    <definedName name="ㄹ" localSheetId="2">[1]Template_1!#REF!</definedName>
    <definedName name="ㄹ" localSheetId="3">[1]Template_1!#REF!</definedName>
    <definedName name="ㄹ" localSheetId="4">[1]Template_1!#REF!</definedName>
    <definedName name="ㄹ" localSheetId="5">[1]Template_1!#REF!</definedName>
    <definedName name="ㄹ" localSheetId="6">[1]Template_1!#REF!</definedName>
    <definedName name="ㄹ" localSheetId="7">[1]Template_1!#REF!</definedName>
    <definedName name="ㄹ" localSheetId="11">[1]Template_1!#REF!</definedName>
    <definedName name="ㄹ" localSheetId="12">[1]Template_1!#REF!</definedName>
    <definedName name="ㄹ" localSheetId="13">[1]Template_1!#REF!</definedName>
    <definedName name="ㄹ" localSheetId="14">[1]Template_1!#REF!</definedName>
    <definedName name="ㄹ" localSheetId="15">[1]Template_1!#REF!</definedName>
    <definedName name="ㄹ" localSheetId="16">[1]Template_1!#REF!</definedName>
    <definedName name="ㄹ" localSheetId="17">[1]Template_1!#REF!</definedName>
    <definedName name="ㄹ" localSheetId="18">[1]Template_1!#REF!</definedName>
    <definedName name="ㄹ" localSheetId="19">[1]Template_1!#REF!</definedName>
    <definedName name="ㄹ" localSheetId="20">[1]Template_1!#REF!</definedName>
    <definedName name="ㄹ" localSheetId="21">[1]Template_1!#REF!</definedName>
    <definedName name="ㄹ" localSheetId="22">[1]Template_1!#REF!</definedName>
    <definedName name="ㄹ" localSheetId="23">[1]Template_1!#REF!</definedName>
    <definedName name="ㄹ" localSheetId="24">[1]Template_1!#REF!</definedName>
    <definedName name="ㄹ" localSheetId="25">[1]Template_1!#REF!</definedName>
    <definedName name="ㄹ" localSheetId="26">[1]Template_1!#REF!</definedName>
    <definedName name="ㄹ" localSheetId="27">[1]Template_1!#REF!</definedName>
    <definedName name="ㄹ" localSheetId="28">[1]Template_1!#REF!</definedName>
    <definedName name="ㄹ" localSheetId="29">[1]Template_1!#REF!</definedName>
    <definedName name="ㄹ" localSheetId="30">[1]Template_1!#REF!</definedName>
    <definedName name="ㄹ" localSheetId="31">[1]Template_1!#REF!</definedName>
    <definedName name="ㄹ" localSheetId="32">[1]Template_1!#REF!</definedName>
    <definedName name="ㄹ" localSheetId="33">[1]Template_1!#REF!</definedName>
    <definedName name="ㄹ" localSheetId="34">[1]Template_1!#REF!</definedName>
    <definedName name="ㄹ" localSheetId="35">[1]Template_1!#REF!</definedName>
    <definedName name="ㄹ" localSheetId="36">[1]Template_1!#REF!</definedName>
    <definedName name="ㄹ" localSheetId="37">[1]Template_1!#REF!</definedName>
    <definedName name="ㄹ" localSheetId="38">[1]Template_1!#REF!</definedName>
    <definedName name="ㄹ" localSheetId="39">[1]Template_1!#REF!</definedName>
    <definedName name="ㄹ" localSheetId="8">[1]Template_1!#REF!</definedName>
    <definedName name="ㄹ" localSheetId="9">[1]Template_1!#REF!</definedName>
    <definedName name="ㄹ" localSheetId="10">[1]Template_1!#REF!</definedName>
    <definedName name="ㄹ">[1]Template_1!#REF!</definedName>
    <definedName name="ㅁ">[1]Template_1!$H$3</definedName>
    <definedName name="맑은물" localSheetId="0">#REF!</definedName>
    <definedName name="맑은물" localSheetId="1">#REF!</definedName>
    <definedName name="맑은물" localSheetId="2">#REF!</definedName>
    <definedName name="맑은물" localSheetId="3">#REF!</definedName>
    <definedName name="맑은물" localSheetId="4">#REF!</definedName>
    <definedName name="맑은물" localSheetId="5">#REF!</definedName>
    <definedName name="맑은물" localSheetId="6">#REF!</definedName>
    <definedName name="맑은물" localSheetId="7">#REF!</definedName>
    <definedName name="맑은물" localSheetId="11">#REF!</definedName>
    <definedName name="맑은물" localSheetId="12">#REF!</definedName>
    <definedName name="맑은물" localSheetId="13">#REF!</definedName>
    <definedName name="맑은물" localSheetId="14">#REF!</definedName>
    <definedName name="맑은물" localSheetId="15">#REF!</definedName>
    <definedName name="맑은물" localSheetId="16">#REF!</definedName>
    <definedName name="맑은물" localSheetId="17">#REF!</definedName>
    <definedName name="맑은물" localSheetId="18">#REF!</definedName>
    <definedName name="맑은물" localSheetId="19">#REF!</definedName>
    <definedName name="맑은물" localSheetId="20">#REF!</definedName>
    <definedName name="맑은물" localSheetId="21">#REF!</definedName>
    <definedName name="맑은물" localSheetId="22">#REF!</definedName>
    <definedName name="맑은물" localSheetId="23">#REF!</definedName>
    <definedName name="맑은물" localSheetId="24">#REF!</definedName>
    <definedName name="맑은물" localSheetId="25">#REF!</definedName>
    <definedName name="맑은물" localSheetId="26">#REF!</definedName>
    <definedName name="맑은물" localSheetId="27">#REF!</definedName>
    <definedName name="맑은물" localSheetId="28">#REF!</definedName>
    <definedName name="맑은물" localSheetId="29">#REF!</definedName>
    <definedName name="맑은물" localSheetId="30">#REF!</definedName>
    <definedName name="맑은물" localSheetId="31">#REF!</definedName>
    <definedName name="맑은물" localSheetId="32">#REF!</definedName>
    <definedName name="맑은물" localSheetId="33">#REF!</definedName>
    <definedName name="맑은물" localSheetId="34">#REF!</definedName>
    <definedName name="맑은물" localSheetId="35">#REF!</definedName>
    <definedName name="맑은물" localSheetId="36">#REF!</definedName>
    <definedName name="맑은물" localSheetId="37">#REF!</definedName>
    <definedName name="맑은물" localSheetId="38">#REF!</definedName>
    <definedName name="맑은물" localSheetId="39">#REF!</definedName>
    <definedName name="맑은물" localSheetId="8">#REF!</definedName>
    <definedName name="맑은물" localSheetId="9">#REF!</definedName>
    <definedName name="맑은물" localSheetId="10">#REF!</definedName>
    <definedName name="맑은물">#REF!</definedName>
    <definedName name="뭐" localSheetId="0">[1]Template_1!#REF!</definedName>
    <definedName name="뭐" localSheetId="1">[1]Template_1!#REF!</definedName>
    <definedName name="뭐" localSheetId="2">[1]Template_1!#REF!</definedName>
    <definedName name="뭐" localSheetId="3">[1]Template_1!#REF!</definedName>
    <definedName name="뭐" localSheetId="4">[1]Template_1!#REF!</definedName>
    <definedName name="뭐" localSheetId="5">[1]Template_1!#REF!</definedName>
    <definedName name="뭐" localSheetId="6">[1]Template_1!#REF!</definedName>
    <definedName name="뭐" localSheetId="7">[1]Template_1!#REF!</definedName>
    <definedName name="뭐" localSheetId="11">[1]Template_1!#REF!</definedName>
    <definedName name="뭐" localSheetId="12">[1]Template_1!#REF!</definedName>
    <definedName name="뭐" localSheetId="13">[1]Template_1!#REF!</definedName>
    <definedName name="뭐" localSheetId="14">[1]Template_1!#REF!</definedName>
    <definedName name="뭐" localSheetId="15">[1]Template_1!#REF!</definedName>
    <definedName name="뭐" localSheetId="16">[1]Template_1!#REF!</definedName>
    <definedName name="뭐" localSheetId="17">[1]Template_1!#REF!</definedName>
    <definedName name="뭐" localSheetId="18">[1]Template_1!#REF!</definedName>
    <definedName name="뭐" localSheetId="19">[1]Template_1!#REF!</definedName>
    <definedName name="뭐" localSheetId="20">[1]Template_1!#REF!</definedName>
    <definedName name="뭐" localSheetId="21">[1]Template_1!#REF!</definedName>
    <definedName name="뭐" localSheetId="22">[1]Template_1!#REF!</definedName>
    <definedName name="뭐" localSheetId="23">[1]Template_1!#REF!</definedName>
    <definedName name="뭐" localSheetId="24">[1]Template_1!#REF!</definedName>
    <definedName name="뭐" localSheetId="25">[1]Template_1!#REF!</definedName>
    <definedName name="뭐" localSheetId="26">[1]Template_1!#REF!</definedName>
    <definedName name="뭐" localSheetId="27">[1]Template_1!#REF!</definedName>
    <definedName name="뭐" localSheetId="28">[1]Template_1!#REF!</definedName>
    <definedName name="뭐" localSheetId="29">[1]Template_1!#REF!</definedName>
    <definedName name="뭐" localSheetId="30">[1]Template_1!#REF!</definedName>
    <definedName name="뭐" localSheetId="31">[1]Template_1!#REF!</definedName>
    <definedName name="뭐" localSheetId="32">[1]Template_1!#REF!</definedName>
    <definedName name="뭐" localSheetId="33">[1]Template_1!#REF!</definedName>
    <definedName name="뭐" localSheetId="34">[1]Template_1!#REF!</definedName>
    <definedName name="뭐" localSheetId="35">[1]Template_1!#REF!</definedName>
    <definedName name="뭐" localSheetId="36">[1]Template_1!#REF!</definedName>
    <definedName name="뭐" localSheetId="37">[1]Template_1!#REF!</definedName>
    <definedName name="뭐" localSheetId="38">[1]Template_1!#REF!</definedName>
    <definedName name="뭐" localSheetId="39">[1]Template_1!#REF!</definedName>
    <definedName name="뭐" localSheetId="8">[1]Template_1!#REF!</definedName>
    <definedName name="뭐" localSheetId="9">[1]Template_1!#REF!</definedName>
    <definedName name="뭐" localSheetId="10">[1]Template_1!#REF!</definedName>
    <definedName name="뭐">[1]Template_1!#REF!</definedName>
    <definedName name="박물관" localSheetId="10">{"Book1"}</definedName>
    <definedName name="박물관">{"Book1"}</definedName>
    <definedName name="복사" localSheetId="0">#REF!</definedName>
    <definedName name="복사" localSheetId="1">#REF!</definedName>
    <definedName name="복사" localSheetId="2">#REF!</definedName>
    <definedName name="복사" localSheetId="3">#REF!</definedName>
    <definedName name="복사" localSheetId="4">#REF!</definedName>
    <definedName name="복사" localSheetId="5">#REF!</definedName>
    <definedName name="복사" localSheetId="6">#REF!</definedName>
    <definedName name="복사" localSheetId="7">#REF!</definedName>
    <definedName name="복사" localSheetId="11">#REF!</definedName>
    <definedName name="복사" localSheetId="12">#REF!</definedName>
    <definedName name="복사" localSheetId="13">#REF!</definedName>
    <definedName name="복사" localSheetId="14">#REF!</definedName>
    <definedName name="복사" localSheetId="15">#REF!</definedName>
    <definedName name="복사" localSheetId="16">#REF!</definedName>
    <definedName name="복사" localSheetId="17">#REF!</definedName>
    <definedName name="복사" localSheetId="18">#REF!</definedName>
    <definedName name="복사" localSheetId="19">#REF!</definedName>
    <definedName name="복사" localSheetId="20">#REF!</definedName>
    <definedName name="복사" localSheetId="21">#REF!</definedName>
    <definedName name="복사" localSheetId="22">#REF!</definedName>
    <definedName name="복사" localSheetId="23">#REF!</definedName>
    <definedName name="복사" localSheetId="24">#REF!</definedName>
    <definedName name="복사" localSheetId="25">#REF!</definedName>
    <definedName name="복사" localSheetId="26">#REF!</definedName>
    <definedName name="복사" localSheetId="27">#REF!</definedName>
    <definedName name="복사" localSheetId="28">#REF!</definedName>
    <definedName name="복사" localSheetId="29">#REF!</definedName>
    <definedName name="복사" localSheetId="30">#REF!</definedName>
    <definedName name="복사" localSheetId="31">#REF!</definedName>
    <definedName name="복사" localSheetId="32">#REF!</definedName>
    <definedName name="복사" localSheetId="33">#REF!</definedName>
    <definedName name="복사" localSheetId="34">#REF!</definedName>
    <definedName name="복사" localSheetId="35">#REF!</definedName>
    <definedName name="복사" localSheetId="36">#REF!</definedName>
    <definedName name="복사" localSheetId="37">#REF!</definedName>
    <definedName name="복사" localSheetId="38">#REF!</definedName>
    <definedName name="복사" localSheetId="39">#REF!</definedName>
    <definedName name="복사" localSheetId="8">#REF!</definedName>
    <definedName name="복사" localSheetId="9">#REF!</definedName>
    <definedName name="복사" localSheetId="10">#REF!</definedName>
    <definedName name="복사">#REF!</definedName>
    <definedName name="사회복지" localSheetId="0">#REF!</definedName>
    <definedName name="사회복지" localSheetId="1">#REF!</definedName>
    <definedName name="사회복지" localSheetId="2">#REF!</definedName>
    <definedName name="사회복지" localSheetId="3">#REF!</definedName>
    <definedName name="사회복지" localSheetId="4">#REF!</definedName>
    <definedName name="사회복지" localSheetId="5">#REF!</definedName>
    <definedName name="사회복지" localSheetId="6">#REF!</definedName>
    <definedName name="사회복지" localSheetId="7">#REF!</definedName>
    <definedName name="사회복지" localSheetId="11">#REF!</definedName>
    <definedName name="사회복지" localSheetId="12">#REF!</definedName>
    <definedName name="사회복지" localSheetId="13">#REF!</definedName>
    <definedName name="사회복지" localSheetId="14">#REF!</definedName>
    <definedName name="사회복지" localSheetId="15">#REF!</definedName>
    <definedName name="사회복지" localSheetId="16">#REF!</definedName>
    <definedName name="사회복지" localSheetId="17">#REF!</definedName>
    <definedName name="사회복지" localSheetId="18">#REF!</definedName>
    <definedName name="사회복지" localSheetId="19">#REF!</definedName>
    <definedName name="사회복지" localSheetId="20">#REF!</definedName>
    <definedName name="사회복지" localSheetId="21">#REF!</definedName>
    <definedName name="사회복지" localSheetId="22">#REF!</definedName>
    <definedName name="사회복지" localSheetId="23">#REF!</definedName>
    <definedName name="사회복지" localSheetId="24">#REF!</definedName>
    <definedName name="사회복지" localSheetId="25">#REF!</definedName>
    <definedName name="사회복지" localSheetId="26">#REF!</definedName>
    <definedName name="사회복지" localSheetId="27">#REF!</definedName>
    <definedName name="사회복지" localSheetId="28">#REF!</definedName>
    <definedName name="사회복지" localSheetId="29">#REF!</definedName>
    <definedName name="사회복지" localSheetId="30">#REF!</definedName>
    <definedName name="사회복지" localSheetId="31">#REF!</definedName>
    <definedName name="사회복지" localSheetId="32">#REF!</definedName>
    <definedName name="사회복지" localSheetId="33">#REF!</definedName>
    <definedName name="사회복지" localSheetId="34">#REF!</definedName>
    <definedName name="사회복지" localSheetId="35">#REF!</definedName>
    <definedName name="사회복지" localSheetId="36">#REF!</definedName>
    <definedName name="사회복지" localSheetId="37">#REF!</definedName>
    <definedName name="사회복지" localSheetId="38">#REF!</definedName>
    <definedName name="사회복지" localSheetId="39">#REF!</definedName>
    <definedName name="사회복지" localSheetId="8">#REF!</definedName>
    <definedName name="사회복지" localSheetId="9">#REF!</definedName>
    <definedName name="사회복지" localSheetId="10">#REF!</definedName>
    <definedName name="사회복지">#REF!</definedName>
    <definedName name="수정" localSheetId="0">#REF!</definedName>
    <definedName name="수정" localSheetId="1">#REF!</definedName>
    <definedName name="수정" localSheetId="2">#REF!</definedName>
    <definedName name="수정" localSheetId="3">#REF!</definedName>
    <definedName name="수정" localSheetId="4">#REF!</definedName>
    <definedName name="수정" localSheetId="5">#REF!</definedName>
    <definedName name="수정" localSheetId="6">#REF!</definedName>
    <definedName name="수정" localSheetId="7">#REF!</definedName>
    <definedName name="수정" localSheetId="11">#REF!</definedName>
    <definedName name="수정" localSheetId="12">#REF!</definedName>
    <definedName name="수정" localSheetId="13">#REF!</definedName>
    <definedName name="수정" localSheetId="14">#REF!</definedName>
    <definedName name="수정" localSheetId="15">#REF!</definedName>
    <definedName name="수정" localSheetId="16">#REF!</definedName>
    <definedName name="수정" localSheetId="17">#REF!</definedName>
    <definedName name="수정" localSheetId="18">#REF!</definedName>
    <definedName name="수정" localSheetId="19">#REF!</definedName>
    <definedName name="수정" localSheetId="20">#REF!</definedName>
    <definedName name="수정" localSheetId="21">#REF!</definedName>
    <definedName name="수정" localSheetId="22">#REF!</definedName>
    <definedName name="수정" localSheetId="23">#REF!</definedName>
    <definedName name="수정" localSheetId="24">#REF!</definedName>
    <definedName name="수정" localSheetId="25">#REF!</definedName>
    <definedName name="수정" localSheetId="26">#REF!</definedName>
    <definedName name="수정" localSheetId="27">#REF!</definedName>
    <definedName name="수정" localSheetId="28">#REF!</definedName>
    <definedName name="수정" localSheetId="29">#REF!</definedName>
    <definedName name="수정" localSheetId="30">#REF!</definedName>
    <definedName name="수정" localSheetId="31">#REF!</definedName>
    <definedName name="수정" localSheetId="32">#REF!</definedName>
    <definedName name="수정" localSheetId="33">#REF!</definedName>
    <definedName name="수정" localSheetId="34">#REF!</definedName>
    <definedName name="수정" localSheetId="35">#REF!</definedName>
    <definedName name="수정" localSheetId="36">#REF!</definedName>
    <definedName name="수정" localSheetId="37">#REF!</definedName>
    <definedName name="수정" localSheetId="38">#REF!</definedName>
    <definedName name="수정" localSheetId="39">#REF!</definedName>
    <definedName name="수정" localSheetId="8">#REF!</definedName>
    <definedName name="수정" localSheetId="9">#REF!</definedName>
    <definedName name="수정" localSheetId="10">#REF!</definedName>
    <definedName name="수정">#REF!</definedName>
    <definedName name="수정본" localSheetId="0">#REF!</definedName>
    <definedName name="수정본" localSheetId="1">#REF!</definedName>
    <definedName name="수정본" localSheetId="2">#REF!</definedName>
    <definedName name="수정본" localSheetId="3">#REF!</definedName>
    <definedName name="수정본" localSheetId="4">#REF!</definedName>
    <definedName name="수정본" localSheetId="5">#REF!</definedName>
    <definedName name="수정본" localSheetId="6">#REF!</definedName>
    <definedName name="수정본" localSheetId="7">#REF!</definedName>
    <definedName name="수정본" localSheetId="11">#REF!</definedName>
    <definedName name="수정본" localSheetId="12">#REF!</definedName>
    <definedName name="수정본" localSheetId="13">#REF!</definedName>
    <definedName name="수정본" localSheetId="14">#REF!</definedName>
    <definedName name="수정본" localSheetId="15">#REF!</definedName>
    <definedName name="수정본" localSheetId="16">#REF!</definedName>
    <definedName name="수정본" localSheetId="17">#REF!</definedName>
    <definedName name="수정본" localSheetId="18">#REF!</definedName>
    <definedName name="수정본" localSheetId="19">#REF!</definedName>
    <definedName name="수정본" localSheetId="20">#REF!</definedName>
    <definedName name="수정본" localSheetId="21">#REF!</definedName>
    <definedName name="수정본" localSheetId="22">#REF!</definedName>
    <definedName name="수정본" localSheetId="23">#REF!</definedName>
    <definedName name="수정본" localSheetId="24">#REF!</definedName>
    <definedName name="수정본" localSheetId="25">#REF!</definedName>
    <definedName name="수정본" localSheetId="26">#REF!</definedName>
    <definedName name="수정본" localSheetId="27">#REF!</definedName>
    <definedName name="수정본" localSheetId="28">#REF!</definedName>
    <definedName name="수정본" localSheetId="29">#REF!</definedName>
    <definedName name="수정본" localSheetId="30">#REF!</definedName>
    <definedName name="수정본" localSheetId="31">#REF!</definedName>
    <definedName name="수정본" localSheetId="32">#REF!</definedName>
    <definedName name="수정본" localSheetId="33">#REF!</definedName>
    <definedName name="수정본" localSheetId="34">#REF!</definedName>
    <definedName name="수정본" localSheetId="35">#REF!</definedName>
    <definedName name="수정본" localSheetId="36">#REF!</definedName>
    <definedName name="수정본" localSheetId="37">#REF!</definedName>
    <definedName name="수정본" localSheetId="38">#REF!</definedName>
    <definedName name="수정본" localSheetId="39">#REF!</definedName>
    <definedName name="수정본" localSheetId="8">#REF!</definedName>
    <definedName name="수정본" localSheetId="9">#REF!</definedName>
    <definedName name="수정본" localSheetId="10">#REF!</definedName>
    <definedName name="수정본">#REF!</definedName>
    <definedName name="수정본111111" localSheetId="0">#REF!</definedName>
    <definedName name="수정본111111" localSheetId="1">#REF!</definedName>
    <definedName name="수정본111111" localSheetId="2">#REF!</definedName>
    <definedName name="수정본111111" localSheetId="3">#REF!</definedName>
    <definedName name="수정본111111" localSheetId="4">#REF!</definedName>
    <definedName name="수정본111111" localSheetId="5">#REF!</definedName>
    <definedName name="수정본111111" localSheetId="6">#REF!</definedName>
    <definedName name="수정본111111" localSheetId="7">#REF!</definedName>
    <definedName name="수정본111111" localSheetId="11">#REF!</definedName>
    <definedName name="수정본111111" localSheetId="12">#REF!</definedName>
    <definedName name="수정본111111" localSheetId="13">#REF!</definedName>
    <definedName name="수정본111111" localSheetId="14">#REF!</definedName>
    <definedName name="수정본111111" localSheetId="15">#REF!</definedName>
    <definedName name="수정본111111" localSheetId="16">#REF!</definedName>
    <definedName name="수정본111111" localSheetId="17">#REF!</definedName>
    <definedName name="수정본111111" localSheetId="18">#REF!</definedName>
    <definedName name="수정본111111" localSheetId="19">#REF!</definedName>
    <definedName name="수정본111111" localSheetId="20">#REF!</definedName>
    <definedName name="수정본111111" localSheetId="21">#REF!</definedName>
    <definedName name="수정본111111" localSheetId="22">#REF!</definedName>
    <definedName name="수정본111111" localSheetId="23">#REF!</definedName>
    <definedName name="수정본111111" localSheetId="24">#REF!</definedName>
    <definedName name="수정본111111" localSheetId="25">#REF!</definedName>
    <definedName name="수정본111111" localSheetId="26">#REF!</definedName>
    <definedName name="수정본111111" localSheetId="27">#REF!</definedName>
    <definedName name="수정본111111" localSheetId="28">#REF!</definedName>
    <definedName name="수정본111111" localSheetId="29">#REF!</definedName>
    <definedName name="수정본111111" localSheetId="30">#REF!</definedName>
    <definedName name="수정본111111" localSheetId="31">#REF!</definedName>
    <definedName name="수정본111111" localSheetId="32">#REF!</definedName>
    <definedName name="수정본111111" localSheetId="33">#REF!</definedName>
    <definedName name="수정본111111" localSheetId="34">#REF!</definedName>
    <definedName name="수정본111111" localSheetId="35">#REF!</definedName>
    <definedName name="수정본111111" localSheetId="36">#REF!</definedName>
    <definedName name="수정본111111" localSheetId="37">#REF!</definedName>
    <definedName name="수정본111111" localSheetId="38">#REF!</definedName>
    <definedName name="수정본111111" localSheetId="39">#REF!</definedName>
    <definedName name="수정본111111" localSheetId="8">#REF!</definedName>
    <definedName name="수정본111111" localSheetId="9">#REF!</definedName>
    <definedName name="수정본111111" localSheetId="10">#REF!</definedName>
    <definedName name="수정본111111">#REF!</definedName>
    <definedName name="ㅇ">[1]Template_1!$D$3</definedName>
    <definedName name="ㅇㅇㄴㄹ" localSheetId="8">#REF!</definedName>
    <definedName name="ㅇㅇㄴㄹ" localSheetId="9">#REF!</definedName>
    <definedName name="ㅇㅇㄴㄹ" localSheetId="10">#REF!</definedName>
    <definedName name="ㅇㅇㄴㄹ">#REF!</definedName>
    <definedName name="양성구">[2]봉사원파견!$B$43:$B$44</definedName>
    <definedName name="우라질" localSheetId="0">#REF!</definedName>
    <definedName name="우라질" localSheetId="1">#REF!</definedName>
    <definedName name="우라질" localSheetId="2">#REF!</definedName>
    <definedName name="우라질" localSheetId="3">#REF!</definedName>
    <definedName name="우라질" localSheetId="4">#REF!</definedName>
    <definedName name="우라질" localSheetId="5">#REF!</definedName>
    <definedName name="우라질" localSheetId="6">#REF!</definedName>
    <definedName name="우라질" localSheetId="7">#REF!</definedName>
    <definedName name="우라질" localSheetId="11">#REF!</definedName>
    <definedName name="우라질" localSheetId="12">#REF!</definedName>
    <definedName name="우라질" localSheetId="13">#REF!</definedName>
    <definedName name="우라질" localSheetId="14">#REF!</definedName>
    <definedName name="우라질" localSheetId="15">#REF!</definedName>
    <definedName name="우라질" localSheetId="16">#REF!</definedName>
    <definedName name="우라질" localSheetId="17">#REF!</definedName>
    <definedName name="우라질" localSheetId="18">#REF!</definedName>
    <definedName name="우라질" localSheetId="19">#REF!</definedName>
    <definedName name="우라질" localSheetId="20">#REF!</definedName>
    <definedName name="우라질" localSheetId="21">#REF!</definedName>
    <definedName name="우라질" localSheetId="22">#REF!</definedName>
    <definedName name="우라질" localSheetId="23">#REF!</definedName>
    <definedName name="우라질" localSheetId="24">#REF!</definedName>
    <definedName name="우라질" localSheetId="25">#REF!</definedName>
    <definedName name="우라질" localSheetId="26">#REF!</definedName>
    <definedName name="우라질" localSheetId="27">#REF!</definedName>
    <definedName name="우라질" localSheetId="28">#REF!</definedName>
    <definedName name="우라질" localSheetId="29">#REF!</definedName>
    <definedName name="우라질" localSheetId="30">#REF!</definedName>
    <definedName name="우라질" localSheetId="31">#REF!</definedName>
    <definedName name="우라질" localSheetId="32">#REF!</definedName>
    <definedName name="우라질" localSheetId="33">#REF!</definedName>
    <definedName name="우라질" localSheetId="34">#REF!</definedName>
    <definedName name="우라질" localSheetId="35">#REF!</definedName>
    <definedName name="우라질" localSheetId="36">#REF!</definedName>
    <definedName name="우라질" localSheetId="37">#REF!</definedName>
    <definedName name="우라질" localSheetId="38">#REF!</definedName>
    <definedName name="우라질" localSheetId="39">#REF!</definedName>
    <definedName name="우라질" localSheetId="8">#REF!</definedName>
    <definedName name="우라질" localSheetId="9">#REF!</definedName>
    <definedName name="우라질" localSheetId="10">#REF!</definedName>
    <definedName name="우라질">#REF!</definedName>
    <definedName name="유통" localSheetId="0">[1]Template_1!#REF!</definedName>
    <definedName name="유통" localSheetId="1">[1]Template_1!#REF!</definedName>
    <definedName name="유통" localSheetId="2">[1]Template_1!#REF!</definedName>
    <definedName name="유통" localSheetId="3">[1]Template_1!#REF!</definedName>
    <definedName name="유통" localSheetId="4">[1]Template_1!#REF!</definedName>
    <definedName name="유통" localSheetId="5">[1]Template_1!#REF!</definedName>
    <definedName name="유통" localSheetId="6">[1]Template_1!#REF!</definedName>
    <definedName name="유통" localSheetId="7">[1]Template_1!#REF!</definedName>
    <definedName name="유통" localSheetId="11">[1]Template_1!#REF!</definedName>
    <definedName name="유통" localSheetId="12">[1]Template_1!#REF!</definedName>
    <definedName name="유통" localSheetId="13">[1]Template_1!#REF!</definedName>
    <definedName name="유통" localSheetId="14">[1]Template_1!#REF!</definedName>
    <definedName name="유통" localSheetId="15">[1]Template_1!#REF!</definedName>
    <definedName name="유통" localSheetId="16">[1]Template_1!#REF!</definedName>
    <definedName name="유통" localSheetId="17">[1]Template_1!#REF!</definedName>
    <definedName name="유통" localSheetId="18">[1]Template_1!#REF!</definedName>
    <definedName name="유통" localSheetId="19">[1]Template_1!#REF!</definedName>
    <definedName name="유통" localSheetId="20">[1]Template_1!#REF!</definedName>
    <definedName name="유통" localSheetId="21">[1]Template_1!#REF!</definedName>
    <definedName name="유통" localSheetId="22">[1]Template_1!#REF!</definedName>
    <definedName name="유통" localSheetId="23">[1]Template_1!#REF!</definedName>
    <definedName name="유통" localSheetId="24">[1]Template_1!#REF!</definedName>
    <definedName name="유통" localSheetId="25">[1]Template_1!#REF!</definedName>
    <definedName name="유통" localSheetId="26">[1]Template_1!#REF!</definedName>
    <definedName name="유통" localSheetId="27">[1]Template_1!#REF!</definedName>
    <definedName name="유통" localSheetId="28">[1]Template_1!#REF!</definedName>
    <definedName name="유통" localSheetId="29">[1]Template_1!#REF!</definedName>
    <definedName name="유통" localSheetId="30">[1]Template_1!#REF!</definedName>
    <definedName name="유통" localSheetId="31">[1]Template_1!#REF!</definedName>
    <definedName name="유통" localSheetId="32">[1]Template_1!#REF!</definedName>
    <definedName name="유통" localSheetId="33">[1]Template_1!#REF!</definedName>
    <definedName name="유통" localSheetId="34">[1]Template_1!#REF!</definedName>
    <definedName name="유통" localSheetId="35">[1]Template_1!#REF!</definedName>
    <definedName name="유통" localSheetId="36">[1]Template_1!#REF!</definedName>
    <definedName name="유통" localSheetId="37">[1]Template_1!#REF!</definedName>
    <definedName name="유통" localSheetId="38">[1]Template_1!#REF!</definedName>
    <definedName name="유통" localSheetId="39">[1]Template_1!#REF!</definedName>
    <definedName name="유통" localSheetId="8">[1]Template_1!#REF!</definedName>
    <definedName name="유통" localSheetId="9">[1]Template_1!#REF!</definedName>
    <definedName name="유통" localSheetId="10">[1]Template_1!#REF!</definedName>
    <definedName name="유통">[1]Template_1!#REF!</definedName>
    <definedName name="이름" localSheetId="0">#REF!</definedName>
    <definedName name="이름" localSheetId="1">#REF!</definedName>
    <definedName name="이름" localSheetId="2">#REF!</definedName>
    <definedName name="이름" localSheetId="3">#REF!</definedName>
    <definedName name="이름" localSheetId="4">#REF!</definedName>
    <definedName name="이름" localSheetId="5">#REF!</definedName>
    <definedName name="이름" localSheetId="6">#REF!</definedName>
    <definedName name="이름" localSheetId="7">#REF!</definedName>
    <definedName name="이름" localSheetId="11">#REF!</definedName>
    <definedName name="이름" localSheetId="12">#REF!</definedName>
    <definedName name="이름" localSheetId="13">#REF!</definedName>
    <definedName name="이름" localSheetId="14">#REF!</definedName>
    <definedName name="이름" localSheetId="15">#REF!</definedName>
    <definedName name="이름" localSheetId="16">#REF!</definedName>
    <definedName name="이름" localSheetId="17">#REF!</definedName>
    <definedName name="이름" localSheetId="18">#REF!</definedName>
    <definedName name="이름" localSheetId="19">#REF!</definedName>
    <definedName name="이름" localSheetId="20">#REF!</definedName>
    <definedName name="이름" localSheetId="21">#REF!</definedName>
    <definedName name="이름" localSheetId="22">#REF!</definedName>
    <definedName name="이름" localSheetId="23">#REF!</definedName>
    <definedName name="이름" localSheetId="24">#REF!</definedName>
    <definedName name="이름" localSheetId="25">#REF!</definedName>
    <definedName name="이름" localSheetId="26">#REF!</definedName>
    <definedName name="이름" localSheetId="27">#REF!</definedName>
    <definedName name="이름" localSheetId="28">#REF!</definedName>
    <definedName name="이름" localSheetId="29">#REF!</definedName>
    <definedName name="이름" localSheetId="30">#REF!</definedName>
    <definedName name="이름" localSheetId="31">#REF!</definedName>
    <definedName name="이름" localSheetId="32">#REF!</definedName>
    <definedName name="이름" localSheetId="33">#REF!</definedName>
    <definedName name="이름" localSheetId="34">#REF!</definedName>
    <definedName name="이름" localSheetId="35">#REF!</definedName>
    <definedName name="이름" localSheetId="36">#REF!</definedName>
    <definedName name="이름" localSheetId="37">#REF!</definedName>
    <definedName name="이름" localSheetId="38">#REF!</definedName>
    <definedName name="이름" localSheetId="39">#REF!</definedName>
    <definedName name="이름" localSheetId="8">#REF!</definedName>
    <definedName name="이름" localSheetId="9">#REF!</definedName>
    <definedName name="이름" localSheetId="10">#REF!</definedName>
    <definedName name="이름">#REF!</definedName>
    <definedName name="인구수정" localSheetId="0">[1]Template_1!#REF!</definedName>
    <definedName name="인구수정" localSheetId="1">[1]Template_1!#REF!</definedName>
    <definedName name="인구수정" localSheetId="2">[1]Template_1!#REF!</definedName>
    <definedName name="인구수정" localSheetId="3">[1]Template_1!#REF!</definedName>
    <definedName name="인구수정" localSheetId="4">[1]Template_1!#REF!</definedName>
    <definedName name="인구수정" localSheetId="5">[1]Template_1!#REF!</definedName>
    <definedName name="인구수정" localSheetId="6">[1]Template_1!#REF!</definedName>
    <definedName name="인구수정" localSheetId="7">[1]Template_1!#REF!</definedName>
    <definedName name="인구수정" localSheetId="11">[1]Template_1!#REF!</definedName>
    <definedName name="인구수정" localSheetId="12">[1]Template_1!#REF!</definedName>
    <definedName name="인구수정" localSheetId="13">[1]Template_1!#REF!</definedName>
    <definedName name="인구수정" localSheetId="14">[1]Template_1!#REF!</definedName>
    <definedName name="인구수정" localSheetId="15">[1]Template_1!#REF!</definedName>
    <definedName name="인구수정" localSheetId="16">[1]Template_1!#REF!</definedName>
    <definedName name="인구수정" localSheetId="17">[1]Template_1!#REF!</definedName>
    <definedName name="인구수정" localSheetId="18">[1]Template_1!#REF!</definedName>
    <definedName name="인구수정" localSheetId="19">[1]Template_1!#REF!</definedName>
    <definedName name="인구수정" localSheetId="20">[1]Template_1!#REF!</definedName>
    <definedName name="인구수정" localSheetId="21">[1]Template_1!#REF!</definedName>
    <definedName name="인구수정" localSheetId="22">[1]Template_1!#REF!</definedName>
    <definedName name="인구수정" localSheetId="23">[1]Template_1!#REF!</definedName>
    <definedName name="인구수정" localSheetId="24">[1]Template_1!#REF!</definedName>
    <definedName name="인구수정" localSheetId="25">[1]Template_1!#REF!</definedName>
    <definedName name="인구수정" localSheetId="26">[1]Template_1!#REF!</definedName>
    <definedName name="인구수정" localSheetId="27">[1]Template_1!#REF!</definedName>
    <definedName name="인구수정" localSheetId="28">[1]Template_1!#REF!</definedName>
    <definedName name="인구수정" localSheetId="29">[1]Template_1!#REF!</definedName>
    <definedName name="인구수정" localSheetId="30">[1]Template_1!#REF!</definedName>
    <definedName name="인구수정" localSheetId="31">[1]Template_1!#REF!</definedName>
    <definedName name="인구수정" localSheetId="32">[1]Template_1!#REF!</definedName>
    <definedName name="인구수정" localSheetId="33">[1]Template_1!#REF!</definedName>
    <definedName name="인구수정" localSheetId="34">[1]Template_1!#REF!</definedName>
    <definedName name="인구수정" localSheetId="35">[1]Template_1!#REF!</definedName>
    <definedName name="인구수정" localSheetId="36">[1]Template_1!#REF!</definedName>
    <definedName name="인구수정" localSheetId="37">[1]Template_1!#REF!</definedName>
    <definedName name="인구수정" localSheetId="38">[1]Template_1!#REF!</definedName>
    <definedName name="인구수정" localSheetId="39">[1]Template_1!#REF!</definedName>
    <definedName name="인구수정" localSheetId="8">[1]Template_1!#REF!</definedName>
    <definedName name="인구수정" localSheetId="9">[1]Template_1!#REF!</definedName>
    <definedName name="인구수정" localSheetId="10">[1]Template_1!#REF!</definedName>
    <definedName name="인구수정">[1]Template_1!#REF!</definedName>
    <definedName name="재가" localSheetId="0">#REF!</definedName>
    <definedName name="재가" localSheetId="1">#REF!</definedName>
    <definedName name="재가" localSheetId="2">#REF!</definedName>
    <definedName name="재가" localSheetId="3">#REF!</definedName>
    <definedName name="재가" localSheetId="4">#REF!</definedName>
    <definedName name="재가" localSheetId="5">#REF!</definedName>
    <definedName name="재가" localSheetId="6">#REF!</definedName>
    <definedName name="재가" localSheetId="7">#REF!</definedName>
    <definedName name="재가" localSheetId="11">#REF!</definedName>
    <definedName name="재가" localSheetId="12">#REF!</definedName>
    <definedName name="재가" localSheetId="13">#REF!</definedName>
    <definedName name="재가" localSheetId="14">#REF!</definedName>
    <definedName name="재가" localSheetId="15">#REF!</definedName>
    <definedName name="재가" localSheetId="16">#REF!</definedName>
    <definedName name="재가" localSheetId="17">#REF!</definedName>
    <definedName name="재가" localSheetId="18">#REF!</definedName>
    <definedName name="재가" localSheetId="19">#REF!</definedName>
    <definedName name="재가" localSheetId="20">#REF!</definedName>
    <definedName name="재가" localSheetId="21">#REF!</definedName>
    <definedName name="재가" localSheetId="22">#REF!</definedName>
    <definedName name="재가" localSheetId="23">#REF!</definedName>
    <definedName name="재가" localSheetId="24">#REF!</definedName>
    <definedName name="재가" localSheetId="25">#REF!</definedName>
    <definedName name="재가" localSheetId="26">#REF!</definedName>
    <definedName name="재가" localSheetId="27">#REF!</definedName>
    <definedName name="재가" localSheetId="28">#REF!</definedName>
    <definedName name="재가" localSheetId="29">#REF!</definedName>
    <definedName name="재가" localSheetId="30">#REF!</definedName>
    <definedName name="재가" localSheetId="31">#REF!</definedName>
    <definedName name="재가" localSheetId="32">#REF!</definedName>
    <definedName name="재가" localSheetId="33">#REF!</definedName>
    <definedName name="재가" localSheetId="34">#REF!</definedName>
    <definedName name="재가" localSheetId="35">#REF!</definedName>
    <definedName name="재가" localSheetId="36">#REF!</definedName>
    <definedName name="재가" localSheetId="37">#REF!</definedName>
    <definedName name="재가" localSheetId="38">#REF!</definedName>
    <definedName name="재가" localSheetId="39">#REF!</definedName>
    <definedName name="재가" localSheetId="8">#REF!</definedName>
    <definedName name="재가" localSheetId="9">#REF!</definedName>
    <definedName name="재가" localSheetId="10">#REF!</definedName>
    <definedName name="재가">#REF!</definedName>
    <definedName name="재수정" localSheetId="0">#REF!</definedName>
    <definedName name="재수정" localSheetId="1">#REF!</definedName>
    <definedName name="재수정" localSheetId="2">#REF!</definedName>
    <definedName name="재수정" localSheetId="3">#REF!</definedName>
    <definedName name="재수정" localSheetId="4">#REF!</definedName>
    <definedName name="재수정" localSheetId="5">#REF!</definedName>
    <definedName name="재수정" localSheetId="6">#REF!</definedName>
    <definedName name="재수정" localSheetId="7">#REF!</definedName>
    <definedName name="재수정" localSheetId="11">#REF!</definedName>
    <definedName name="재수정" localSheetId="12">#REF!</definedName>
    <definedName name="재수정" localSheetId="13">#REF!</definedName>
    <definedName name="재수정" localSheetId="14">#REF!</definedName>
    <definedName name="재수정" localSheetId="15">#REF!</definedName>
    <definedName name="재수정" localSheetId="16">#REF!</definedName>
    <definedName name="재수정" localSheetId="17">#REF!</definedName>
    <definedName name="재수정" localSheetId="18">#REF!</definedName>
    <definedName name="재수정" localSheetId="19">#REF!</definedName>
    <definedName name="재수정" localSheetId="20">#REF!</definedName>
    <definedName name="재수정" localSheetId="21">#REF!</definedName>
    <definedName name="재수정" localSheetId="22">#REF!</definedName>
    <definedName name="재수정" localSheetId="23">#REF!</definedName>
    <definedName name="재수정" localSheetId="24">#REF!</definedName>
    <definedName name="재수정" localSheetId="25">#REF!</definedName>
    <definedName name="재수정" localSheetId="26">#REF!</definedName>
    <definedName name="재수정" localSheetId="27">#REF!</definedName>
    <definedName name="재수정" localSheetId="28">#REF!</definedName>
    <definedName name="재수정" localSheetId="29">#REF!</definedName>
    <definedName name="재수정" localSheetId="30">#REF!</definedName>
    <definedName name="재수정" localSheetId="31">#REF!</definedName>
    <definedName name="재수정" localSheetId="32">#REF!</definedName>
    <definedName name="재수정" localSheetId="33">#REF!</definedName>
    <definedName name="재수정" localSheetId="34">#REF!</definedName>
    <definedName name="재수정" localSheetId="35">#REF!</definedName>
    <definedName name="재수정" localSheetId="36">#REF!</definedName>
    <definedName name="재수정" localSheetId="37">#REF!</definedName>
    <definedName name="재수정" localSheetId="38">#REF!</definedName>
    <definedName name="재수정" localSheetId="39">#REF!</definedName>
    <definedName name="재수정" localSheetId="8">#REF!</definedName>
    <definedName name="재수정" localSheetId="9">#REF!</definedName>
    <definedName name="재수정" localSheetId="10">#REF!</definedName>
    <definedName name="재수정">#REF!</definedName>
    <definedName name="주간예산구분">[2]주간보호!$D$6:$D$50</definedName>
    <definedName name="주간정원2" localSheetId="8">#REF!</definedName>
    <definedName name="주간정원2" localSheetId="9">#REF!</definedName>
    <definedName name="주간정원2" localSheetId="10">#REF!</definedName>
    <definedName name="주간정원2">#REF!</definedName>
    <definedName name="주간종사11" localSheetId="8">#REF!</definedName>
    <definedName name="주간종사11" localSheetId="9">#REF!</definedName>
    <definedName name="주간종사11" localSheetId="10">#REF!</definedName>
    <definedName name="주간종사11">#REF!</definedName>
    <definedName name="치매1">[2]주간보호!$D$55:$D$79</definedName>
    <definedName name="테스트" localSheetId="8">#REF!</definedName>
    <definedName name="테스트" localSheetId="9">#REF!</definedName>
    <definedName name="테스트" localSheetId="10">#REF!</definedName>
    <definedName name="테스트">#REF!</definedName>
    <definedName name="통계" localSheetId="0">#REF!</definedName>
    <definedName name="통계" localSheetId="1">#REF!</definedName>
    <definedName name="통계" localSheetId="2">#REF!</definedName>
    <definedName name="통계" localSheetId="3">#REF!</definedName>
    <definedName name="통계" localSheetId="4">#REF!</definedName>
    <definedName name="통계" localSheetId="5">#REF!</definedName>
    <definedName name="통계" localSheetId="6">#REF!</definedName>
    <definedName name="통계" localSheetId="7">#REF!</definedName>
    <definedName name="통계" localSheetId="11">#REF!</definedName>
    <definedName name="통계" localSheetId="12">#REF!</definedName>
    <definedName name="통계" localSheetId="13">#REF!</definedName>
    <definedName name="통계" localSheetId="14">#REF!</definedName>
    <definedName name="통계" localSheetId="15">#REF!</definedName>
    <definedName name="통계" localSheetId="16">#REF!</definedName>
    <definedName name="통계" localSheetId="17">#REF!</definedName>
    <definedName name="통계" localSheetId="18">#REF!</definedName>
    <definedName name="통계" localSheetId="19">#REF!</definedName>
    <definedName name="통계" localSheetId="20">#REF!</definedName>
    <definedName name="통계" localSheetId="21">#REF!</definedName>
    <definedName name="통계" localSheetId="22">#REF!</definedName>
    <definedName name="통계" localSheetId="23">#REF!</definedName>
    <definedName name="통계" localSheetId="24">#REF!</definedName>
    <definedName name="통계" localSheetId="25">#REF!</definedName>
    <definedName name="통계" localSheetId="26">#REF!</definedName>
    <definedName name="통계" localSheetId="27">#REF!</definedName>
    <definedName name="통계" localSheetId="28">#REF!</definedName>
    <definedName name="통계" localSheetId="29">#REF!</definedName>
    <definedName name="통계" localSheetId="30">#REF!</definedName>
    <definedName name="통계" localSheetId="31">#REF!</definedName>
    <definedName name="통계" localSheetId="32">#REF!</definedName>
    <definedName name="통계" localSheetId="33">#REF!</definedName>
    <definedName name="통계" localSheetId="34">#REF!</definedName>
    <definedName name="통계" localSheetId="35">#REF!</definedName>
    <definedName name="통계" localSheetId="36">#REF!</definedName>
    <definedName name="통계" localSheetId="37">#REF!</definedName>
    <definedName name="통계" localSheetId="38">#REF!</definedName>
    <definedName name="통계" localSheetId="39">#REF!</definedName>
    <definedName name="통계" localSheetId="8">#REF!</definedName>
    <definedName name="통계" localSheetId="9">#REF!</definedName>
    <definedName name="통계" localSheetId="10">#REF!</definedName>
    <definedName name="통계">#REF!</definedName>
    <definedName name="ㅎ">[1]Template_1!$E$3</definedName>
    <definedName name="화물수송" localSheetId="0">#REF!</definedName>
    <definedName name="화물수송" localSheetId="1">#REF!</definedName>
    <definedName name="화물수송" localSheetId="2">#REF!</definedName>
    <definedName name="화물수송" localSheetId="3">#REF!</definedName>
    <definedName name="화물수송" localSheetId="4">#REF!</definedName>
    <definedName name="화물수송" localSheetId="5">#REF!</definedName>
    <definedName name="화물수송" localSheetId="6">#REF!</definedName>
    <definedName name="화물수송" localSheetId="7">#REF!</definedName>
    <definedName name="화물수송" localSheetId="11">#REF!</definedName>
    <definedName name="화물수송" localSheetId="12">#REF!</definedName>
    <definedName name="화물수송" localSheetId="13">#REF!</definedName>
    <definedName name="화물수송" localSheetId="14">#REF!</definedName>
    <definedName name="화물수송" localSheetId="15">#REF!</definedName>
    <definedName name="화물수송" localSheetId="16">#REF!</definedName>
    <definedName name="화물수송" localSheetId="17">#REF!</definedName>
    <definedName name="화물수송" localSheetId="18">#REF!</definedName>
    <definedName name="화물수송" localSheetId="19">#REF!</definedName>
    <definedName name="화물수송" localSheetId="20">#REF!</definedName>
    <definedName name="화물수송" localSheetId="21">#REF!</definedName>
    <definedName name="화물수송" localSheetId="22">#REF!</definedName>
    <definedName name="화물수송" localSheetId="23">#REF!</definedName>
    <definedName name="화물수송" localSheetId="24">#REF!</definedName>
    <definedName name="화물수송" localSheetId="25">#REF!</definedName>
    <definedName name="화물수송" localSheetId="26">#REF!</definedName>
    <definedName name="화물수송" localSheetId="27">#REF!</definedName>
    <definedName name="화물수송" localSheetId="28">#REF!</definedName>
    <definedName name="화물수송" localSheetId="29">#REF!</definedName>
    <definedName name="화물수송" localSheetId="30">#REF!</definedName>
    <definedName name="화물수송" localSheetId="31">#REF!</definedName>
    <definedName name="화물수송" localSheetId="32">#REF!</definedName>
    <definedName name="화물수송" localSheetId="33">#REF!</definedName>
    <definedName name="화물수송" localSheetId="34">#REF!</definedName>
    <definedName name="화물수송" localSheetId="35">#REF!</definedName>
    <definedName name="화물수송" localSheetId="36">#REF!</definedName>
    <definedName name="화물수송" localSheetId="37">#REF!</definedName>
    <definedName name="화물수송" localSheetId="38">#REF!</definedName>
    <definedName name="화물수송" localSheetId="39">#REF!</definedName>
    <definedName name="화물수송" localSheetId="8">#REF!</definedName>
    <definedName name="화물수송" localSheetId="9">#REF!</definedName>
    <definedName name="화물수송" localSheetId="10">#REF!</definedName>
    <definedName name="화물수송">#REF!</definedName>
    <definedName name="회계" localSheetId="0">#REF!</definedName>
    <definedName name="회계" localSheetId="1">#REF!</definedName>
    <definedName name="회계" localSheetId="2">#REF!</definedName>
    <definedName name="회계" localSheetId="3">#REF!</definedName>
    <definedName name="회계" localSheetId="4">#REF!</definedName>
    <definedName name="회계" localSheetId="5">#REF!</definedName>
    <definedName name="회계" localSheetId="6">#REF!</definedName>
    <definedName name="회계" localSheetId="7">#REF!</definedName>
    <definedName name="회계" localSheetId="11">#REF!</definedName>
    <definedName name="회계" localSheetId="12">#REF!</definedName>
    <definedName name="회계" localSheetId="13">#REF!</definedName>
    <definedName name="회계" localSheetId="14">#REF!</definedName>
    <definedName name="회계" localSheetId="15">#REF!</definedName>
    <definedName name="회계" localSheetId="16">#REF!</definedName>
    <definedName name="회계" localSheetId="17">#REF!</definedName>
    <definedName name="회계" localSheetId="18">#REF!</definedName>
    <definedName name="회계" localSheetId="19">#REF!</definedName>
    <definedName name="회계" localSheetId="20">#REF!</definedName>
    <definedName name="회계" localSheetId="21">#REF!</definedName>
    <definedName name="회계" localSheetId="22">#REF!</definedName>
    <definedName name="회계" localSheetId="23">#REF!</definedName>
    <definedName name="회계" localSheetId="24">#REF!</definedName>
    <definedName name="회계" localSheetId="25">#REF!</definedName>
    <definedName name="회계" localSheetId="26">#REF!</definedName>
    <definedName name="회계" localSheetId="27">#REF!</definedName>
    <definedName name="회계" localSheetId="28">#REF!</definedName>
    <definedName name="회계" localSheetId="29">#REF!</definedName>
    <definedName name="회계" localSheetId="30">#REF!</definedName>
    <definedName name="회계" localSheetId="31">#REF!</definedName>
    <definedName name="회계" localSheetId="32">#REF!</definedName>
    <definedName name="회계" localSheetId="33">#REF!</definedName>
    <definedName name="회계" localSheetId="34">#REF!</definedName>
    <definedName name="회계" localSheetId="35">#REF!</definedName>
    <definedName name="회계" localSheetId="36">#REF!</definedName>
    <definedName name="회계" localSheetId="37">#REF!</definedName>
    <definedName name="회계" localSheetId="38">#REF!</definedName>
    <definedName name="회계" localSheetId="39">#REF!</definedName>
    <definedName name="회계" localSheetId="8">#REF!</definedName>
    <definedName name="회계" localSheetId="9">#REF!</definedName>
    <definedName name="회계" localSheetId="10">#REF!</definedName>
    <definedName name="회계">#REF!</definedName>
    <definedName name="ㅕㅕ" localSheetId="0">#REF!</definedName>
    <definedName name="ㅕㅕ" localSheetId="1">#REF!</definedName>
    <definedName name="ㅕㅕ" localSheetId="2">#REF!</definedName>
    <definedName name="ㅕㅕ" localSheetId="3">#REF!</definedName>
    <definedName name="ㅕㅕ" localSheetId="4">#REF!</definedName>
    <definedName name="ㅕㅕ" localSheetId="5">#REF!</definedName>
    <definedName name="ㅕㅕ" localSheetId="6">#REF!</definedName>
    <definedName name="ㅕㅕ" localSheetId="7">#REF!</definedName>
    <definedName name="ㅕㅕ" localSheetId="11">#REF!</definedName>
    <definedName name="ㅕㅕ" localSheetId="12">#REF!</definedName>
    <definedName name="ㅕㅕ" localSheetId="13">#REF!</definedName>
    <definedName name="ㅕㅕ" localSheetId="14">#REF!</definedName>
    <definedName name="ㅕㅕ" localSheetId="15">#REF!</definedName>
    <definedName name="ㅕㅕ" localSheetId="16">#REF!</definedName>
    <definedName name="ㅕㅕ" localSheetId="17">#REF!</definedName>
    <definedName name="ㅕㅕ" localSheetId="18">#REF!</definedName>
    <definedName name="ㅕㅕ" localSheetId="19">#REF!</definedName>
    <definedName name="ㅕㅕ" localSheetId="20">#REF!</definedName>
    <definedName name="ㅕㅕ" localSheetId="21">#REF!</definedName>
    <definedName name="ㅕㅕ" localSheetId="22">#REF!</definedName>
    <definedName name="ㅕㅕ" localSheetId="23">#REF!</definedName>
    <definedName name="ㅕㅕ" localSheetId="24">#REF!</definedName>
    <definedName name="ㅕㅕ" localSheetId="25">#REF!</definedName>
    <definedName name="ㅕㅕ" localSheetId="26">#REF!</definedName>
    <definedName name="ㅕㅕ" localSheetId="27">#REF!</definedName>
    <definedName name="ㅕㅕ" localSheetId="28">#REF!</definedName>
    <definedName name="ㅕㅕ" localSheetId="29">#REF!</definedName>
    <definedName name="ㅕㅕ" localSheetId="30">#REF!</definedName>
    <definedName name="ㅕㅕ" localSheetId="31">#REF!</definedName>
    <definedName name="ㅕㅕ" localSheetId="32">#REF!</definedName>
    <definedName name="ㅕㅕ" localSheetId="33">#REF!</definedName>
    <definedName name="ㅕㅕ" localSheetId="34">#REF!</definedName>
    <definedName name="ㅕㅕ" localSheetId="35">#REF!</definedName>
    <definedName name="ㅕㅕ" localSheetId="36">#REF!</definedName>
    <definedName name="ㅕㅕ" localSheetId="37">#REF!</definedName>
    <definedName name="ㅕㅕ" localSheetId="38">#REF!</definedName>
    <definedName name="ㅕㅕ" localSheetId="39">#REF!</definedName>
    <definedName name="ㅕㅕ" localSheetId="8">#REF!</definedName>
    <definedName name="ㅕㅕ" localSheetId="9">#REF!</definedName>
    <definedName name="ㅕㅕ" localSheetId="10">#REF!</definedName>
    <definedName name="ㅕㅕ">#REF!</definedName>
    <definedName name="ㅠ" localSheetId="0">#REF!</definedName>
    <definedName name="ㅠ" localSheetId="1">#REF!</definedName>
    <definedName name="ㅠ" localSheetId="2">#REF!</definedName>
    <definedName name="ㅠ" localSheetId="3">#REF!</definedName>
    <definedName name="ㅠ" localSheetId="4">#REF!</definedName>
    <definedName name="ㅠ" localSheetId="5">#REF!</definedName>
    <definedName name="ㅠ" localSheetId="6">#REF!</definedName>
    <definedName name="ㅠ" localSheetId="7">#REF!</definedName>
    <definedName name="ㅠ" localSheetId="11">#REF!</definedName>
    <definedName name="ㅠ" localSheetId="12">#REF!</definedName>
    <definedName name="ㅠ" localSheetId="13">#REF!</definedName>
    <definedName name="ㅠ" localSheetId="14">#REF!</definedName>
    <definedName name="ㅠ" localSheetId="15">#REF!</definedName>
    <definedName name="ㅠ" localSheetId="16">#REF!</definedName>
    <definedName name="ㅠ" localSheetId="17">#REF!</definedName>
    <definedName name="ㅠ" localSheetId="18">#REF!</definedName>
    <definedName name="ㅠ" localSheetId="19">#REF!</definedName>
    <definedName name="ㅠ" localSheetId="20">#REF!</definedName>
    <definedName name="ㅠ" localSheetId="21">#REF!</definedName>
    <definedName name="ㅠ" localSheetId="22">#REF!</definedName>
    <definedName name="ㅠ" localSheetId="23">#REF!</definedName>
    <definedName name="ㅠ" localSheetId="24">#REF!</definedName>
    <definedName name="ㅠ" localSheetId="25">#REF!</definedName>
    <definedName name="ㅠ" localSheetId="26">#REF!</definedName>
    <definedName name="ㅠ" localSheetId="27">#REF!</definedName>
    <definedName name="ㅠ" localSheetId="28">#REF!</definedName>
    <definedName name="ㅠ" localSheetId="29">#REF!</definedName>
    <definedName name="ㅠ" localSheetId="30">#REF!</definedName>
    <definedName name="ㅠ" localSheetId="31">#REF!</definedName>
    <definedName name="ㅠ" localSheetId="32">#REF!</definedName>
    <definedName name="ㅠ" localSheetId="33">#REF!</definedName>
    <definedName name="ㅠ" localSheetId="34">#REF!</definedName>
    <definedName name="ㅠ" localSheetId="35">#REF!</definedName>
    <definedName name="ㅠ" localSheetId="36">#REF!</definedName>
    <definedName name="ㅠ" localSheetId="37">#REF!</definedName>
    <definedName name="ㅠ" localSheetId="38">#REF!</definedName>
    <definedName name="ㅠ" localSheetId="39">#REF!</definedName>
    <definedName name="ㅠ" localSheetId="8">#REF!</definedName>
    <definedName name="ㅠ" localSheetId="9">#REF!</definedName>
    <definedName name="ㅠ" localSheetId="10">#REF!</definedName>
    <definedName name="ㅠ">#REF!</definedName>
    <definedName name="ㅣㅣㅣㅣ" localSheetId="0">[1]Template_1!#REF!</definedName>
    <definedName name="ㅣㅣㅣㅣ" localSheetId="1">[1]Template_1!#REF!</definedName>
    <definedName name="ㅣㅣㅣㅣ" localSheetId="2">[1]Template_1!#REF!</definedName>
    <definedName name="ㅣㅣㅣㅣ" localSheetId="3">[1]Template_1!#REF!</definedName>
    <definedName name="ㅣㅣㅣㅣ" localSheetId="4">[1]Template_1!#REF!</definedName>
    <definedName name="ㅣㅣㅣㅣ" localSheetId="5">[1]Template_1!#REF!</definedName>
    <definedName name="ㅣㅣㅣㅣ" localSheetId="6">[1]Template_1!#REF!</definedName>
    <definedName name="ㅣㅣㅣㅣ" localSheetId="7">[1]Template_1!#REF!</definedName>
    <definedName name="ㅣㅣㅣㅣ" localSheetId="11">[1]Template_1!#REF!</definedName>
    <definedName name="ㅣㅣㅣㅣ" localSheetId="12">[1]Template_1!#REF!</definedName>
    <definedName name="ㅣㅣㅣㅣ" localSheetId="13">[1]Template_1!#REF!</definedName>
    <definedName name="ㅣㅣㅣㅣ" localSheetId="14">[1]Template_1!#REF!</definedName>
    <definedName name="ㅣㅣㅣㅣ" localSheetId="15">[1]Template_1!#REF!</definedName>
    <definedName name="ㅣㅣㅣㅣ" localSheetId="16">[1]Template_1!#REF!</definedName>
    <definedName name="ㅣㅣㅣㅣ" localSheetId="17">[1]Template_1!#REF!</definedName>
    <definedName name="ㅣㅣㅣㅣ" localSheetId="18">[1]Template_1!#REF!</definedName>
    <definedName name="ㅣㅣㅣㅣ" localSheetId="19">[1]Template_1!#REF!</definedName>
    <definedName name="ㅣㅣㅣㅣ" localSheetId="20">[1]Template_1!#REF!</definedName>
    <definedName name="ㅣㅣㅣㅣ" localSheetId="21">[1]Template_1!#REF!</definedName>
    <definedName name="ㅣㅣㅣㅣ" localSheetId="22">[1]Template_1!#REF!</definedName>
    <definedName name="ㅣㅣㅣㅣ" localSheetId="23">[1]Template_1!#REF!</definedName>
    <definedName name="ㅣㅣㅣㅣ" localSheetId="24">[1]Template_1!#REF!</definedName>
    <definedName name="ㅣㅣㅣㅣ" localSheetId="25">[1]Template_1!#REF!</definedName>
    <definedName name="ㅣㅣㅣㅣ" localSheetId="26">[1]Template_1!#REF!</definedName>
    <definedName name="ㅣㅣㅣㅣ" localSheetId="27">[1]Template_1!#REF!</definedName>
    <definedName name="ㅣㅣㅣㅣ" localSheetId="28">[1]Template_1!#REF!</definedName>
    <definedName name="ㅣㅣㅣㅣ" localSheetId="29">[1]Template_1!#REF!</definedName>
    <definedName name="ㅣㅣㅣㅣ" localSheetId="30">[1]Template_1!#REF!</definedName>
    <definedName name="ㅣㅣㅣㅣ" localSheetId="31">[1]Template_1!#REF!</definedName>
    <definedName name="ㅣㅣㅣㅣ" localSheetId="32">[1]Template_1!#REF!</definedName>
    <definedName name="ㅣㅣㅣㅣ" localSheetId="33">[1]Template_1!#REF!</definedName>
    <definedName name="ㅣㅣㅣㅣ" localSheetId="34">[1]Template_1!#REF!</definedName>
    <definedName name="ㅣㅣㅣㅣ" localSheetId="35">[1]Template_1!#REF!</definedName>
    <definedName name="ㅣㅣㅣㅣ" localSheetId="36">[1]Template_1!#REF!</definedName>
    <definedName name="ㅣㅣㅣㅣ" localSheetId="37">[1]Template_1!#REF!</definedName>
    <definedName name="ㅣㅣㅣㅣ" localSheetId="38">[1]Template_1!#REF!</definedName>
    <definedName name="ㅣㅣㅣㅣ" localSheetId="39">[1]Template_1!#REF!</definedName>
    <definedName name="ㅣㅣㅣㅣ" localSheetId="8">[1]Template_1!#REF!</definedName>
    <definedName name="ㅣㅣㅣㅣ" localSheetId="9">[1]Template_1!#REF!</definedName>
    <definedName name="ㅣㅣㅣㅣ" localSheetId="10">[1]Template_1!#REF!</definedName>
    <definedName name="ㅣㅣㅣㅣ">[1]Template_1!#REF!</definedName>
  </definedNames>
  <calcPr calcId="191029"/>
</workbook>
</file>

<file path=xl/calcChain.xml><?xml version="1.0" encoding="utf-8"?>
<calcChain xmlns="http://schemas.openxmlformats.org/spreadsheetml/2006/main">
  <c r="I19" i="128" l="1"/>
  <c r="H19" i="128"/>
  <c r="G19" i="128"/>
  <c r="F19" i="128"/>
  <c r="E19" i="128"/>
  <c r="D19" i="128"/>
  <c r="C19" i="128"/>
  <c r="B19" i="128"/>
  <c r="I18" i="128"/>
  <c r="E18" i="128" s="1"/>
  <c r="H18" i="128"/>
  <c r="D18" i="128" s="1"/>
  <c r="G18" i="128"/>
  <c r="C18" i="128" s="1"/>
  <c r="F18" i="128"/>
  <c r="B18" i="128" s="1"/>
  <c r="I17" i="128"/>
  <c r="H17" i="128"/>
  <c r="G17" i="128"/>
  <c r="F17" i="128"/>
  <c r="E17" i="128"/>
  <c r="D17" i="128"/>
  <c r="C17" i="128"/>
  <c r="B17" i="128"/>
  <c r="I16" i="128"/>
  <c r="H16" i="128"/>
  <c r="G16" i="128"/>
  <c r="F16" i="128"/>
  <c r="E16" i="128"/>
  <c r="D16" i="128"/>
  <c r="C16" i="128"/>
  <c r="B16" i="128"/>
  <c r="I15" i="128"/>
  <c r="E15" i="128" s="1"/>
  <c r="H15" i="128"/>
  <c r="D15" i="128" s="1"/>
  <c r="G15" i="128"/>
  <c r="C15" i="128" s="1"/>
  <c r="F15" i="128"/>
  <c r="B15" i="128" s="1"/>
  <c r="I14" i="128"/>
  <c r="H14" i="128"/>
  <c r="G14" i="128"/>
  <c r="F14" i="128"/>
  <c r="E14" i="128"/>
  <c r="D14" i="128"/>
  <c r="C14" i="128"/>
  <c r="B14" i="128"/>
  <c r="O43" i="103" l="1"/>
  <c r="O42" i="103"/>
  <c r="O41" i="103"/>
  <c r="O40" i="103"/>
  <c r="O39" i="103"/>
  <c r="O38" i="103"/>
  <c r="O37" i="103"/>
  <c r="O36" i="103"/>
  <c r="O35" i="103"/>
  <c r="O34" i="103"/>
  <c r="O33" i="103"/>
  <c r="O32" i="103"/>
  <c r="O31" i="103"/>
  <c r="O30" i="103"/>
  <c r="O29" i="103"/>
  <c r="O28" i="103"/>
  <c r="O27" i="103"/>
  <c r="O26" i="103"/>
  <c r="O25" i="103"/>
  <c r="O24" i="103"/>
  <c r="O23" i="103"/>
  <c r="O22" i="103"/>
  <c r="O21" i="103"/>
  <c r="O20" i="103"/>
  <c r="O19" i="103"/>
  <c r="K20" i="103"/>
  <c r="K21" i="103"/>
  <c r="K22" i="103"/>
  <c r="K23" i="103"/>
  <c r="K24" i="103"/>
  <c r="K25" i="103"/>
  <c r="K26" i="103"/>
  <c r="K27" i="103"/>
  <c r="K28" i="103"/>
  <c r="K29" i="103"/>
  <c r="K30" i="103"/>
  <c r="K31" i="103"/>
  <c r="K32" i="103"/>
  <c r="K33" i="103"/>
  <c r="K34" i="103"/>
  <c r="K35" i="103"/>
  <c r="K36" i="103"/>
  <c r="K37" i="103"/>
  <c r="K38" i="103"/>
  <c r="K39" i="103"/>
  <c r="K40" i="103"/>
  <c r="K41" i="103"/>
  <c r="K42" i="103"/>
  <c r="K43" i="103"/>
  <c r="K19" i="103"/>
  <c r="AC19" i="128" l="1"/>
  <c r="AA19" i="128"/>
  <c r="AB19" i="128"/>
  <c r="Z19" i="128"/>
  <c r="C19" i="134" l="1"/>
  <c r="B19" i="134"/>
  <c r="P18" i="129" l="1"/>
  <c r="O18" i="129"/>
  <c r="N18" i="129"/>
  <c r="M18" i="129"/>
  <c r="L18" i="129"/>
  <c r="C18" i="129"/>
  <c r="B18" i="129"/>
  <c r="E16" i="120" l="1"/>
  <c r="B16" i="118"/>
  <c r="E16" i="118"/>
  <c r="D16" i="118"/>
  <c r="C16" i="118"/>
  <c r="N16" i="118"/>
  <c r="F16" i="118"/>
  <c r="E15" i="117"/>
  <c r="B16" i="145" l="1"/>
  <c r="E16" i="145"/>
  <c r="L17" i="133" l="1"/>
  <c r="K18" i="126"/>
  <c r="J18" i="126"/>
  <c r="C18" i="126"/>
  <c r="B42" i="132" l="1"/>
  <c r="B41" i="132"/>
  <c r="B40" i="132"/>
  <c r="B39" i="132"/>
  <c r="B38" i="132"/>
  <c r="B37" i="132"/>
  <c r="B36" i="132"/>
  <c r="B35" i="132"/>
  <c r="B34" i="132"/>
  <c r="B33" i="132"/>
  <c r="B32" i="132"/>
  <c r="B31" i="132"/>
  <c r="B30" i="132"/>
  <c r="B29" i="132"/>
  <c r="B28" i="132"/>
  <c r="B27" i="132"/>
  <c r="B26" i="132"/>
  <c r="B25" i="132"/>
  <c r="B24" i="132"/>
  <c r="B23" i="132"/>
  <c r="B22" i="132"/>
  <c r="B21" i="132"/>
  <c r="B20" i="132"/>
  <c r="B19" i="132"/>
  <c r="B17" i="132" s="1"/>
  <c r="B18" i="132"/>
  <c r="U17" i="132"/>
  <c r="T17" i="132"/>
  <c r="S17" i="132"/>
  <c r="R17" i="132"/>
  <c r="Q17" i="132"/>
  <c r="P17" i="132"/>
  <c r="O17" i="132"/>
  <c r="N17" i="132"/>
  <c r="M17" i="132"/>
  <c r="L17" i="132"/>
  <c r="K17" i="132"/>
  <c r="J17" i="132"/>
  <c r="I17" i="132"/>
  <c r="H17" i="132"/>
  <c r="G17" i="132"/>
  <c r="F17" i="132"/>
  <c r="E17" i="132"/>
  <c r="D17" i="132"/>
  <c r="C17" i="132"/>
  <c r="G18" i="131" l="1"/>
  <c r="C18" i="131"/>
  <c r="C19" i="115" l="1"/>
  <c r="B19" i="115"/>
  <c r="J16" i="118" l="1"/>
  <c r="B15" i="117"/>
  <c r="L20" i="116"/>
  <c r="C20" i="116"/>
  <c r="B20" i="116"/>
  <c r="C19" i="112" l="1"/>
  <c r="C20" i="112"/>
  <c r="B19" i="112"/>
  <c r="B20" i="112"/>
  <c r="C18" i="112"/>
  <c r="B18" i="112"/>
  <c r="J42" i="137" l="1"/>
  <c r="B42" i="137"/>
  <c r="J41" i="137"/>
  <c r="B41" i="137"/>
  <c r="J40" i="137"/>
  <c r="B40" i="137"/>
  <c r="J39" i="137"/>
  <c r="B39" i="137"/>
  <c r="J38" i="137"/>
  <c r="B38" i="137"/>
  <c r="J37" i="137"/>
  <c r="B37" i="137"/>
  <c r="J36" i="137"/>
  <c r="B36" i="137"/>
  <c r="J35" i="137"/>
  <c r="B35" i="137"/>
  <c r="J34" i="137"/>
  <c r="B34" i="137"/>
  <c r="J33" i="137"/>
  <c r="B33" i="137"/>
  <c r="J32" i="137"/>
  <c r="B32" i="137"/>
  <c r="J31" i="137"/>
  <c r="B31" i="137"/>
  <c r="J30" i="137"/>
  <c r="B30" i="137"/>
  <c r="J29" i="137"/>
  <c r="B29" i="137"/>
  <c r="J28" i="137"/>
  <c r="B28" i="137"/>
  <c r="J27" i="137"/>
  <c r="B27" i="137"/>
  <c r="J26" i="137"/>
  <c r="B26" i="137"/>
  <c r="J25" i="137"/>
  <c r="B25" i="137"/>
  <c r="J24" i="137"/>
  <c r="B24" i="137"/>
  <c r="J23" i="137"/>
  <c r="B23" i="137"/>
  <c r="J22" i="137"/>
  <c r="B22" i="137"/>
  <c r="J21" i="137"/>
  <c r="B21" i="137"/>
  <c r="J20" i="137"/>
  <c r="B20" i="137"/>
  <c r="J19" i="137"/>
  <c r="B19" i="137"/>
  <c r="J18" i="137"/>
  <c r="B18" i="137"/>
  <c r="Q17" i="137"/>
  <c r="P17" i="137"/>
  <c r="O17" i="137"/>
  <c r="N17" i="137"/>
  <c r="M17" i="137"/>
  <c r="L17" i="137"/>
  <c r="K17" i="137"/>
  <c r="J17" i="137"/>
  <c r="I17" i="137"/>
  <c r="H17" i="137"/>
  <c r="G17" i="137"/>
  <c r="F17" i="137"/>
  <c r="E17" i="137"/>
  <c r="B17" i="137" s="1"/>
  <c r="D17" i="137"/>
  <c r="C17" i="137"/>
  <c r="E18" i="130"/>
  <c r="D18" i="130"/>
  <c r="C18" i="130"/>
  <c r="AF20" i="141" l="1"/>
  <c r="AC20" i="141"/>
  <c r="W20" i="141"/>
  <c r="Q20" i="141"/>
  <c r="N20" i="141"/>
  <c r="K20" i="141"/>
  <c r="E43" i="125"/>
  <c r="D43" i="125"/>
  <c r="C43" i="125"/>
  <c r="B43" i="125"/>
  <c r="E42" i="125"/>
  <c r="D42" i="125"/>
  <c r="C42" i="125"/>
  <c r="B42" i="125"/>
  <c r="E41" i="125"/>
  <c r="D41" i="125"/>
  <c r="C41" i="125"/>
  <c r="B41" i="125"/>
  <c r="E40" i="125"/>
  <c r="D40" i="125"/>
  <c r="C40" i="125"/>
  <c r="B40" i="125"/>
  <c r="E39" i="125"/>
  <c r="D39" i="125"/>
  <c r="C39" i="125"/>
  <c r="B39" i="125"/>
  <c r="E38" i="125"/>
  <c r="D38" i="125"/>
  <c r="C38" i="125"/>
  <c r="B38" i="125"/>
  <c r="E37" i="125"/>
  <c r="D37" i="125"/>
  <c r="C37" i="125"/>
  <c r="B37" i="125"/>
  <c r="E36" i="125"/>
  <c r="D36" i="125"/>
  <c r="C36" i="125"/>
  <c r="B36" i="125"/>
  <c r="E35" i="125"/>
  <c r="D35" i="125"/>
  <c r="C35" i="125"/>
  <c r="B35" i="125"/>
  <c r="E34" i="125"/>
  <c r="D34" i="125"/>
  <c r="C34" i="125"/>
  <c r="B34" i="125"/>
  <c r="E33" i="125"/>
  <c r="D33" i="125"/>
  <c r="C33" i="125"/>
  <c r="B33" i="125"/>
  <c r="E32" i="125"/>
  <c r="D32" i="125"/>
  <c r="C32" i="125"/>
  <c r="B32" i="125"/>
  <c r="E31" i="125"/>
  <c r="D31" i="125"/>
  <c r="C31" i="125"/>
  <c r="B31" i="125"/>
  <c r="E30" i="125"/>
  <c r="D30" i="125"/>
  <c r="C30" i="125"/>
  <c r="B30" i="125"/>
  <c r="E29" i="125"/>
  <c r="D29" i="125"/>
  <c r="C29" i="125"/>
  <c r="B29" i="125"/>
  <c r="E28" i="125"/>
  <c r="D28" i="125"/>
  <c r="C28" i="125"/>
  <c r="B28" i="125"/>
  <c r="E27" i="125"/>
  <c r="D27" i="125"/>
  <c r="C27" i="125"/>
  <c r="B27" i="125"/>
  <c r="E26" i="125"/>
  <c r="D26" i="125"/>
  <c r="C26" i="125"/>
  <c r="B26" i="125"/>
  <c r="E25" i="125"/>
  <c r="D25" i="125"/>
  <c r="C25" i="125"/>
  <c r="B25" i="125"/>
  <c r="E24" i="125"/>
  <c r="D24" i="125"/>
  <c r="C24" i="125"/>
  <c r="B24" i="125"/>
  <c r="E23" i="125"/>
  <c r="D23" i="125"/>
  <c r="C23" i="125"/>
  <c r="B23" i="125"/>
  <c r="E22" i="125"/>
  <c r="D22" i="125"/>
  <c r="C22" i="125"/>
  <c r="B22" i="125"/>
  <c r="E21" i="125"/>
  <c r="D21" i="125"/>
  <c r="C21" i="125"/>
  <c r="B21" i="125"/>
  <c r="E20" i="125"/>
  <c r="D20" i="125"/>
  <c r="C20" i="125"/>
  <c r="B20" i="125"/>
  <c r="E19" i="125"/>
  <c r="D19" i="125"/>
  <c r="C19" i="125"/>
  <c r="B19" i="125"/>
  <c r="AG18" i="125"/>
  <c r="AF18" i="125"/>
  <c r="AE18" i="125"/>
  <c r="AD18" i="125"/>
  <c r="AC18" i="125"/>
  <c r="AB18" i="125"/>
  <c r="AA18" i="125"/>
  <c r="Z18" i="125"/>
  <c r="Y18" i="125"/>
  <c r="X18" i="125"/>
  <c r="W18" i="125"/>
  <c r="V18" i="125"/>
  <c r="U18" i="125"/>
  <c r="T18" i="125"/>
  <c r="S18" i="125"/>
  <c r="R18" i="125"/>
  <c r="Q18" i="125"/>
  <c r="P18" i="125"/>
  <c r="O18" i="125"/>
  <c r="N18" i="125"/>
  <c r="M18" i="125"/>
  <c r="L18" i="125"/>
  <c r="D18" i="125" s="1"/>
  <c r="K18" i="125"/>
  <c r="C18" i="125" s="1"/>
  <c r="J18" i="125"/>
  <c r="B18" i="125" s="1"/>
  <c r="I18" i="125"/>
  <c r="E18" i="125" s="1"/>
  <c r="H18" i="125"/>
  <c r="G18" i="125"/>
  <c r="F18" i="125"/>
  <c r="W43" i="124"/>
  <c r="G43" i="124" s="1"/>
  <c r="T43" i="124"/>
  <c r="O43" i="124"/>
  <c r="L43" i="124"/>
  <c r="I43" i="124"/>
  <c r="H43" i="124"/>
  <c r="F43" i="124"/>
  <c r="E43" i="124"/>
  <c r="D43" i="124"/>
  <c r="C43" i="124"/>
  <c r="B43" i="124"/>
  <c r="W42" i="124"/>
  <c r="G42" i="124" s="1"/>
  <c r="T42" i="124"/>
  <c r="O42" i="124"/>
  <c r="L42" i="124"/>
  <c r="D42" i="124" s="1"/>
  <c r="I42" i="124"/>
  <c r="H42" i="124"/>
  <c r="F42" i="124"/>
  <c r="E42" i="124"/>
  <c r="C42" i="124"/>
  <c r="B42" i="124"/>
  <c r="W41" i="124"/>
  <c r="T41" i="124"/>
  <c r="O41" i="124"/>
  <c r="L41" i="124"/>
  <c r="D41" i="124" s="1"/>
  <c r="I41" i="124"/>
  <c r="H41" i="124"/>
  <c r="F41" i="124"/>
  <c r="E41" i="124"/>
  <c r="C41" i="124"/>
  <c r="B41" i="124"/>
  <c r="W40" i="124"/>
  <c r="G40" i="124" s="1"/>
  <c r="T40" i="124"/>
  <c r="O40" i="124"/>
  <c r="L40" i="124"/>
  <c r="I40" i="124"/>
  <c r="H40" i="124"/>
  <c r="F40" i="124"/>
  <c r="E40" i="124"/>
  <c r="D40" i="124"/>
  <c r="C40" i="124"/>
  <c r="B40" i="124"/>
  <c r="W39" i="124"/>
  <c r="T39" i="124"/>
  <c r="O39" i="124"/>
  <c r="L39" i="124"/>
  <c r="I39" i="124"/>
  <c r="H39" i="124"/>
  <c r="F39" i="124"/>
  <c r="E39" i="124"/>
  <c r="D39" i="124"/>
  <c r="C39" i="124"/>
  <c r="B39" i="124"/>
  <c r="W38" i="124"/>
  <c r="G38" i="124" s="1"/>
  <c r="T38" i="124"/>
  <c r="O38" i="124"/>
  <c r="L38" i="124"/>
  <c r="I38" i="124"/>
  <c r="H38" i="124"/>
  <c r="F38" i="124"/>
  <c r="E38" i="124"/>
  <c r="D38" i="124"/>
  <c r="C38" i="124"/>
  <c r="B38" i="124"/>
  <c r="W37" i="124"/>
  <c r="G37" i="124" s="1"/>
  <c r="T37" i="124"/>
  <c r="D37" i="124" s="1"/>
  <c r="O37" i="124"/>
  <c r="L37" i="124"/>
  <c r="I37" i="124"/>
  <c r="H37" i="124"/>
  <c r="F37" i="124"/>
  <c r="E37" i="124"/>
  <c r="C37" i="124"/>
  <c r="B37" i="124"/>
  <c r="W36" i="124"/>
  <c r="G36" i="124" s="1"/>
  <c r="T36" i="124"/>
  <c r="O36" i="124"/>
  <c r="L36" i="124"/>
  <c r="I36" i="124"/>
  <c r="H36" i="124"/>
  <c r="F36" i="124"/>
  <c r="E36" i="124"/>
  <c r="D36" i="124"/>
  <c r="C36" i="124"/>
  <c r="B36" i="124"/>
  <c r="W35" i="124"/>
  <c r="G35" i="124" s="1"/>
  <c r="T35" i="124"/>
  <c r="D35" i="124" s="1"/>
  <c r="O35" i="124"/>
  <c r="L35" i="124"/>
  <c r="I35" i="124"/>
  <c r="H35" i="124"/>
  <c r="F35" i="124"/>
  <c r="E35" i="124"/>
  <c r="C35" i="124"/>
  <c r="B35" i="124"/>
  <c r="W34" i="124"/>
  <c r="G34" i="124" s="1"/>
  <c r="T34" i="124"/>
  <c r="O34" i="124"/>
  <c r="L34" i="124"/>
  <c r="I34" i="124"/>
  <c r="H34" i="124"/>
  <c r="F34" i="124"/>
  <c r="E34" i="124"/>
  <c r="D34" i="124"/>
  <c r="C34" i="124"/>
  <c r="B34" i="124"/>
  <c r="W33" i="124"/>
  <c r="G33" i="124" s="1"/>
  <c r="T33" i="124"/>
  <c r="D33" i="124" s="1"/>
  <c r="O33" i="124"/>
  <c r="L33" i="124"/>
  <c r="I33" i="124"/>
  <c r="H33" i="124"/>
  <c r="F33" i="124"/>
  <c r="E33" i="124"/>
  <c r="C33" i="124"/>
  <c r="B33" i="124"/>
  <c r="W32" i="124"/>
  <c r="T32" i="124"/>
  <c r="O32" i="124"/>
  <c r="L32" i="124"/>
  <c r="D32" i="124" s="1"/>
  <c r="I32" i="124"/>
  <c r="H32" i="124"/>
  <c r="F32" i="124"/>
  <c r="E32" i="124"/>
  <c r="C32" i="124"/>
  <c r="B32" i="124"/>
  <c r="W31" i="124"/>
  <c r="G31" i="124" s="1"/>
  <c r="T31" i="124"/>
  <c r="O31" i="124"/>
  <c r="L31" i="124"/>
  <c r="I31" i="124"/>
  <c r="H31" i="124"/>
  <c r="F31" i="124"/>
  <c r="E31" i="124"/>
  <c r="D31" i="124"/>
  <c r="C31" i="124"/>
  <c r="B31" i="124"/>
  <c r="W30" i="124"/>
  <c r="G30" i="124" s="1"/>
  <c r="T30" i="124"/>
  <c r="O30" i="124"/>
  <c r="L30" i="124"/>
  <c r="D30" i="124" s="1"/>
  <c r="I30" i="124"/>
  <c r="H30" i="124"/>
  <c r="F30" i="124"/>
  <c r="E30" i="124"/>
  <c r="C30" i="124"/>
  <c r="B30" i="124"/>
  <c r="W29" i="124"/>
  <c r="G29" i="124" s="1"/>
  <c r="T29" i="124"/>
  <c r="O29" i="124"/>
  <c r="L29" i="124"/>
  <c r="D29" i="124" s="1"/>
  <c r="I29" i="124"/>
  <c r="H29" i="124"/>
  <c r="F29" i="124"/>
  <c r="E29" i="124"/>
  <c r="C29" i="124"/>
  <c r="B29" i="124"/>
  <c r="W28" i="124"/>
  <c r="G28" i="124" s="1"/>
  <c r="T28" i="124"/>
  <c r="D28" i="124" s="1"/>
  <c r="O28" i="124"/>
  <c r="L28" i="124"/>
  <c r="I28" i="124"/>
  <c r="H28" i="124"/>
  <c r="F28" i="124"/>
  <c r="E28" i="124"/>
  <c r="C28" i="124"/>
  <c r="B28" i="124"/>
  <c r="W27" i="124"/>
  <c r="T27" i="124"/>
  <c r="O27" i="124"/>
  <c r="L27" i="124"/>
  <c r="D27" i="124" s="1"/>
  <c r="I27" i="124"/>
  <c r="H27" i="124"/>
  <c r="F27" i="124"/>
  <c r="E27" i="124"/>
  <c r="C27" i="124"/>
  <c r="B27" i="124"/>
  <c r="W26" i="124"/>
  <c r="G26" i="124" s="1"/>
  <c r="T26" i="124"/>
  <c r="D26" i="124" s="1"/>
  <c r="O26" i="124"/>
  <c r="L26" i="124"/>
  <c r="I26" i="124"/>
  <c r="H26" i="124"/>
  <c r="F26" i="124"/>
  <c r="E26" i="124"/>
  <c r="C26" i="124"/>
  <c r="B26" i="124"/>
  <c r="W25" i="124"/>
  <c r="G25" i="124" s="1"/>
  <c r="T25" i="124"/>
  <c r="D25" i="124" s="1"/>
  <c r="O25" i="124"/>
  <c r="L25" i="124"/>
  <c r="I25" i="124"/>
  <c r="H25" i="124"/>
  <c r="F25" i="124"/>
  <c r="E25" i="124"/>
  <c r="C25" i="124"/>
  <c r="B25" i="124"/>
  <c r="W24" i="124"/>
  <c r="G24" i="124" s="1"/>
  <c r="T24" i="124"/>
  <c r="D24" i="124" s="1"/>
  <c r="O24" i="124"/>
  <c r="L24" i="124"/>
  <c r="I24" i="124"/>
  <c r="H24" i="124"/>
  <c r="F24" i="124"/>
  <c r="E24" i="124"/>
  <c r="C24" i="124"/>
  <c r="B24" i="124"/>
  <c r="W23" i="124"/>
  <c r="G23" i="124" s="1"/>
  <c r="T23" i="124"/>
  <c r="O23" i="124"/>
  <c r="L23" i="124"/>
  <c r="I23" i="124"/>
  <c r="H23" i="124"/>
  <c r="F23" i="124"/>
  <c r="E23" i="124"/>
  <c r="D23" i="124"/>
  <c r="C23" i="124"/>
  <c r="B23" i="124"/>
  <c r="W22" i="124"/>
  <c r="G22" i="124" s="1"/>
  <c r="T22" i="124"/>
  <c r="O22" i="124"/>
  <c r="L22" i="124"/>
  <c r="I22" i="124"/>
  <c r="H22" i="124"/>
  <c r="F22" i="124"/>
  <c r="E22" i="124"/>
  <c r="D22" i="124"/>
  <c r="C22" i="124"/>
  <c r="B22" i="124"/>
  <c r="W21" i="124"/>
  <c r="G21" i="124" s="1"/>
  <c r="T21" i="124"/>
  <c r="O21" i="124"/>
  <c r="L21" i="124"/>
  <c r="I21" i="124"/>
  <c r="H21" i="124"/>
  <c r="F21" i="124"/>
  <c r="E21" i="124"/>
  <c r="D21" i="124"/>
  <c r="C21" i="124"/>
  <c r="B21" i="124"/>
  <c r="W20" i="124"/>
  <c r="G20" i="124" s="1"/>
  <c r="T20" i="124"/>
  <c r="O20" i="124"/>
  <c r="L20" i="124"/>
  <c r="I20" i="124"/>
  <c r="H20" i="124"/>
  <c r="F20" i="124"/>
  <c r="E20" i="124"/>
  <c r="D20" i="124"/>
  <c r="C20" i="124"/>
  <c r="B20" i="124"/>
  <c r="W19" i="124"/>
  <c r="T19" i="124"/>
  <c r="O19" i="124"/>
  <c r="L19" i="124"/>
  <c r="I19" i="124"/>
  <c r="H19" i="124"/>
  <c r="F19" i="124"/>
  <c r="E19" i="124"/>
  <c r="D19" i="124"/>
  <c r="C19" i="124"/>
  <c r="B19" i="124"/>
  <c r="Y18" i="124"/>
  <c r="X18" i="124"/>
  <c r="V18" i="124"/>
  <c r="U18" i="124"/>
  <c r="S18" i="124"/>
  <c r="R18" i="124"/>
  <c r="Q18" i="124"/>
  <c r="P18" i="124"/>
  <c r="N18" i="124"/>
  <c r="M18" i="124"/>
  <c r="K18" i="124"/>
  <c r="J18" i="124"/>
  <c r="AC43" i="123"/>
  <c r="W43" i="123"/>
  <c r="T43" i="123"/>
  <c r="O43" i="123"/>
  <c r="L43" i="123"/>
  <c r="I43" i="123"/>
  <c r="H43" i="123"/>
  <c r="G43" i="123"/>
  <c r="F43" i="123"/>
  <c r="E43" i="123"/>
  <c r="D43" i="123" s="1"/>
  <c r="C43" i="123"/>
  <c r="B43" i="123"/>
  <c r="AC42" i="123"/>
  <c r="W42" i="123"/>
  <c r="T42" i="123"/>
  <c r="O42" i="123"/>
  <c r="G42" i="123" s="1"/>
  <c r="L42" i="123"/>
  <c r="I42" i="123"/>
  <c r="H42" i="123"/>
  <c r="F42" i="123"/>
  <c r="E42" i="123"/>
  <c r="D42" i="123"/>
  <c r="C42" i="123"/>
  <c r="B42" i="123"/>
  <c r="AC41" i="123"/>
  <c r="W41" i="123"/>
  <c r="T41" i="123"/>
  <c r="O41" i="123"/>
  <c r="G41" i="123" s="1"/>
  <c r="L41" i="123"/>
  <c r="I41" i="123"/>
  <c r="H41" i="123"/>
  <c r="F41" i="123"/>
  <c r="E41" i="123"/>
  <c r="D41" i="123" s="1"/>
  <c r="C41" i="123"/>
  <c r="B41" i="123"/>
  <c r="AC40" i="123"/>
  <c r="W40" i="123"/>
  <c r="T40" i="123"/>
  <c r="O40" i="123"/>
  <c r="L40" i="123"/>
  <c r="I40" i="123"/>
  <c r="H40" i="123"/>
  <c r="G40" i="123"/>
  <c r="F40" i="123"/>
  <c r="E40" i="123"/>
  <c r="C40" i="123"/>
  <c r="B40" i="123"/>
  <c r="AC39" i="123"/>
  <c r="W39" i="123"/>
  <c r="T39" i="123"/>
  <c r="O39" i="123"/>
  <c r="G39" i="123" s="1"/>
  <c r="L39" i="123"/>
  <c r="I39" i="123"/>
  <c r="H39" i="123"/>
  <c r="F39" i="123"/>
  <c r="E39" i="123"/>
  <c r="D39" i="123"/>
  <c r="C39" i="123"/>
  <c r="B39" i="123"/>
  <c r="AC38" i="123"/>
  <c r="W38" i="123"/>
  <c r="T38" i="123"/>
  <c r="O38" i="123"/>
  <c r="G38" i="123" s="1"/>
  <c r="L38" i="123"/>
  <c r="I38" i="123"/>
  <c r="H38" i="123"/>
  <c r="F38" i="123"/>
  <c r="E38" i="123"/>
  <c r="D38" i="123"/>
  <c r="C38" i="123"/>
  <c r="B38" i="123"/>
  <c r="AC37" i="123"/>
  <c r="W37" i="123"/>
  <c r="T37" i="123"/>
  <c r="O37" i="123"/>
  <c r="G37" i="123" s="1"/>
  <c r="L37" i="123"/>
  <c r="I37" i="123"/>
  <c r="H37" i="123"/>
  <c r="F37" i="123"/>
  <c r="E37" i="123"/>
  <c r="D37" i="123"/>
  <c r="C37" i="123"/>
  <c r="B37" i="123"/>
  <c r="AC36" i="123"/>
  <c r="W36" i="123"/>
  <c r="T36" i="123"/>
  <c r="O36" i="123"/>
  <c r="G36" i="123" s="1"/>
  <c r="L36" i="123"/>
  <c r="I36" i="123"/>
  <c r="H36" i="123"/>
  <c r="F36" i="123"/>
  <c r="E36" i="123"/>
  <c r="D36" i="123"/>
  <c r="C36" i="123"/>
  <c r="B36" i="123"/>
  <c r="AC35" i="123"/>
  <c r="W35" i="123"/>
  <c r="T35" i="123"/>
  <c r="O35" i="123"/>
  <c r="G35" i="123" s="1"/>
  <c r="L35" i="123"/>
  <c r="I35" i="123"/>
  <c r="H35" i="123"/>
  <c r="F35" i="123"/>
  <c r="E35" i="123"/>
  <c r="D35" i="123"/>
  <c r="C35" i="123"/>
  <c r="B35" i="123"/>
  <c r="AC34" i="123"/>
  <c r="W34" i="123"/>
  <c r="T34" i="123"/>
  <c r="O34" i="123"/>
  <c r="L34" i="123"/>
  <c r="I34" i="123"/>
  <c r="H34" i="123"/>
  <c r="F34" i="123"/>
  <c r="E34" i="123"/>
  <c r="D34" i="123"/>
  <c r="C34" i="123"/>
  <c r="B34" i="123"/>
  <c r="AC33" i="123"/>
  <c r="W33" i="123"/>
  <c r="T33" i="123"/>
  <c r="O33" i="123"/>
  <c r="L33" i="123"/>
  <c r="I33" i="123"/>
  <c r="H33" i="123"/>
  <c r="F33" i="123"/>
  <c r="E33" i="123"/>
  <c r="D33" i="123"/>
  <c r="C33" i="123"/>
  <c r="B33" i="123"/>
  <c r="AC32" i="123"/>
  <c r="W32" i="123" s="1"/>
  <c r="T32" i="123"/>
  <c r="O32" i="123"/>
  <c r="L32" i="123"/>
  <c r="I32" i="123"/>
  <c r="H32" i="123"/>
  <c r="F32" i="123"/>
  <c r="E32" i="123"/>
  <c r="D32" i="123"/>
  <c r="C32" i="123"/>
  <c r="B32" i="123"/>
  <c r="AC31" i="123"/>
  <c r="W31" i="123"/>
  <c r="T31" i="123"/>
  <c r="O31" i="123"/>
  <c r="G31" i="123" s="1"/>
  <c r="L31" i="123"/>
  <c r="I31" i="123"/>
  <c r="H31" i="123"/>
  <c r="F31" i="123"/>
  <c r="E31" i="123"/>
  <c r="D31" i="123"/>
  <c r="C31" i="123"/>
  <c r="B31" i="123"/>
  <c r="AC30" i="123"/>
  <c r="W30" i="123"/>
  <c r="T30" i="123"/>
  <c r="O30" i="123"/>
  <c r="G30" i="123" s="1"/>
  <c r="L30" i="123"/>
  <c r="I30" i="123"/>
  <c r="H30" i="123"/>
  <c r="F30" i="123"/>
  <c r="E30" i="123"/>
  <c r="D30" i="123"/>
  <c r="C30" i="123"/>
  <c r="B30" i="123"/>
  <c r="AC29" i="123"/>
  <c r="W29" i="123"/>
  <c r="T29" i="123"/>
  <c r="O29" i="123"/>
  <c r="G29" i="123" s="1"/>
  <c r="L29" i="123"/>
  <c r="I29" i="123"/>
  <c r="H29" i="123"/>
  <c r="F29" i="123"/>
  <c r="E29" i="123"/>
  <c r="D29" i="123" s="1"/>
  <c r="C29" i="123"/>
  <c r="B29" i="123"/>
  <c r="AC28" i="123"/>
  <c r="W28" i="123"/>
  <c r="T28" i="123"/>
  <c r="O28" i="123"/>
  <c r="G28" i="123" s="1"/>
  <c r="L28" i="123"/>
  <c r="I28" i="123"/>
  <c r="H28" i="123"/>
  <c r="F28" i="123"/>
  <c r="E28" i="123"/>
  <c r="C28" i="123"/>
  <c r="B28" i="123"/>
  <c r="AC27" i="123"/>
  <c r="W27" i="123"/>
  <c r="T27" i="123"/>
  <c r="O27" i="123"/>
  <c r="G27" i="123" s="1"/>
  <c r="L27" i="123"/>
  <c r="I27" i="123"/>
  <c r="H27" i="123"/>
  <c r="F27" i="123"/>
  <c r="E27" i="123"/>
  <c r="D27" i="123"/>
  <c r="C27" i="123"/>
  <c r="B27" i="123"/>
  <c r="AC26" i="123"/>
  <c r="W26" i="123"/>
  <c r="T26" i="123"/>
  <c r="O26" i="123"/>
  <c r="G26" i="123" s="1"/>
  <c r="L26" i="123"/>
  <c r="I26" i="123"/>
  <c r="H26" i="123"/>
  <c r="F26" i="123"/>
  <c r="E26" i="123"/>
  <c r="D26" i="123"/>
  <c r="C26" i="123"/>
  <c r="B26" i="123"/>
  <c r="AC25" i="123"/>
  <c r="W25" i="123"/>
  <c r="T25" i="123"/>
  <c r="O25" i="123"/>
  <c r="G25" i="123" s="1"/>
  <c r="L25" i="123"/>
  <c r="I25" i="123"/>
  <c r="H25" i="123"/>
  <c r="F25" i="123"/>
  <c r="E25" i="123"/>
  <c r="D25" i="123"/>
  <c r="C25" i="123"/>
  <c r="B25" i="123"/>
  <c r="AC24" i="123"/>
  <c r="W24" i="123"/>
  <c r="T24" i="123"/>
  <c r="O24" i="123"/>
  <c r="G24" i="123" s="1"/>
  <c r="L24" i="123"/>
  <c r="I24" i="123"/>
  <c r="H24" i="123"/>
  <c r="F24" i="123"/>
  <c r="E24" i="123"/>
  <c r="D24" i="123"/>
  <c r="C24" i="123"/>
  <c r="B24" i="123"/>
  <c r="AC23" i="123"/>
  <c r="W23" i="123"/>
  <c r="T23" i="123"/>
  <c r="O23" i="123"/>
  <c r="G23" i="123" s="1"/>
  <c r="L23" i="123"/>
  <c r="I23" i="123"/>
  <c r="H23" i="123"/>
  <c r="F23" i="123"/>
  <c r="E23" i="123"/>
  <c r="D23" i="123"/>
  <c r="C23" i="123"/>
  <c r="B23" i="123"/>
  <c r="AC22" i="123"/>
  <c r="W22" i="123"/>
  <c r="G22" i="123" s="1"/>
  <c r="T22" i="123"/>
  <c r="O22" i="123"/>
  <c r="L22" i="123"/>
  <c r="I22" i="123"/>
  <c r="H22" i="123"/>
  <c r="F22" i="123"/>
  <c r="E22" i="123"/>
  <c r="D22" i="123"/>
  <c r="C22" i="123"/>
  <c r="B22" i="123"/>
  <c r="AC21" i="123"/>
  <c r="W21" i="123"/>
  <c r="G21" i="123" s="1"/>
  <c r="T21" i="123"/>
  <c r="O21" i="123"/>
  <c r="L21" i="123"/>
  <c r="I21" i="123"/>
  <c r="H21" i="123"/>
  <c r="F21" i="123"/>
  <c r="E21" i="123"/>
  <c r="D21" i="123"/>
  <c r="C21" i="123"/>
  <c r="B21" i="123"/>
  <c r="AC20" i="123"/>
  <c r="W20" i="123" s="1"/>
  <c r="T20" i="123"/>
  <c r="O20" i="123"/>
  <c r="L20" i="123"/>
  <c r="I20" i="123"/>
  <c r="H20" i="123"/>
  <c r="F20" i="123"/>
  <c r="E20" i="123"/>
  <c r="D20" i="123"/>
  <c r="C20" i="123"/>
  <c r="B20" i="123"/>
  <c r="AC19" i="123"/>
  <c r="W19" i="123"/>
  <c r="T19" i="123"/>
  <c r="O19" i="123"/>
  <c r="G19" i="123" s="1"/>
  <c r="L19" i="123"/>
  <c r="I19" i="123"/>
  <c r="H19" i="123"/>
  <c r="F19" i="123"/>
  <c r="E19" i="123"/>
  <c r="D19" i="123"/>
  <c r="C19" i="123"/>
  <c r="B19" i="123"/>
  <c r="AE18" i="123"/>
  <c r="AD18" i="123"/>
  <c r="AB18" i="123"/>
  <c r="AA18" i="123"/>
  <c r="Z18" i="123"/>
  <c r="Y18" i="123"/>
  <c r="X18" i="123"/>
  <c r="V18" i="123"/>
  <c r="U18" i="123"/>
  <c r="S18" i="123"/>
  <c r="R18" i="123"/>
  <c r="Q18" i="123"/>
  <c r="I18" i="123" s="1"/>
  <c r="P18" i="123"/>
  <c r="H18" i="123" s="1"/>
  <c r="N18" i="123"/>
  <c r="F18" i="123" s="1"/>
  <c r="M18" i="123"/>
  <c r="E18" i="123" s="1"/>
  <c r="D18" i="123" s="1"/>
  <c r="K18" i="123"/>
  <c r="J18" i="123"/>
  <c r="D41" i="122"/>
  <c r="B41" i="122"/>
  <c r="D40" i="122"/>
  <c r="B40" i="122"/>
  <c r="D39" i="122"/>
  <c r="B39" i="122"/>
  <c r="D38" i="122"/>
  <c r="B38" i="122"/>
  <c r="D37" i="122"/>
  <c r="B37" i="122"/>
  <c r="D36" i="122"/>
  <c r="B36" i="122"/>
  <c r="D35" i="122"/>
  <c r="B35" i="122"/>
  <c r="D34" i="122"/>
  <c r="B34" i="122"/>
  <c r="D33" i="122"/>
  <c r="B33" i="122"/>
  <c r="D32" i="122"/>
  <c r="B32" i="122"/>
  <c r="D31" i="122"/>
  <c r="B31" i="122"/>
  <c r="D30" i="122"/>
  <c r="B30" i="122"/>
  <c r="D29" i="122"/>
  <c r="B29" i="122"/>
  <c r="D28" i="122"/>
  <c r="B28" i="122"/>
  <c r="D27" i="122"/>
  <c r="B27" i="122"/>
  <c r="D26" i="122"/>
  <c r="B26" i="122"/>
  <c r="D25" i="122"/>
  <c r="B25" i="122"/>
  <c r="D24" i="122"/>
  <c r="B24" i="122"/>
  <c r="D23" i="122"/>
  <c r="B23" i="122"/>
  <c r="D22" i="122"/>
  <c r="B22" i="122"/>
  <c r="D21" i="122"/>
  <c r="B21" i="122"/>
  <c r="D20" i="122"/>
  <c r="B20" i="122"/>
  <c r="D19" i="122"/>
  <c r="B19" i="122"/>
  <c r="D18" i="122"/>
  <c r="B18" i="122"/>
  <c r="D17" i="122"/>
  <c r="B17" i="122"/>
  <c r="H16" i="122"/>
  <c r="G16" i="122"/>
  <c r="E16" i="122"/>
  <c r="D16" i="122"/>
  <c r="C16" i="122"/>
  <c r="B16" i="122"/>
  <c r="D40" i="123" l="1"/>
  <c r="G33" i="123"/>
  <c r="G32" i="123"/>
  <c r="L18" i="123"/>
  <c r="T18" i="123"/>
  <c r="G34" i="123"/>
  <c r="D28" i="123"/>
  <c r="B18" i="123"/>
  <c r="C18" i="123"/>
  <c r="F18" i="124"/>
  <c r="E18" i="124"/>
  <c r="T18" i="124"/>
  <c r="G41" i="124"/>
  <c r="I18" i="124"/>
  <c r="W18" i="124"/>
  <c r="H18" i="124"/>
  <c r="G32" i="124"/>
  <c r="G39" i="124"/>
  <c r="O18" i="124"/>
  <c r="C18" i="124"/>
  <c r="B18" i="124"/>
  <c r="G27" i="124"/>
  <c r="L18" i="124"/>
  <c r="G19" i="124"/>
  <c r="G20" i="123"/>
  <c r="W18" i="123"/>
  <c r="AC18" i="123"/>
  <c r="O18" i="123"/>
  <c r="G18" i="123" s="1"/>
  <c r="F16" i="120"/>
  <c r="D16" i="120"/>
  <c r="G18" i="124" l="1"/>
  <c r="D18" i="124"/>
  <c r="F21" i="108"/>
  <c r="B21" i="108"/>
  <c r="E15" i="143"/>
  <c r="B15" i="143"/>
  <c r="B15" i="140"/>
  <c r="B14" i="139"/>
  <c r="B13" i="139"/>
  <c r="B12" i="139"/>
  <c r="B11" i="139"/>
  <c r="B15" i="139"/>
  <c r="D14" i="122" l="1"/>
  <c r="F15" i="120"/>
  <c r="E15" i="120"/>
  <c r="D15" i="120"/>
  <c r="N15" i="118"/>
  <c r="J15" i="118"/>
  <c r="F15" i="118"/>
  <c r="B15" i="118"/>
  <c r="C18" i="115"/>
  <c r="B18" i="115"/>
  <c r="B14" i="140"/>
  <c r="T43" i="103" l="1"/>
  <c r="T42" i="103"/>
  <c r="T41" i="103"/>
  <c r="T40" i="103"/>
  <c r="T39" i="103"/>
  <c r="T38" i="103"/>
  <c r="T37" i="103"/>
  <c r="T36" i="103"/>
  <c r="T35" i="103"/>
  <c r="T34" i="103"/>
  <c r="T33" i="103"/>
  <c r="T32" i="103"/>
  <c r="T31" i="103"/>
  <c r="T30" i="103"/>
  <c r="T29" i="103"/>
  <c r="T28" i="103"/>
  <c r="T27" i="103"/>
  <c r="T26" i="103"/>
  <c r="T25" i="103"/>
  <c r="T24" i="103"/>
  <c r="T23" i="103"/>
  <c r="T22" i="103"/>
  <c r="T21" i="103"/>
  <c r="T20" i="103"/>
  <c r="T19" i="103"/>
  <c r="Z16" i="98" l="1"/>
  <c r="C14" i="99" l="1"/>
  <c r="D14" i="99"/>
  <c r="E14" i="99"/>
  <c r="F14" i="99"/>
  <c r="G14" i="99"/>
  <c r="H14" i="99"/>
  <c r="I14" i="99"/>
  <c r="J14" i="99"/>
  <c r="K14" i="99"/>
  <c r="C16" i="113" l="1"/>
  <c r="E18" i="113"/>
  <c r="E19" i="113"/>
  <c r="E17" i="113"/>
  <c r="M16" i="111"/>
  <c r="H16" i="111"/>
  <c r="F16" i="111"/>
  <c r="E16" i="111"/>
  <c r="D13" i="104"/>
  <c r="E13" i="104"/>
  <c r="F13" i="104"/>
  <c r="G13" i="104"/>
  <c r="H13" i="104"/>
  <c r="I13" i="104"/>
  <c r="J13" i="104"/>
  <c r="P18" i="103"/>
  <c r="Q18" i="103"/>
  <c r="R18" i="103"/>
  <c r="S18" i="103"/>
  <c r="B16" i="111" l="1"/>
  <c r="C13" i="104"/>
  <c r="B13" i="104" s="1"/>
  <c r="C38" i="104"/>
  <c r="B38" i="104" s="1"/>
  <c r="C37" i="104"/>
  <c r="B37" i="104" s="1"/>
  <c r="C36" i="104"/>
  <c r="B36" i="104" s="1"/>
  <c r="C35" i="104"/>
  <c r="B35" i="104" s="1"/>
  <c r="C34" i="104"/>
  <c r="B34" i="104" s="1"/>
  <c r="C33" i="104"/>
  <c r="B33" i="104" s="1"/>
  <c r="C32" i="104"/>
  <c r="B32" i="104" s="1"/>
  <c r="C31" i="104"/>
  <c r="B31" i="104" s="1"/>
  <c r="C30" i="104"/>
  <c r="B30" i="104" s="1"/>
  <c r="C29" i="104"/>
  <c r="B29" i="104" s="1"/>
  <c r="C28" i="104"/>
  <c r="B28" i="104" s="1"/>
  <c r="C27" i="104"/>
  <c r="B27" i="104" s="1"/>
  <c r="C26" i="104"/>
  <c r="B26" i="104" s="1"/>
  <c r="C25" i="104"/>
  <c r="B25" i="104" s="1"/>
  <c r="C24" i="104"/>
  <c r="B24" i="104" s="1"/>
  <c r="C23" i="104"/>
  <c r="B23" i="104" s="1"/>
  <c r="C22" i="104"/>
  <c r="B22" i="104" s="1"/>
  <c r="C21" i="104"/>
  <c r="B21" i="104" s="1"/>
  <c r="C20" i="104"/>
  <c r="B20" i="104" s="1"/>
  <c r="C19" i="104"/>
  <c r="B19" i="104" s="1"/>
  <c r="C18" i="104"/>
  <c r="B18" i="104" s="1"/>
  <c r="C17" i="104"/>
  <c r="B17" i="104" s="1"/>
  <c r="C16" i="104"/>
  <c r="B16" i="104" s="1"/>
  <c r="C15" i="104"/>
  <c r="B15" i="104" s="1"/>
  <c r="C14" i="104"/>
  <c r="B14" i="104" s="1"/>
  <c r="C17" i="98" l="1"/>
  <c r="C18" i="98"/>
  <c r="C19" i="98"/>
  <c r="C20" i="98"/>
  <c r="C21" i="98"/>
  <c r="C22" i="98"/>
  <c r="C23" i="98"/>
  <c r="C24" i="98"/>
  <c r="C25" i="98"/>
  <c r="C26" i="98"/>
  <c r="C27" i="98"/>
  <c r="C28" i="98"/>
  <c r="C29" i="98"/>
  <c r="C30" i="98"/>
  <c r="C31" i="98"/>
  <c r="C32" i="98"/>
  <c r="C33" i="98"/>
  <c r="C34" i="98"/>
  <c r="C35" i="98"/>
  <c r="C36" i="98"/>
  <c r="C37" i="98"/>
  <c r="C38" i="98"/>
  <c r="C39" i="98"/>
  <c r="C40" i="98"/>
  <c r="C41" i="98"/>
  <c r="B17" i="98"/>
  <c r="B18" i="98"/>
  <c r="B19" i="98"/>
  <c r="B20" i="98"/>
  <c r="B21" i="98"/>
  <c r="B22" i="98"/>
  <c r="B23" i="98"/>
  <c r="B24" i="98"/>
  <c r="B25" i="98"/>
  <c r="B26" i="98"/>
  <c r="B27" i="98"/>
  <c r="B28" i="98"/>
  <c r="B29" i="98"/>
  <c r="B30" i="98"/>
  <c r="B31" i="98"/>
  <c r="B32" i="98"/>
  <c r="B33" i="98"/>
  <c r="B34" i="98"/>
  <c r="B35" i="98"/>
  <c r="B36" i="98"/>
  <c r="B37" i="98"/>
  <c r="B38" i="98"/>
  <c r="B39" i="98"/>
  <c r="B40" i="98"/>
  <c r="B41" i="98"/>
  <c r="G16" i="98"/>
  <c r="F16" i="98"/>
  <c r="G16" i="113" l="1"/>
  <c r="F16" i="113"/>
  <c r="E16" i="113" s="1"/>
  <c r="D16" i="113"/>
  <c r="B16" i="113"/>
  <c r="U18" i="103" l="1"/>
  <c r="V18" i="103"/>
  <c r="G14" i="102" l="1"/>
  <c r="B14" i="102"/>
  <c r="C20" i="103" l="1"/>
  <c r="B20" i="103" s="1"/>
  <c r="C21" i="103"/>
  <c r="B21" i="103" s="1"/>
  <c r="C22" i="103"/>
  <c r="B22" i="103" s="1"/>
  <c r="C23" i="103"/>
  <c r="B23" i="103" s="1"/>
  <c r="C24" i="103"/>
  <c r="B24" i="103" s="1"/>
  <c r="C25" i="103"/>
  <c r="B25" i="103" s="1"/>
  <c r="C26" i="103"/>
  <c r="B26" i="103" s="1"/>
  <c r="C27" i="103"/>
  <c r="B27" i="103" s="1"/>
  <c r="C28" i="103"/>
  <c r="B28" i="103" s="1"/>
  <c r="C29" i="103"/>
  <c r="C30" i="103"/>
  <c r="B30" i="103" s="1"/>
  <c r="C31" i="103"/>
  <c r="C32" i="103"/>
  <c r="B32" i="103" s="1"/>
  <c r="C33" i="103"/>
  <c r="B33" i="103" s="1"/>
  <c r="C34" i="103"/>
  <c r="B34" i="103" s="1"/>
  <c r="C35" i="103"/>
  <c r="B35" i="103" s="1"/>
  <c r="C36" i="103"/>
  <c r="B36" i="103" s="1"/>
  <c r="C37" i="103"/>
  <c r="B37" i="103" s="1"/>
  <c r="C38" i="103"/>
  <c r="B38" i="103" s="1"/>
  <c r="C39" i="103"/>
  <c r="B39" i="103" s="1"/>
  <c r="C40" i="103"/>
  <c r="B40" i="103" s="1"/>
  <c r="C41" i="103"/>
  <c r="C42" i="103"/>
  <c r="B42" i="103" s="1"/>
  <c r="C43" i="103"/>
  <c r="C19" i="103"/>
  <c r="B41" i="103" l="1"/>
  <c r="B29" i="103"/>
  <c r="B43" i="103"/>
  <c r="B31" i="103"/>
  <c r="B19" i="103" l="1"/>
  <c r="B25" i="99" l="1"/>
  <c r="B15" i="99" l="1"/>
  <c r="B16" i="99"/>
  <c r="B17" i="99"/>
  <c r="B18" i="99"/>
  <c r="B19" i="99"/>
  <c r="B20" i="99"/>
  <c r="B21" i="99"/>
  <c r="B22" i="99"/>
  <c r="B23" i="99"/>
  <c r="B24" i="99"/>
  <c r="B26" i="99"/>
  <c r="B27" i="99"/>
  <c r="B28" i="99"/>
  <c r="B29" i="99"/>
  <c r="B30" i="99"/>
  <c r="B31" i="99"/>
  <c r="B32" i="99"/>
  <c r="B33" i="99"/>
  <c r="B34" i="99"/>
  <c r="B35" i="99"/>
  <c r="B36" i="99"/>
  <c r="B37" i="99"/>
  <c r="B38" i="99"/>
  <c r="B39" i="99"/>
  <c r="B14" i="99" l="1"/>
  <c r="D18" i="103" l="1"/>
  <c r="E18" i="103"/>
  <c r="F18" i="103"/>
  <c r="G18" i="103"/>
  <c r="H18" i="103"/>
  <c r="I18" i="103"/>
  <c r="J18" i="103"/>
  <c r="K18" i="103"/>
  <c r="L18" i="103"/>
  <c r="M18" i="103"/>
  <c r="N18" i="103"/>
  <c r="O18" i="103"/>
  <c r="T18" i="103"/>
  <c r="C18" i="103"/>
  <c r="B18" i="103" l="1"/>
  <c r="AA16" i="98" l="1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E16" i="98"/>
  <c r="D16" i="98"/>
  <c r="B16" i="98" l="1"/>
  <c r="C16" i="98"/>
  <c r="B16" i="1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user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통계표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양식에맞게</t>
        </r>
        <r>
          <rPr>
            <b/>
            <sz val="9"/>
            <color indexed="81"/>
            <rFont val="Tahoma"/>
            <family val="2"/>
          </rPr>
          <t xml:space="preserve"> 2015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~2020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7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재확인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</text>
    </comment>
    <comment ref="A17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보건의료정보관리사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7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A17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서식변경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보건의료정보관리사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추가에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00000000-0006-0000-0800-000001000000}">
      <text>
        <r>
          <rPr>
            <sz val="9"/>
            <color indexed="81"/>
            <rFont val="Tahoma"/>
            <family val="2"/>
          </rPr>
          <t xml:space="preserve">'20~'21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신종감염병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수치</t>
        </r>
        <r>
          <rPr>
            <sz val="9"/>
            <color indexed="81"/>
            <rFont val="Tahoma"/>
            <family val="2"/>
          </rPr>
          <t xml:space="preserve"> -&gt; 1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감염병으로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, '22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신종감염병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코로나</t>
        </r>
        <r>
          <rPr>
            <sz val="9"/>
            <color indexed="81"/>
            <rFont val="Tahoma"/>
            <family val="2"/>
          </rPr>
          <t xml:space="preserve"> 19 </t>
        </r>
        <r>
          <rPr>
            <sz val="9"/>
            <color indexed="81"/>
            <rFont val="돋움"/>
            <family val="3"/>
            <charset val="129"/>
          </rPr>
          <t>수치로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. 
20~21 </t>
        </r>
        <r>
          <rPr>
            <sz val="9"/>
            <color indexed="81"/>
            <rFont val="돋움"/>
            <family val="3"/>
            <charset val="129"/>
          </rPr>
          <t>성별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합계수치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해주세요
그외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에볼라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개년
합계항목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0" authorId="0" shapeId="0" xr:uid="{1F752DF2-76D3-47F5-8E40-79815A0BE966}">
      <text>
        <r>
          <rPr>
            <b/>
            <sz val="9"/>
            <color indexed="81"/>
            <rFont val="돋움"/>
            <family val="3"/>
            <charset val="129"/>
          </rPr>
          <t>결핵</t>
        </r>
        <r>
          <rPr>
            <b/>
            <sz val="9"/>
            <color indexed="81"/>
            <rFont val="Tahoma"/>
            <family val="2"/>
          </rPr>
          <t>161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L6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 -&gt; 4</t>
        </r>
        <r>
          <rPr>
            <b/>
            <sz val="9"/>
            <color indexed="81"/>
            <rFont val="돋움"/>
            <family val="3"/>
            <charset val="129"/>
          </rPr>
          <t>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감염병으로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7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공수병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엠폭스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추가로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개년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D7" authorId="0" shapeId="0" xr:uid="{00000000-0006-0000-0A00-000003000000}">
      <text>
        <r>
          <rPr>
            <b/>
            <sz val="11"/>
            <color indexed="81"/>
            <rFont val="Tahoma"/>
            <family val="2"/>
          </rPr>
          <t>2024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1</t>
        </r>
        <r>
          <rPr>
            <b/>
            <sz val="11"/>
            <color indexed="81"/>
            <rFont val="돋움"/>
            <family val="3"/>
            <charset val="129"/>
          </rPr>
          <t>월</t>
        </r>
        <r>
          <rPr>
            <b/>
            <sz val="11"/>
            <color indexed="81"/>
            <rFont val="Tahoma"/>
            <family val="2"/>
          </rPr>
          <t xml:space="preserve"> 1</t>
        </r>
        <r>
          <rPr>
            <b/>
            <sz val="11"/>
            <color indexed="81"/>
            <rFont val="돋움"/>
            <family val="3"/>
            <charset val="129"/>
          </rPr>
          <t xml:space="preserve">일부터
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4</t>
        </r>
        <r>
          <rPr>
            <b/>
            <sz val="11"/>
            <color indexed="81"/>
            <rFont val="돋움"/>
            <family val="3"/>
            <charset val="129"/>
          </rPr>
          <t>급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감염병</t>
        </r>
        <r>
          <rPr>
            <b/>
            <sz val="11"/>
            <color indexed="81"/>
            <rFont val="Tahoma"/>
            <family val="2"/>
          </rPr>
          <t xml:space="preserve"> 
</t>
        </r>
        <r>
          <rPr>
            <b/>
            <sz val="11"/>
            <color indexed="81"/>
            <rFont val="돋움"/>
            <family val="3"/>
            <charset val="129"/>
          </rPr>
          <t>→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급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감염병으로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상향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조정</t>
        </r>
      </text>
    </comment>
    <comment ref="BL15" authorId="0" shapeId="0" xr:uid="{00000000-0006-0000-0A00-000004000000}">
      <text>
        <r>
          <rPr>
            <b/>
            <sz val="9"/>
            <color indexed="81"/>
            <rFont val="돋움"/>
            <family val="3"/>
            <charset val="129"/>
          </rPr>
          <t>인플</t>
        </r>
        <r>
          <rPr>
            <b/>
            <sz val="9"/>
            <color indexed="81"/>
            <rFont val="Tahoma"/>
            <family val="2"/>
          </rPr>
          <t xml:space="preserve">:2,494
</t>
        </r>
        <r>
          <rPr>
            <b/>
            <sz val="9"/>
            <color indexed="81"/>
            <rFont val="돋움"/>
            <family val="3"/>
            <charset val="129"/>
          </rPr>
          <t>기생충</t>
        </r>
        <r>
          <rPr>
            <b/>
            <sz val="9"/>
            <color indexed="81"/>
            <rFont val="Tahoma"/>
            <family val="2"/>
          </rPr>
          <t xml:space="preserve"> 0
</t>
        </r>
        <r>
          <rPr>
            <b/>
            <sz val="9"/>
            <color indexed="81"/>
            <rFont val="돋움"/>
            <family val="3"/>
            <charset val="129"/>
          </rPr>
          <t>수족구</t>
        </r>
        <r>
          <rPr>
            <b/>
            <sz val="9"/>
            <color indexed="81"/>
            <rFont val="Tahoma"/>
            <family val="2"/>
          </rPr>
          <t xml:space="preserve"> 425
</t>
        </r>
        <r>
          <rPr>
            <b/>
            <sz val="9"/>
            <color indexed="81"/>
            <rFont val="돋움"/>
            <family val="3"/>
            <charset val="129"/>
          </rPr>
          <t>성매개</t>
        </r>
        <r>
          <rPr>
            <b/>
            <sz val="9"/>
            <color indexed="81"/>
            <rFont val="Tahoma"/>
            <family val="2"/>
          </rPr>
          <t xml:space="preserve"> 50
</t>
        </r>
        <r>
          <rPr>
            <b/>
            <sz val="9"/>
            <color indexed="81"/>
            <rFont val="돋움"/>
            <family val="3"/>
            <charset val="129"/>
          </rPr>
          <t>의료</t>
        </r>
        <r>
          <rPr>
            <b/>
            <sz val="9"/>
            <color indexed="81"/>
            <rFont val="Tahoma"/>
            <family val="2"/>
          </rPr>
          <t xml:space="preserve"> 1,150
</t>
        </r>
        <r>
          <rPr>
            <b/>
            <sz val="9"/>
            <color indexed="81"/>
            <rFont val="돋움"/>
            <family val="3"/>
            <charset val="129"/>
          </rPr>
          <t>장관</t>
        </r>
        <r>
          <rPr>
            <b/>
            <sz val="9"/>
            <color indexed="81"/>
            <rFont val="Tahoma"/>
            <family val="2"/>
          </rPr>
          <t xml:space="preserve"> 239
</t>
        </r>
        <r>
          <rPr>
            <b/>
            <sz val="9"/>
            <color indexed="81"/>
            <rFont val="돋움"/>
            <family val="3"/>
            <charset val="129"/>
          </rPr>
          <t>급성호흡기</t>
        </r>
        <r>
          <rPr>
            <b/>
            <sz val="9"/>
            <color indexed="81"/>
            <rFont val="Tahoma"/>
            <family val="2"/>
          </rPr>
          <t xml:space="preserve"> 7,621(</t>
        </r>
        <r>
          <rPr>
            <b/>
            <sz val="9"/>
            <color indexed="81"/>
            <rFont val="돋움"/>
            <family val="3"/>
            <charset val="129"/>
          </rPr>
          <t>코로나포함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엔테로</t>
        </r>
        <r>
          <rPr>
            <b/>
            <sz val="9"/>
            <color indexed="81"/>
            <rFont val="Tahoma"/>
            <family val="2"/>
          </rPr>
          <t xml:space="preserve"> 34
</t>
        </r>
        <r>
          <rPr>
            <b/>
            <sz val="9"/>
            <color indexed="81"/>
            <rFont val="돋움"/>
            <family val="3"/>
            <charset val="129"/>
          </rPr>
          <t>안과</t>
        </r>
        <r>
          <rPr>
            <b/>
            <sz val="9"/>
            <color indexed="81"/>
            <rFont val="Tahoma"/>
            <family val="2"/>
          </rPr>
          <t xml:space="preserve"> 44
</t>
        </r>
      </text>
    </comment>
    <comment ref="BL16" authorId="0" shapeId="0" xr:uid="{E57A9F7F-1FAD-4C4C-83FD-585AD8796123}">
      <text>
        <r>
          <rPr>
            <b/>
            <sz val="9"/>
            <color indexed="81"/>
            <rFont val="돋움"/>
            <family val="3"/>
            <charset val="129"/>
          </rPr>
          <t>전체숫자</t>
        </r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b/>
            <sz val="9"/>
            <color indexed="81"/>
            <rFont val="돋움"/>
            <family val="3"/>
            <charset val="129"/>
          </rPr>
          <t>표본감시집계된</t>
        </r>
        <r>
          <rPr>
            <b/>
            <sz val="9"/>
            <color indexed="81"/>
            <rFont val="돋움"/>
            <family val="3"/>
            <charset val="129"/>
          </rPr>
          <t>숫자
인플</t>
        </r>
        <r>
          <rPr>
            <b/>
            <sz val="9"/>
            <color indexed="81"/>
            <rFont val="Tahoma"/>
            <family val="2"/>
          </rPr>
          <t xml:space="preserve">:1,278
</t>
        </r>
        <r>
          <rPr>
            <b/>
            <sz val="9"/>
            <color indexed="81"/>
            <rFont val="돋움"/>
            <family val="3"/>
            <charset val="129"/>
          </rPr>
          <t>기생충감염병</t>
        </r>
        <r>
          <rPr>
            <b/>
            <sz val="9"/>
            <color indexed="81"/>
            <rFont val="Tahoma"/>
            <family val="2"/>
          </rPr>
          <t xml:space="preserve">: 2
</t>
        </r>
        <r>
          <rPr>
            <b/>
            <sz val="9"/>
            <color indexed="81"/>
            <rFont val="돋움"/>
            <family val="3"/>
            <charset val="129"/>
          </rPr>
          <t>수족구병</t>
        </r>
        <r>
          <rPr>
            <b/>
            <sz val="9"/>
            <color indexed="81"/>
            <rFont val="Tahoma"/>
            <family val="2"/>
          </rPr>
          <t xml:space="preserve">: 750
</t>
        </r>
        <r>
          <rPr>
            <b/>
            <sz val="9"/>
            <color indexed="81"/>
            <rFont val="돋움"/>
            <family val="3"/>
            <charset val="129"/>
          </rPr>
          <t>성매개감염병</t>
        </r>
        <r>
          <rPr>
            <b/>
            <sz val="9"/>
            <color indexed="81"/>
            <rFont val="Tahoma"/>
            <family val="2"/>
          </rPr>
          <t xml:space="preserve">: 128
</t>
        </r>
        <r>
          <rPr>
            <b/>
            <sz val="9"/>
            <color indexed="81"/>
            <rFont val="돋움"/>
            <family val="3"/>
            <charset val="129"/>
          </rPr>
          <t>의료관련감염병</t>
        </r>
        <r>
          <rPr>
            <b/>
            <sz val="9"/>
            <color indexed="81"/>
            <rFont val="Tahoma"/>
            <family val="2"/>
          </rPr>
          <t xml:space="preserve">: 961
</t>
        </r>
        <r>
          <rPr>
            <b/>
            <sz val="9"/>
            <color indexed="81"/>
            <rFont val="돋움"/>
            <family val="3"/>
            <charset val="129"/>
          </rPr>
          <t>장관감염증</t>
        </r>
        <r>
          <rPr>
            <b/>
            <sz val="9"/>
            <color indexed="81"/>
            <rFont val="Tahoma"/>
            <family val="2"/>
          </rPr>
          <t xml:space="preserve">: 397
</t>
        </r>
        <r>
          <rPr>
            <b/>
            <sz val="9"/>
            <color indexed="81"/>
            <rFont val="돋움"/>
            <family val="3"/>
            <charset val="129"/>
          </rPr>
          <t>급성호흡기감염병</t>
        </r>
        <r>
          <rPr>
            <b/>
            <sz val="9"/>
            <color indexed="81"/>
            <rFont val="Tahoma"/>
            <family val="2"/>
          </rPr>
          <t xml:space="preserve">: 3,744
</t>
        </r>
        <r>
          <rPr>
            <b/>
            <sz val="9"/>
            <color indexed="81"/>
            <rFont val="돋움"/>
            <family val="3"/>
            <charset val="129"/>
          </rPr>
          <t>엔테로바이러스감염증</t>
        </r>
        <r>
          <rPr>
            <b/>
            <sz val="9"/>
            <color indexed="81"/>
            <rFont val="Tahoma"/>
            <family val="2"/>
          </rPr>
          <t xml:space="preserve">: 59
</t>
        </r>
        <r>
          <rPr>
            <b/>
            <sz val="9"/>
            <color indexed="81"/>
            <rFont val="돋움"/>
            <family val="3"/>
            <charset val="129"/>
          </rPr>
          <t>안과질환</t>
        </r>
        <r>
          <rPr>
            <b/>
            <sz val="9"/>
            <color indexed="81"/>
            <rFont val="Tahoma"/>
            <family val="2"/>
          </rPr>
          <t>: 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DAEWOO</author>
  </authors>
  <commentList>
    <comment ref="Q10" authorId="0" shapeId="0" xr:uid="{00000000-0006-0000-0B00-000001000000}">
      <text>
        <r>
          <rPr>
            <b/>
            <sz val="9"/>
            <color indexed="12"/>
            <rFont val="맑은 고딕"/>
            <family val="3"/>
            <charset val="129"/>
          </rPr>
          <t>★★★ 2014년 통계표 서식에서 항목이 추가되었으므로  2009~2013년자료 모두 작성해주세요.  ★★★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DAEWOO</author>
  </authors>
  <commentList>
    <comment ref="B7" authorId="0" shapeId="0" xr:uid="{00000000-0006-0000-1300-000001000000}">
      <text>
        <r>
          <rPr>
            <b/>
            <sz val="9"/>
            <color indexed="39"/>
            <rFont val="맑은 고딕"/>
            <family val="3"/>
            <charset val="129"/>
          </rPr>
          <t>2014년 기준부터 
노령연금(20년이상), 노령연금(10년이상 20년미만) 항목 추가, 
완전, 감액 항목 삭제로 2014년 이전의 합계 수치도 확인 부탁드립니다!!!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DAEWOO</author>
  </authors>
  <commentList>
    <comment ref="J8" authorId="0" shapeId="0" xr:uid="{00000000-0006-0000-2700-000001000000}">
      <text>
        <r>
          <rPr>
            <b/>
            <sz val="9"/>
            <color indexed="81"/>
            <rFont val="돋움"/>
            <family val="3"/>
            <charset val="129"/>
          </rPr>
          <t>성별합계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삭제함</t>
        </r>
      </text>
    </comment>
    <comment ref="N8" authorId="1" shapeId="0" xr:uid="{00000000-0006-0000-2700-000002000000}">
      <text>
        <r>
          <rPr>
            <b/>
            <sz val="10"/>
            <color indexed="10"/>
            <rFont val="Tahoma"/>
            <family val="2"/>
          </rPr>
          <t xml:space="preserve">** </t>
        </r>
        <r>
          <rPr>
            <b/>
            <sz val="10"/>
            <color indexed="10"/>
            <rFont val="맑은 고딕"/>
            <family val="3"/>
            <charset val="129"/>
          </rPr>
          <t>개인 민간시설에 단체(범인외) 포함 X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<sst xmlns="http://schemas.openxmlformats.org/spreadsheetml/2006/main" count="4260" uniqueCount="1859">
  <si>
    <t>단위 : 명</t>
  </si>
  <si>
    <t>단위 : 가구수, 개, 명</t>
    <phoneticPr fontId="9" type="noConversion"/>
  </si>
  <si>
    <t xml:space="preserve"> </t>
  </si>
  <si>
    <t>연    별</t>
    <phoneticPr fontId="9" type="noConversion"/>
  </si>
  <si>
    <t>총 수급자</t>
    <phoneticPr fontId="9" type="noConversion"/>
  </si>
  <si>
    <t>일 반 수 급 자</t>
    <phoneticPr fontId="9" type="noConversion"/>
  </si>
  <si>
    <t xml:space="preserve">특 례 수 급 자 </t>
    <phoneticPr fontId="9" type="noConversion"/>
  </si>
  <si>
    <t>시 설 수 급 자</t>
    <phoneticPr fontId="9" type="noConversion"/>
  </si>
  <si>
    <t>Total  recipients</t>
    <phoneticPr fontId="9" type="noConversion"/>
  </si>
  <si>
    <t>General  recipients</t>
    <phoneticPr fontId="9" type="noConversion"/>
  </si>
  <si>
    <t>Special recipients</t>
    <phoneticPr fontId="9" type="noConversion"/>
  </si>
  <si>
    <t>가   구</t>
    <phoneticPr fontId="9" type="noConversion"/>
  </si>
  <si>
    <t>소   계</t>
    <phoneticPr fontId="9" type="noConversion"/>
  </si>
  <si>
    <t>개인단위보장 특례</t>
    <phoneticPr fontId="9" type="noConversion"/>
  </si>
  <si>
    <t>타법령에 의한 특례</t>
    <phoneticPr fontId="9" type="noConversion"/>
  </si>
  <si>
    <t>Sub-Total</t>
    <phoneticPr fontId="8" type="noConversion"/>
  </si>
  <si>
    <t>Institutionalized recipients</t>
    <phoneticPr fontId="9" type="noConversion"/>
  </si>
  <si>
    <t>가구</t>
    <phoneticPr fontId="9" type="noConversion"/>
  </si>
  <si>
    <t>인원</t>
    <phoneticPr fontId="9" type="noConversion"/>
  </si>
  <si>
    <t>시설수</t>
  </si>
  <si>
    <t>인    원</t>
  </si>
  <si>
    <t>Households</t>
    <phoneticPr fontId="9" type="noConversion"/>
  </si>
  <si>
    <t xml:space="preserve">Male </t>
  </si>
  <si>
    <t>Female</t>
    <phoneticPr fontId="4" type="noConversion"/>
  </si>
  <si>
    <t>Facilities</t>
    <phoneticPr fontId="9" type="noConversion"/>
  </si>
  <si>
    <t>단위 : 개소, 명</t>
  </si>
  <si>
    <t>Total</t>
  </si>
  <si>
    <t>연말현재</t>
  </si>
  <si>
    <t>Total</t>
    <phoneticPr fontId="9" type="noConversion"/>
  </si>
  <si>
    <t>Total</t>
    <phoneticPr fontId="4" type="noConversion"/>
  </si>
  <si>
    <t>Female</t>
  </si>
  <si>
    <t>입소자</t>
  </si>
  <si>
    <t>퇴소자</t>
  </si>
  <si>
    <t>year-end</t>
  </si>
  <si>
    <t>단위 : 가구, 명</t>
    <phoneticPr fontId="4" type="noConversion"/>
  </si>
  <si>
    <t>합        계</t>
    <phoneticPr fontId="4" type="noConversion"/>
  </si>
  <si>
    <t>한부모가족지원법</t>
    <phoneticPr fontId="4" type="noConversion"/>
  </si>
  <si>
    <t>국민기초생활보장법</t>
    <phoneticPr fontId="4" type="noConversion"/>
  </si>
  <si>
    <t>국가보훈법</t>
    <phoneticPr fontId="4" type="noConversion"/>
  </si>
  <si>
    <t>수급자</t>
    <phoneticPr fontId="4" type="noConversion"/>
  </si>
  <si>
    <t xml:space="preserve">Single Parent  Family Support </t>
    <phoneticPr fontId="4" type="noConversion"/>
  </si>
  <si>
    <t xml:space="preserve">Basic Livelihod </t>
    <phoneticPr fontId="4" type="noConversion"/>
  </si>
  <si>
    <t>Patriots and veterans affairs law</t>
    <phoneticPr fontId="4" type="noConversion"/>
  </si>
  <si>
    <t>Act Recipients</t>
    <phoneticPr fontId="4" type="noConversion"/>
  </si>
  <si>
    <t>Security law Recipients</t>
    <phoneticPr fontId="4" type="noConversion"/>
  </si>
  <si>
    <t>Recipients</t>
    <phoneticPr fontId="4" type="noConversion"/>
  </si>
  <si>
    <t>가구수</t>
    <phoneticPr fontId="4" type="noConversion"/>
  </si>
  <si>
    <t xml:space="preserve">가구원수 </t>
    <phoneticPr fontId="4" type="noConversion"/>
  </si>
  <si>
    <t xml:space="preserve">Households </t>
    <phoneticPr fontId="5" type="noConversion"/>
  </si>
  <si>
    <t>Households</t>
    <phoneticPr fontId="4" type="noConversion"/>
  </si>
  <si>
    <t>members</t>
  </si>
  <si>
    <t>Public</t>
  </si>
  <si>
    <t>Nurses</t>
  </si>
  <si>
    <t>간호조무사</t>
  </si>
  <si>
    <t>Others</t>
  </si>
  <si>
    <t>남</t>
  </si>
  <si>
    <t>여</t>
  </si>
  <si>
    <t>Male</t>
  </si>
  <si>
    <t>요관찰</t>
  </si>
  <si>
    <t>중단후</t>
  </si>
  <si>
    <t>Person</t>
  </si>
  <si>
    <t>Medical</t>
  </si>
  <si>
    <t>계</t>
  </si>
  <si>
    <t>단위 : 개소</t>
  </si>
  <si>
    <t>의 약 품</t>
  </si>
  <si>
    <t>화 장 품</t>
  </si>
  <si>
    <t>약  국</t>
  </si>
  <si>
    <t>약업사</t>
  </si>
  <si>
    <t>한약업사</t>
  </si>
  <si>
    <t xml:space="preserve">Medical </t>
  </si>
  <si>
    <t>Drugs</t>
  </si>
  <si>
    <t>Cosmetics</t>
  </si>
  <si>
    <t>즉석판매</t>
  </si>
  <si>
    <t>음식점</t>
  </si>
  <si>
    <t>첨가물</t>
  </si>
  <si>
    <t>운반업</t>
  </si>
  <si>
    <t xml:space="preserve">포장류 </t>
  </si>
  <si>
    <t>제조업</t>
  </si>
  <si>
    <t>Food</t>
  </si>
  <si>
    <t>Amusement</t>
  </si>
  <si>
    <t>manufacturing</t>
  </si>
  <si>
    <t>세 탁 업</t>
  </si>
  <si>
    <t>연   별</t>
  </si>
  <si>
    <t>피부양자</t>
  </si>
  <si>
    <t>Insured</t>
  </si>
  <si>
    <t>Dependents</t>
  </si>
  <si>
    <r>
      <t>연    별</t>
    </r>
    <r>
      <rPr>
        <sz val="10"/>
        <rFont val="Arial Narrow"/>
        <family val="2"/>
      </rPr>
      <t/>
    </r>
    <phoneticPr fontId="9" type="noConversion"/>
  </si>
  <si>
    <t>합 계</t>
    <phoneticPr fontId="9" type="noConversion"/>
  </si>
  <si>
    <t>애국</t>
  </si>
  <si>
    <t>전상,</t>
  </si>
  <si>
    <t>무공보국</t>
  </si>
  <si>
    <t>재일학도</t>
    <phoneticPr fontId="9" type="noConversion"/>
  </si>
  <si>
    <t>공  상</t>
    <phoneticPr fontId="9" type="noConversion"/>
  </si>
  <si>
    <t>특별공로자</t>
    <phoneticPr fontId="9" type="noConversion"/>
  </si>
  <si>
    <t>순  국·</t>
    <phoneticPr fontId="9" type="noConversion"/>
  </si>
  <si>
    <t>전몰,전상,순직,공상</t>
    <phoneticPr fontId="9" type="noConversion"/>
  </si>
  <si>
    <t>순  직</t>
    <phoneticPr fontId="9" type="noConversion"/>
  </si>
  <si>
    <t>특 별</t>
    <phoneticPr fontId="9" type="noConversion"/>
  </si>
  <si>
    <t>6·18</t>
    <phoneticPr fontId="9" type="noConversion"/>
  </si>
  <si>
    <t>지  원</t>
    <phoneticPr fontId="9" type="noConversion"/>
  </si>
  <si>
    <t>특수</t>
    <phoneticPr fontId="9" type="noConversion"/>
  </si>
  <si>
    <t>지사</t>
  </si>
  <si>
    <t>공상</t>
  </si>
  <si>
    <t>수 훈 자</t>
    <phoneticPr fontId="9" type="noConversion"/>
  </si>
  <si>
    <t>의 용 군</t>
    <phoneticPr fontId="9" type="noConversion"/>
  </si>
  <si>
    <t>부상자,</t>
    <phoneticPr fontId="9" type="noConversion"/>
  </si>
  <si>
    <t>공무원</t>
  </si>
  <si>
    <t>및특별공로</t>
    <phoneticPr fontId="9" type="noConversion"/>
  </si>
  <si>
    <t>애  국</t>
    <phoneticPr fontId="9" type="noConversion"/>
  </si>
  <si>
    <t xml:space="preserve"> 군경</t>
    <phoneticPr fontId="9" type="noConversion"/>
  </si>
  <si>
    <t>의용군인</t>
    <phoneticPr fontId="9" type="noConversion"/>
  </si>
  <si>
    <t xml:space="preserve"> 부상자,</t>
    <phoneticPr fontId="9" type="noConversion"/>
  </si>
  <si>
    <t>공 로</t>
    <phoneticPr fontId="9" type="noConversion"/>
  </si>
  <si>
    <t>자  유</t>
    <phoneticPr fontId="9" type="noConversion"/>
  </si>
  <si>
    <t>대상자</t>
    <phoneticPr fontId="9" type="noConversion"/>
  </si>
  <si>
    <t>민  주</t>
  </si>
  <si>
    <t>임무</t>
    <phoneticPr fontId="9" type="noConversion"/>
  </si>
  <si>
    <t>군경</t>
  </si>
  <si>
    <t>Recipients</t>
    <phoneticPr fontId="9" type="noConversion"/>
  </si>
  <si>
    <t>Student</t>
    <phoneticPr fontId="9" type="noConversion"/>
  </si>
  <si>
    <t>공로자</t>
    <phoneticPr fontId="9" type="noConversion"/>
  </si>
  <si>
    <t>상이상자</t>
    <phoneticPr fontId="9" type="noConversion"/>
  </si>
  <si>
    <t>지  사</t>
    <phoneticPr fontId="9" type="noConversion"/>
  </si>
  <si>
    <t xml:space="preserve">Bereaved families of </t>
    <phoneticPr fontId="9" type="noConversion"/>
  </si>
  <si>
    <t>순직자</t>
    <phoneticPr fontId="9" type="noConversion"/>
  </si>
  <si>
    <t>상이자</t>
    <phoneticPr fontId="9" type="noConversion"/>
  </si>
  <si>
    <t>유공자</t>
  </si>
  <si>
    <t>수행자</t>
    <phoneticPr fontId="3" type="noConversion"/>
  </si>
  <si>
    <t xml:space="preserve">of the order </t>
    <phoneticPr fontId="9" type="noConversion"/>
  </si>
  <si>
    <t>volunteer</t>
    <phoneticPr fontId="9" type="noConversion"/>
  </si>
  <si>
    <t>Bereaved</t>
    <phoneticPr fontId="9" type="noConversion"/>
  </si>
  <si>
    <t xml:space="preserve">   Veterans  &amp; policemen died  </t>
    <phoneticPr fontId="9" type="noConversion"/>
  </si>
  <si>
    <t>of the order</t>
    <phoneticPr fontId="9" type="noConversion"/>
  </si>
  <si>
    <t>De-</t>
    <phoneticPr fontId="9" type="noConversion"/>
  </si>
  <si>
    <t xml:space="preserve">Deceased </t>
    <phoneticPr fontId="9" type="noConversion"/>
  </si>
  <si>
    <t xml:space="preserve">Persons of </t>
  </si>
  <si>
    <t>Veterans</t>
    <phoneticPr fontId="9" type="noConversion"/>
  </si>
  <si>
    <t>of military</t>
    <phoneticPr fontId="9" type="noConversion"/>
  </si>
  <si>
    <t>in Japan</t>
    <phoneticPr fontId="9" type="noConversion"/>
  </si>
  <si>
    <t xml:space="preserve">Deceased .  </t>
  </si>
  <si>
    <t>Special</t>
    <phoneticPr fontId="9" type="noConversion"/>
  </si>
  <si>
    <t>families</t>
  </si>
  <si>
    <t>or disabled on  duty/in action</t>
    <phoneticPr fontId="9" type="noConversion"/>
  </si>
  <si>
    <t xml:space="preserve"> military </t>
    <phoneticPr fontId="9" type="noConversion"/>
  </si>
  <si>
    <t>in japan</t>
    <phoneticPr fontId="9" type="noConversion"/>
  </si>
  <si>
    <t xml:space="preserve">ceased .  </t>
    <phoneticPr fontId="9" type="noConversion"/>
  </si>
  <si>
    <t>Public</t>
    <phoneticPr fontId="9" type="noConversion"/>
  </si>
  <si>
    <t>special con-</t>
    <phoneticPr fontId="9" type="noConversion"/>
  </si>
  <si>
    <t>distinguished</t>
  </si>
  <si>
    <t>&amp; policemen</t>
    <phoneticPr fontId="9" type="noConversion"/>
  </si>
  <si>
    <t>merit or</t>
    <phoneticPr fontId="9" type="noConversion"/>
  </si>
  <si>
    <t>who</t>
    <phoneticPr fontId="9" type="noConversion"/>
  </si>
  <si>
    <t xml:space="preserve">wounded </t>
    <phoneticPr fontId="9" type="noConversion"/>
  </si>
  <si>
    <t xml:space="preserve">Public  </t>
    <phoneticPr fontId="9" type="noConversion"/>
  </si>
  <si>
    <t>contributors.</t>
    <phoneticPr fontId="9" type="noConversion"/>
  </si>
  <si>
    <t>of patriots</t>
    <phoneticPr fontId="9" type="noConversion"/>
  </si>
  <si>
    <t>미망인</t>
  </si>
  <si>
    <t>자  녀</t>
  </si>
  <si>
    <t>부  모</t>
  </si>
  <si>
    <t xml:space="preserve">Wounded </t>
  </si>
  <si>
    <t>officials</t>
    <phoneticPr fontId="9" type="noConversion"/>
  </si>
  <si>
    <t xml:space="preserve">tributors </t>
    <phoneticPr fontId="9" type="noConversion"/>
  </si>
  <si>
    <t>disabled</t>
    <phoneticPr fontId="9" type="noConversion"/>
  </si>
  <si>
    <t xml:space="preserve"> services in </t>
  </si>
  <si>
    <t>Indepe-</t>
    <phoneticPr fontId="9" type="noConversion"/>
  </si>
  <si>
    <t xml:space="preserve">died </t>
    <phoneticPr fontId="9" type="noConversion"/>
  </si>
  <si>
    <t>national</t>
    <phoneticPr fontId="9" type="noConversion"/>
  </si>
  <si>
    <t>participated</t>
    <phoneticPr fontId="9" type="noConversion"/>
  </si>
  <si>
    <t>activists of</t>
    <phoneticPr fontId="9" type="noConversion"/>
  </si>
  <si>
    <t>Wounded</t>
    <phoneticPr fontId="9" type="noConversion"/>
  </si>
  <si>
    <t>or Indepen-</t>
    <phoneticPr fontId="9" type="noConversion"/>
  </si>
  <si>
    <t xml:space="preserve"> order or na-</t>
    <phoneticPr fontId="9" type="noConversion"/>
  </si>
  <si>
    <t>of the April</t>
  </si>
  <si>
    <t>died</t>
    <phoneticPr fontId="9" type="noConversion"/>
  </si>
  <si>
    <t xml:space="preserve">to national </t>
    <phoneticPr fontId="9" type="noConversion"/>
  </si>
  <si>
    <t>the Gwangju</t>
  </si>
  <si>
    <t>Attendant</t>
    <phoneticPr fontId="9" type="noConversion"/>
  </si>
  <si>
    <t>Grand</t>
    <phoneticPr fontId="9" type="noConversion"/>
  </si>
  <si>
    <t>ndence</t>
    <phoneticPr fontId="9" type="noConversion"/>
  </si>
  <si>
    <t>or disabled</t>
  </si>
  <si>
    <t>security</t>
    <phoneticPr fontId="9" type="noConversion"/>
  </si>
  <si>
    <t>in the</t>
    <phoneticPr fontId="9" type="noConversion"/>
  </si>
  <si>
    <t>the April 19th</t>
    <phoneticPr fontId="9" type="noConversion"/>
  </si>
  <si>
    <t xml:space="preserve">Special </t>
    <phoneticPr fontId="9" type="noConversion"/>
  </si>
  <si>
    <t>dence</t>
    <phoneticPr fontId="9" type="noConversion"/>
  </si>
  <si>
    <t>Minor</t>
  </si>
  <si>
    <t>tional security</t>
    <phoneticPr fontId="9" type="noConversion"/>
  </si>
  <si>
    <t>19th</t>
  </si>
  <si>
    <t>on</t>
    <phoneticPr fontId="9" type="noConversion"/>
  </si>
  <si>
    <t>&amp; social de-</t>
    <phoneticPr fontId="9" type="noConversion"/>
  </si>
  <si>
    <t>Benefi-</t>
    <phoneticPr fontId="9" type="noConversion"/>
  </si>
  <si>
    <t>democratizat-</t>
  </si>
  <si>
    <t>special</t>
    <phoneticPr fontId="9" type="noConversion"/>
  </si>
  <si>
    <t>total</t>
    <phoneticPr fontId="9" type="noConversion"/>
  </si>
  <si>
    <t>fighters</t>
    <phoneticPr fontId="9" type="noConversion"/>
  </si>
  <si>
    <t>on duty</t>
    <phoneticPr fontId="9" type="noConversion"/>
  </si>
  <si>
    <t>merit</t>
    <phoneticPr fontId="9" type="noConversion"/>
  </si>
  <si>
    <t>korean war</t>
    <phoneticPr fontId="9" type="noConversion"/>
  </si>
  <si>
    <t>revolution</t>
  </si>
  <si>
    <t>contributors</t>
    <phoneticPr fontId="9" type="noConversion"/>
  </si>
  <si>
    <t xml:space="preserve">  fighters</t>
    <phoneticPr fontId="9" type="noConversion"/>
  </si>
  <si>
    <t>Widows</t>
  </si>
  <si>
    <t>children</t>
  </si>
  <si>
    <t>Parents</t>
  </si>
  <si>
    <t>duty</t>
    <phoneticPr fontId="9" type="noConversion"/>
  </si>
  <si>
    <t>velopment</t>
    <phoneticPr fontId="9" type="noConversion"/>
  </si>
  <si>
    <t>ciaries</t>
    <phoneticPr fontId="9" type="noConversion"/>
  </si>
  <si>
    <t>ion movement</t>
  </si>
  <si>
    <t>mission</t>
    <phoneticPr fontId="9" type="noConversion"/>
  </si>
  <si>
    <t>총가입자수</t>
  </si>
  <si>
    <t>지역가입자</t>
  </si>
  <si>
    <t>임의가입자</t>
  </si>
  <si>
    <t>임의계속가입자</t>
  </si>
  <si>
    <t>Voluntarily</t>
    <phoneticPr fontId="9" type="noConversion"/>
  </si>
  <si>
    <t>남</t>
    <phoneticPr fontId="3" type="noConversion"/>
  </si>
  <si>
    <t>여</t>
    <phoneticPr fontId="3" type="noConversion"/>
  </si>
  <si>
    <t>insured</t>
    <phoneticPr fontId="9" type="noConversion"/>
  </si>
  <si>
    <t>continuously</t>
    <phoneticPr fontId="9" type="noConversion"/>
  </si>
  <si>
    <t>Male</t>
    <phoneticPr fontId="3" type="noConversion"/>
  </si>
  <si>
    <t>Female</t>
    <phoneticPr fontId="3" type="noConversion"/>
  </si>
  <si>
    <t>Workplaces</t>
  </si>
  <si>
    <t>Insurants</t>
  </si>
  <si>
    <t>persons</t>
    <phoneticPr fontId="9" type="noConversion"/>
  </si>
  <si>
    <t>insured  persons</t>
  </si>
  <si>
    <t>연    별</t>
  </si>
  <si>
    <t>위탁자</t>
  </si>
  <si>
    <t>무연고자</t>
  </si>
  <si>
    <t>기타</t>
  </si>
  <si>
    <t>취    업</t>
  </si>
  <si>
    <t>전    원</t>
  </si>
  <si>
    <t>사   망</t>
  </si>
  <si>
    <t>시    각</t>
  </si>
  <si>
    <t>18 years</t>
  </si>
  <si>
    <t>Auditorily</t>
  </si>
  <si>
    <t>Number of</t>
  </si>
  <si>
    <t>To</t>
  </si>
  <si>
    <t>Visually</t>
  </si>
  <si>
    <t>and  lingually</t>
  </si>
  <si>
    <t>facilities</t>
  </si>
  <si>
    <t>Referrals</t>
  </si>
  <si>
    <t>relatives</t>
  </si>
  <si>
    <t>Employed</t>
  </si>
  <si>
    <t>Transfer</t>
  </si>
  <si>
    <t>Other</t>
  </si>
  <si>
    <t>disabled</t>
  </si>
  <si>
    <t>공    설</t>
  </si>
  <si>
    <t>개  소  수</t>
  </si>
  <si>
    <t>총봉안능력(기)</t>
  </si>
  <si>
    <t>Sites</t>
  </si>
  <si>
    <t>Total  capacity</t>
  </si>
  <si>
    <t>개소</t>
  </si>
  <si>
    <t>화로</t>
  </si>
  <si>
    <t>소계</t>
  </si>
  <si>
    <t>공설</t>
  </si>
  <si>
    <t>Private</t>
  </si>
  <si>
    <t>Persons</t>
  </si>
  <si>
    <t>Amount</t>
  </si>
  <si>
    <t>임산부 등록관리</t>
    <phoneticPr fontId="4" type="noConversion"/>
  </si>
  <si>
    <t>영유아 등록관리</t>
    <phoneticPr fontId="4" type="noConversion"/>
  </si>
  <si>
    <t>고엽제</t>
    <phoneticPr fontId="9" type="noConversion"/>
  </si>
  <si>
    <t>후유(의)증</t>
    <phoneticPr fontId="9" type="noConversion"/>
  </si>
  <si>
    <t>2세</t>
    <phoneticPr fontId="3" type="noConversion"/>
  </si>
  <si>
    <t>Offspring of</t>
    <phoneticPr fontId="9" type="noConversion"/>
  </si>
  <si>
    <t>Agent Orange</t>
    <phoneticPr fontId="9" type="noConversion"/>
  </si>
  <si>
    <t>victims</t>
    <phoneticPr fontId="9" type="noConversion"/>
  </si>
  <si>
    <t>중장기</t>
    <phoneticPr fontId="9" type="noConversion"/>
  </si>
  <si>
    <t>복무제대</t>
    <phoneticPr fontId="9" type="noConversion"/>
  </si>
  <si>
    <t>군인</t>
    <phoneticPr fontId="3" type="noConversion"/>
  </si>
  <si>
    <t>보훈</t>
    <phoneticPr fontId="9" type="noConversion"/>
  </si>
  <si>
    <t>보상</t>
    <phoneticPr fontId="9" type="noConversion"/>
  </si>
  <si>
    <t>대상자</t>
    <phoneticPr fontId="3" type="noConversion"/>
  </si>
  <si>
    <t>Veterans mid-to</t>
    <phoneticPr fontId="9" type="noConversion"/>
  </si>
  <si>
    <t>long-term</t>
    <phoneticPr fontId="9" type="noConversion"/>
  </si>
  <si>
    <t>service</t>
    <phoneticPr fontId="9" type="noConversion"/>
  </si>
  <si>
    <t xml:space="preserve">Veterans </t>
    <phoneticPr fontId="9" type="noConversion"/>
  </si>
  <si>
    <t>eligible for</t>
    <phoneticPr fontId="9" type="noConversion"/>
  </si>
  <si>
    <t>compen-sation</t>
    <phoneticPr fontId="3" type="noConversion"/>
  </si>
  <si>
    <t>Wounded</t>
    <phoneticPr fontId="9" type="noConversion"/>
  </si>
  <si>
    <t>Freedom</t>
    <phoneticPr fontId="9" type="noConversion"/>
  </si>
  <si>
    <t>Seekers</t>
    <phoneticPr fontId="9" type="noConversion"/>
  </si>
  <si>
    <t>June 18</t>
    <phoneticPr fontId="3" type="noConversion"/>
  </si>
  <si>
    <t>Total</t>
    <phoneticPr fontId="4" type="noConversion"/>
  </si>
  <si>
    <t>폴 리 오</t>
    <phoneticPr fontId="9" type="noConversion"/>
  </si>
  <si>
    <t>단위 : 건, 명</t>
    <phoneticPr fontId="9" type="noConversion"/>
  </si>
  <si>
    <t>합    계</t>
    <phoneticPr fontId="9" type="noConversion"/>
  </si>
  <si>
    <t>당해연도 등록(신고)된 결핵환자수</t>
    <phoneticPr fontId="9" type="noConversion"/>
  </si>
  <si>
    <t>당해연도 결핵예방 접종실적</t>
    <phoneticPr fontId="5" type="noConversion"/>
  </si>
  <si>
    <t>당해연도 보건소 결핵검진 실적</t>
    <phoneticPr fontId="5" type="noConversion"/>
  </si>
  <si>
    <t>과거</t>
    <phoneticPr fontId="5" type="noConversion"/>
  </si>
  <si>
    <t>재발자</t>
    <phoneticPr fontId="9" type="noConversion"/>
  </si>
  <si>
    <t>실패후</t>
    <phoneticPr fontId="9" type="noConversion"/>
  </si>
  <si>
    <t>이전</t>
    <phoneticPr fontId="5" type="noConversion"/>
  </si>
  <si>
    <t>치료여부</t>
    <phoneticPr fontId="5" type="noConversion"/>
  </si>
  <si>
    <t>미취학</t>
    <phoneticPr fontId="9" type="noConversion"/>
  </si>
  <si>
    <t>취 학</t>
    <phoneticPr fontId="9" type="noConversion"/>
  </si>
  <si>
    <t>도말양성</t>
    <phoneticPr fontId="9" type="noConversion"/>
  </si>
  <si>
    <t>도말음성</t>
    <phoneticPr fontId="9" type="noConversion"/>
  </si>
  <si>
    <t>남</t>
    <phoneticPr fontId="8" type="noConversion"/>
  </si>
  <si>
    <t>여</t>
    <phoneticPr fontId="8" type="noConversion"/>
  </si>
  <si>
    <t>재치료</t>
    <phoneticPr fontId="9" type="noConversion"/>
  </si>
  <si>
    <t>치료결과</t>
    <phoneticPr fontId="5" type="noConversion"/>
  </si>
  <si>
    <t>아  동</t>
    <phoneticPr fontId="9" type="noConversion"/>
  </si>
  <si>
    <t>아 동</t>
    <phoneticPr fontId="9" type="noConversion"/>
  </si>
  <si>
    <t>불명확</t>
    <phoneticPr fontId="5" type="noConversion"/>
  </si>
  <si>
    <t>X-ray</t>
    <phoneticPr fontId="9" type="noConversion"/>
  </si>
  <si>
    <t>Smear</t>
    <phoneticPr fontId="9" type="noConversion"/>
  </si>
  <si>
    <t>Total</t>
    <phoneticPr fontId="9" type="noConversion"/>
  </si>
  <si>
    <t>Male</t>
    <phoneticPr fontId="8" type="noConversion"/>
  </si>
  <si>
    <t>Female</t>
    <phoneticPr fontId="8" type="noConversion"/>
  </si>
  <si>
    <t>Relapse</t>
    <phoneticPr fontId="9" type="noConversion"/>
  </si>
  <si>
    <t>Others</t>
    <phoneticPr fontId="9" type="noConversion"/>
  </si>
  <si>
    <t>Positive</t>
    <phoneticPr fontId="9" type="noConversion"/>
  </si>
  <si>
    <t>Negative</t>
    <phoneticPr fontId="9" type="noConversion"/>
  </si>
  <si>
    <t>Surveillance</t>
    <phoneticPr fontId="9" type="noConversion"/>
  </si>
  <si>
    <t xml:space="preserve">          전입자, 만성배균자, 기타환자)에서 신환자(초치료자), 재치료자(재발자, 실패 후 재치료자, 중단후 재치료자, </t>
    <phoneticPr fontId="5" type="noConversion"/>
  </si>
  <si>
    <t xml:space="preserve">       2) 기존 전입자 및 만성배균자의 환자구분은 삭제 되었으며  2001~2013년 분류된 전입자 및 만성 배균자는 재치료자 </t>
    <phoneticPr fontId="5" type="noConversion"/>
  </si>
  <si>
    <t xml:space="preserve">       3) 당해 연도 신환자로 신고한 환자 중 이전 신고 이력이 있거나 1년이상 지연 신고 된 환자는 기타환자로 분류</t>
    <phoneticPr fontId="5" type="noConversion"/>
  </si>
  <si>
    <t>Person</t>
    <phoneticPr fontId="9" type="noConversion"/>
  </si>
  <si>
    <t>의약외품</t>
    <phoneticPr fontId="9" type="noConversion"/>
  </si>
  <si>
    <t>의료기기</t>
    <phoneticPr fontId="9" type="noConversion"/>
  </si>
  <si>
    <t>한약국</t>
    <phoneticPr fontId="9" type="noConversion"/>
  </si>
  <si>
    <t>의약품</t>
    <phoneticPr fontId="9" type="noConversion"/>
  </si>
  <si>
    <t>한약도매상</t>
    <phoneticPr fontId="9" type="noConversion"/>
  </si>
  <si>
    <t>매약상</t>
    <phoneticPr fontId="3" type="noConversion"/>
  </si>
  <si>
    <t>의료기기 판매업</t>
    <phoneticPr fontId="4" type="noConversion"/>
  </si>
  <si>
    <t>의료기기 수리업</t>
    <phoneticPr fontId="4" type="noConversion"/>
  </si>
  <si>
    <t>dispensary of</t>
    <phoneticPr fontId="9" type="noConversion"/>
  </si>
  <si>
    <t>도매상</t>
    <phoneticPr fontId="9" type="noConversion"/>
  </si>
  <si>
    <t>Oriental medicine</t>
    <phoneticPr fontId="9" type="noConversion"/>
  </si>
  <si>
    <t xml:space="preserve">Medical </t>
    <phoneticPr fontId="4" type="noConversion"/>
  </si>
  <si>
    <t>Medical</t>
    <phoneticPr fontId="4" type="noConversion"/>
  </si>
  <si>
    <t>Pharmacies</t>
    <phoneticPr fontId="9" type="noConversion"/>
  </si>
  <si>
    <t>Druggists</t>
    <phoneticPr fontId="9" type="noConversion"/>
  </si>
  <si>
    <t>Whole salers</t>
    <phoneticPr fontId="9" type="noConversion"/>
  </si>
  <si>
    <t>medicine  dealers</t>
    <phoneticPr fontId="9" type="noConversion"/>
  </si>
  <si>
    <t>제과점</t>
    <phoneticPr fontId="9" type="noConversion"/>
  </si>
  <si>
    <t>단  란</t>
    <phoneticPr fontId="9" type="noConversion"/>
  </si>
  <si>
    <t>유  흥</t>
    <phoneticPr fontId="9" type="noConversion"/>
  </si>
  <si>
    <t>위탁급식</t>
    <phoneticPr fontId="9" type="noConversion"/>
  </si>
  <si>
    <t>용기·</t>
    <phoneticPr fontId="4" type="noConversion"/>
  </si>
  <si>
    <t>식품</t>
    <phoneticPr fontId="4" type="noConversion"/>
  </si>
  <si>
    <t>건강기능</t>
    <phoneticPr fontId="4" type="noConversion"/>
  </si>
  <si>
    <t>Restaurants</t>
    <phoneticPr fontId="9" type="noConversion"/>
  </si>
  <si>
    <t>주  점</t>
    <phoneticPr fontId="9" type="noConversion"/>
  </si>
  <si>
    <t>영    업</t>
    <phoneticPr fontId="9" type="noConversion"/>
  </si>
  <si>
    <t>제    조</t>
    <phoneticPr fontId="9" type="noConversion"/>
  </si>
  <si>
    <t>식품</t>
    <phoneticPr fontId="9" type="noConversion"/>
  </si>
  <si>
    <t>Food</t>
    <phoneticPr fontId="9" type="noConversion"/>
  </si>
  <si>
    <t>제조업</t>
    <phoneticPr fontId="4" type="noConversion"/>
  </si>
  <si>
    <t>가 공 업</t>
    <phoneticPr fontId="9" type="noConversion"/>
  </si>
  <si>
    <t xml:space="preserve">    </t>
    <phoneticPr fontId="4" type="noConversion"/>
  </si>
  <si>
    <t>판매업</t>
    <phoneticPr fontId="4" type="noConversion"/>
  </si>
  <si>
    <t xml:space="preserve">Public  </t>
    <phoneticPr fontId="9" type="noConversion"/>
  </si>
  <si>
    <t>Contracted</t>
    <phoneticPr fontId="9" type="noConversion"/>
  </si>
  <si>
    <t>manufacturing</t>
    <phoneticPr fontId="9" type="noConversion"/>
  </si>
  <si>
    <t>General</t>
    <phoneticPr fontId="9" type="noConversion"/>
  </si>
  <si>
    <t>catering</t>
    <phoneticPr fontId="9" type="noConversion"/>
  </si>
  <si>
    <t>and</t>
    <phoneticPr fontId="9" type="noConversion"/>
  </si>
  <si>
    <t>Improvised</t>
    <phoneticPr fontId="9" type="noConversion"/>
  </si>
  <si>
    <t>Food</t>
    <phoneticPr fontId="4" type="noConversion"/>
  </si>
  <si>
    <t>Grand total</t>
    <phoneticPr fontId="9" type="noConversion"/>
  </si>
  <si>
    <t>restaurants</t>
    <phoneticPr fontId="9" type="noConversion"/>
  </si>
  <si>
    <t>Bakeries</t>
    <phoneticPr fontId="9" type="noConversion"/>
  </si>
  <si>
    <t>service</t>
    <phoneticPr fontId="9" type="noConversion"/>
  </si>
  <si>
    <t>processing</t>
    <phoneticPr fontId="9" type="noConversion"/>
  </si>
  <si>
    <t>sales</t>
    <phoneticPr fontId="9" type="noConversion"/>
  </si>
  <si>
    <t>storage</t>
    <phoneticPr fontId="4" type="noConversion"/>
  </si>
  <si>
    <t>sales</t>
    <phoneticPr fontId="4" type="noConversion"/>
  </si>
  <si>
    <t>소분·</t>
    <phoneticPr fontId="4" type="noConversion"/>
  </si>
  <si>
    <t>목욕장업</t>
    <phoneticPr fontId="199" type="noConversion"/>
  </si>
  <si>
    <t>이용업</t>
    <phoneticPr fontId="3" type="noConversion"/>
  </si>
  <si>
    <t>Total</t>
    <phoneticPr fontId="9" type="noConversion"/>
  </si>
  <si>
    <t>단위 : 개소, 명</t>
    <phoneticPr fontId="9" type="noConversion"/>
  </si>
  <si>
    <t xml:space="preserve">연 별 </t>
    <phoneticPr fontId="9" type="noConversion"/>
  </si>
  <si>
    <t>시설수</t>
    <phoneticPr fontId="9" type="noConversion"/>
  </si>
  <si>
    <t>행정기관의</t>
    <phoneticPr fontId="5" type="noConversion"/>
  </si>
  <si>
    <t>전입</t>
    <phoneticPr fontId="5" type="noConversion"/>
  </si>
  <si>
    <t>기타</t>
    <phoneticPr fontId="5" type="noConversion"/>
  </si>
  <si>
    <t>연고자</t>
    <phoneticPr fontId="5" type="noConversion"/>
  </si>
  <si>
    <t>직업</t>
    <phoneticPr fontId="5" type="noConversion"/>
  </si>
  <si>
    <t>전원</t>
    <phoneticPr fontId="5" type="noConversion"/>
  </si>
  <si>
    <t>무단퇴소</t>
    <phoneticPr fontId="5" type="noConversion"/>
  </si>
  <si>
    <t>사망</t>
    <phoneticPr fontId="5" type="noConversion"/>
  </si>
  <si>
    <t>계</t>
    <phoneticPr fontId="5" type="noConversion"/>
  </si>
  <si>
    <t>의뢰</t>
    <phoneticPr fontId="9" type="noConversion"/>
  </si>
  <si>
    <t>자활</t>
    <phoneticPr fontId="9" type="noConversion"/>
  </si>
  <si>
    <t>남</t>
    <phoneticPr fontId="5" type="noConversion"/>
  </si>
  <si>
    <t>여</t>
    <phoneticPr fontId="9" type="noConversion"/>
  </si>
  <si>
    <t>정상인</t>
    <phoneticPr fontId="9" type="noConversion"/>
  </si>
  <si>
    <t>정신질환</t>
    <phoneticPr fontId="9" type="noConversion"/>
  </si>
  <si>
    <t>지체장애</t>
    <phoneticPr fontId="5" type="noConversion"/>
  </si>
  <si>
    <t>시각장애</t>
    <phoneticPr fontId="5" type="noConversion"/>
  </si>
  <si>
    <t>언어청각</t>
    <phoneticPr fontId="5" type="noConversion"/>
  </si>
  <si>
    <t>지적장애</t>
    <phoneticPr fontId="5" type="noConversion"/>
  </si>
  <si>
    <t>Referral from</t>
    <phoneticPr fontId="5" type="noConversion"/>
  </si>
  <si>
    <t>Discharges</t>
    <phoneticPr fontId="3" type="noConversion"/>
  </si>
  <si>
    <t>Auditory</t>
    <phoneticPr fontId="5" type="noConversion"/>
  </si>
  <si>
    <t>Inttellectual and</t>
    <phoneticPr fontId="5" type="noConversion"/>
  </si>
  <si>
    <t>No. of</t>
    <phoneticPr fontId="9" type="noConversion"/>
  </si>
  <si>
    <t>Government</t>
    <phoneticPr fontId="5" type="noConversion"/>
  </si>
  <si>
    <t>Selfsupport</t>
    <phoneticPr fontId="3" type="noConversion"/>
  </si>
  <si>
    <t>without</t>
    <phoneticPr fontId="9" type="noConversion"/>
  </si>
  <si>
    <t>Mental</t>
    <phoneticPr fontId="5" type="noConversion"/>
  </si>
  <si>
    <t>Mentally</t>
    <phoneticPr fontId="5" type="noConversion"/>
  </si>
  <si>
    <t>Visually</t>
    <phoneticPr fontId="5" type="noConversion"/>
  </si>
  <si>
    <t>lingually</t>
    <phoneticPr fontId="5" type="noConversion"/>
  </si>
  <si>
    <t>development</t>
    <phoneticPr fontId="5" type="noConversion"/>
  </si>
  <si>
    <t>facilities</t>
    <phoneticPr fontId="9" type="noConversion"/>
  </si>
  <si>
    <t>agencies</t>
    <phoneticPr fontId="9" type="noConversion"/>
  </si>
  <si>
    <t>Transfer</t>
    <phoneticPr fontId="9" type="noConversion"/>
  </si>
  <si>
    <t>To relatives</t>
    <phoneticPr fontId="9" type="noConversion"/>
  </si>
  <si>
    <t>occupation</t>
    <phoneticPr fontId="9" type="noConversion"/>
  </si>
  <si>
    <t>permission</t>
    <phoneticPr fontId="9" type="noConversion"/>
  </si>
  <si>
    <t>Deaths</t>
    <phoneticPr fontId="9" type="noConversion"/>
  </si>
  <si>
    <t>Total</t>
    <phoneticPr fontId="9" type="noConversion"/>
  </si>
  <si>
    <t>Male</t>
    <phoneticPr fontId="5" type="noConversion"/>
  </si>
  <si>
    <t>Female</t>
    <phoneticPr fontId="5" type="noConversion"/>
  </si>
  <si>
    <t>Nomal</t>
    <phoneticPr fontId="9" type="noConversion"/>
  </si>
  <si>
    <t>disorder</t>
    <phoneticPr fontId="9" type="noConversion"/>
  </si>
  <si>
    <t>retarded</t>
    <phoneticPr fontId="9" type="noConversion"/>
  </si>
  <si>
    <t>disabled</t>
    <phoneticPr fontId="5" type="noConversion"/>
  </si>
  <si>
    <t>disabled</t>
    <phoneticPr fontId="9" type="noConversion"/>
  </si>
  <si>
    <t>aldisabilities</t>
    <phoneticPr fontId="9" type="noConversion"/>
  </si>
  <si>
    <t xml:space="preserve">       </t>
    <phoneticPr fontId="9" type="noConversion"/>
  </si>
  <si>
    <t>Total</t>
    <phoneticPr fontId="4" type="noConversion"/>
  </si>
  <si>
    <t>생활인원</t>
    <phoneticPr fontId="9" type="noConversion"/>
  </si>
  <si>
    <t>Inmates</t>
    <phoneticPr fontId="9" type="noConversion"/>
  </si>
  <si>
    <t>No. of</t>
    <phoneticPr fontId="9" type="noConversion"/>
  </si>
  <si>
    <t>as of</t>
    <phoneticPr fontId="9" type="noConversion"/>
  </si>
  <si>
    <t>facilities</t>
    <phoneticPr fontId="9" type="noConversion"/>
  </si>
  <si>
    <t>Discharged</t>
    <phoneticPr fontId="9" type="noConversion"/>
  </si>
  <si>
    <t>18세 미만</t>
    <phoneticPr fontId="5" type="noConversion"/>
  </si>
  <si>
    <t>18세 이상</t>
    <phoneticPr fontId="5" type="noConversion"/>
  </si>
  <si>
    <t xml:space="preserve"> Less  than</t>
    <phoneticPr fontId="3" type="noConversion"/>
  </si>
  <si>
    <t>연    별</t>
    <phoneticPr fontId="6" type="noConversion"/>
  </si>
  <si>
    <t>성  별</t>
    <phoneticPr fontId="6" type="noConversion"/>
  </si>
  <si>
    <t>장 애 유 형</t>
    <phoneticPr fontId="6" type="noConversion"/>
  </si>
  <si>
    <t>By type of the disabled</t>
    <phoneticPr fontId="6" type="noConversion"/>
  </si>
  <si>
    <t>남</t>
    <phoneticPr fontId="6" type="noConversion"/>
  </si>
  <si>
    <t>여</t>
    <phoneticPr fontId="6" type="noConversion"/>
  </si>
  <si>
    <t>Respiratory</t>
    <phoneticPr fontId="6" type="noConversion"/>
  </si>
  <si>
    <t>Male</t>
    <phoneticPr fontId="6" type="noConversion"/>
  </si>
  <si>
    <t>Female</t>
    <phoneticPr fontId="6" type="noConversion"/>
  </si>
  <si>
    <t>Epilepsy</t>
    <phoneticPr fontId="6" type="noConversion"/>
  </si>
  <si>
    <t>봉  안  기 수</t>
    <phoneticPr fontId="9" type="noConversion"/>
  </si>
  <si>
    <t xml:space="preserve">Deposited </t>
    <phoneticPr fontId="9" type="noConversion"/>
  </si>
  <si>
    <t>Sub-</t>
    <phoneticPr fontId="9" type="noConversion"/>
  </si>
  <si>
    <t>Subtotal</t>
    <phoneticPr fontId="9" type="noConversion"/>
  </si>
  <si>
    <t>구 호 실 적</t>
    <phoneticPr fontId="9" type="noConversion"/>
  </si>
  <si>
    <t>Relief activities</t>
    <phoneticPr fontId="9" type="noConversion"/>
  </si>
  <si>
    <t>금액</t>
    <phoneticPr fontId="9" type="noConversion"/>
  </si>
  <si>
    <t>세대</t>
    <phoneticPr fontId="9" type="noConversion"/>
  </si>
  <si>
    <t>Amount</t>
    <phoneticPr fontId="9" type="noConversion"/>
  </si>
  <si>
    <t>Persons</t>
    <phoneticPr fontId="9" type="noConversion"/>
  </si>
  <si>
    <t>Households</t>
    <phoneticPr fontId="5" type="noConversion"/>
  </si>
  <si>
    <t xml:space="preserve">단위 : 명, 개소 </t>
    <phoneticPr fontId="9" type="noConversion"/>
  </si>
  <si>
    <t>Total</t>
    <phoneticPr fontId="200" type="noConversion"/>
  </si>
  <si>
    <t>사업장수</t>
    <phoneticPr fontId="9" type="noConversion"/>
  </si>
  <si>
    <t>가입자</t>
    <phoneticPr fontId="9" type="noConversion"/>
  </si>
  <si>
    <t>Workplace</t>
    <phoneticPr fontId="9" type="noConversion"/>
  </si>
  <si>
    <t>Self-employed</t>
    <phoneticPr fontId="9" type="noConversion"/>
  </si>
  <si>
    <t>연   별</t>
    <phoneticPr fontId="9" type="noConversion"/>
  </si>
  <si>
    <t>음식점</t>
    <phoneticPr fontId="3" type="noConversion"/>
  </si>
  <si>
    <t>휴  게</t>
    <phoneticPr fontId="9" type="noConversion"/>
  </si>
  <si>
    <t>Food</t>
    <phoneticPr fontId="3" type="noConversion"/>
  </si>
  <si>
    <t>additives</t>
    <phoneticPr fontId="9" type="noConversion"/>
  </si>
  <si>
    <t>manufacturing</t>
    <phoneticPr fontId="9" type="noConversion"/>
  </si>
  <si>
    <t>food manufacturing</t>
    <phoneticPr fontId="9" type="noConversion"/>
  </si>
  <si>
    <t>and processing</t>
    <phoneticPr fontId="9" type="noConversion"/>
  </si>
  <si>
    <t>연    별</t>
    <phoneticPr fontId="3" type="noConversion"/>
  </si>
  <si>
    <t>총계</t>
    <phoneticPr fontId="3" type="noConversion"/>
  </si>
  <si>
    <t>B.C.G.</t>
    <phoneticPr fontId="9" type="noConversion"/>
  </si>
  <si>
    <t>HepB</t>
    <phoneticPr fontId="3" type="noConversion"/>
  </si>
  <si>
    <t>IPV</t>
    <phoneticPr fontId="3" type="noConversion"/>
  </si>
  <si>
    <t>Hib</t>
    <phoneticPr fontId="3" type="noConversion"/>
  </si>
  <si>
    <t>폐렴구균</t>
    <phoneticPr fontId="9" type="noConversion"/>
  </si>
  <si>
    <t>PCV</t>
    <phoneticPr fontId="3" type="noConversion"/>
  </si>
  <si>
    <t>MMR</t>
    <phoneticPr fontId="3" type="noConversion"/>
  </si>
  <si>
    <t>수두</t>
    <phoneticPr fontId="9" type="noConversion"/>
  </si>
  <si>
    <t>Var</t>
    <phoneticPr fontId="3" type="noConversion"/>
  </si>
  <si>
    <t>일본뇌염</t>
    <phoneticPr fontId="9" type="noConversion"/>
  </si>
  <si>
    <t>JE</t>
    <phoneticPr fontId="3" type="noConversion"/>
  </si>
  <si>
    <t>단위 : 명</t>
    <phoneticPr fontId="9" type="noConversion"/>
  </si>
  <si>
    <t>구강보건교육</t>
    <phoneticPr fontId="3" type="noConversion"/>
  </si>
  <si>
    <t>Oral health education</t>
    <phoneticPr fontId="3" type="noConversion"/>
  </si>
  <si>
    <t>불소용액 양치사업</t>
  </si>
  <si>
    <t>Fluoride mouth rinsing</t>
  </si>
  <si>
    <t>Fluoride topical application</t>
  </si>
  <si>
    <t>참전</t>
    <phoneticPr fontId="3" type="noConversion"/>
  </si>
  <si>
    <t>유공자</t>
    <phoneticPr fontId="3" type="noConversion"/>
  </si>
  <si>
    <t xml:space="preserve">Fought </t>
    <phoneticPr fontId="3" type="noConversion"/>
  </si>
  <si>
    <t xml:space="preserve"> in the </t>
    <phoneticPr fontId="3" type="noConversion"/>
  </si>
  <si>
    <t>Korean War</t>
    <phoneticPr fontId="3" type="noConversion"/>
  </si>
  <si>
    <t xml:space="preserve"> and the</t>
    <phoneticPr fontId="3" type="noConversion"/>
  </si>
  <si>
    <t xml:space="preserve"> Vietnam War</t>
    <phoneticPr fontId="3" type="noConversion"/>
  </si>
  <si>
    <t>구호 및 사회복지 서비스 실적</t>
    <phoneticPr fontId="9" type="noConversion"/>
  </si>
  <si>
    <t>Relief Aids &amp; Social Welfare Support</t>
    <phoneticPr fontId="9" type="noConversion"/>
  </si>
  <si>
    <t>Physical</t>
    <phoneticPr fontId="3" type="noConversion"/>
  </si>
  <si>
    <t>Disability</t>
    <phoneticPr fontId="3" type="noConversion"/>
  </si>
  <si>
    <t>Disability of</t>
    <phoneticPr fontId="6" type="noConversion"/>
  </si>
  <si>
    <t>Brain Lesion</t>
    <phoneticPr fontId="6" type="noConversion"/>
  </si>
  <si>
    <t>Visual</t>
    <phoneticPr fontId="6" type="noConversion"/>
  </si>
  <si>
    <t>Disability</t>
    <phoneticPr fontId="6" type="noConversion"/>
  </si>
  <si>
    <t>Hearing</t>
    <phoneticPr fontId="9" type="noConversion"/>
  </si>
  <si>
    <t>Disability</t>
    <phoneticPr fontId="6" type="noConversion"/>
  </si>
  <si>
    <t>Speech</t>
    <phoneticPr fontId="6" type="noConversion"/>
  </si>
  <si>
    <t>Intellectual Disorder</t>
    <phoneticPr fontId="3" type="noConversion"/>
  </si>
  <si>
    <t>(Mental Retardation)</t>
    <phoneticPr fontId="3" type="noConversion"/>
  </si>
  <si>
    <t>호흡기</t>
    <phoneticPr fontId="6" type="noConversion"/>
  </si>
  <si>
    <t>심한장애</t>
    <phoneticPr fontId="6" type="noConversion"/>
  </si>
  <si>
    <t>심하지</t>
    <phoneticPr fontId="6" type="noConversion"/>
  </si>
  <si>
    <t>않은 장애</t>
    <phoneticPr fontId="3" type="noConversion"/>
  </si>
  <si>
    <t>Severe</t>
    <phoneticPr fontId="3" type="noConversion"/>
  </si>
  <si>
    <t>disability</t>
    <phoneticPr fontId="6" type="noConversion"/>
  </si>
  <si>
    <t>Mild</t>
    <phoneticPr fontId="3" type="noConversion"/>
  </si>
  <si>
    <t>disability</t>
    <phoneticPr fontId="6" type="noConversion"/>
  </si>
  <si>
    <t>Kidney</t>
    <phoneticPr fontId="6" type="noConversion"/>
  </si>
  <si>
    <t>Dysfunction</t>
    <phoneticPr fontId="6" type="noConversion"/>
  </si>
  <si>
    <t>Cardiac</t>
    <phoneticPr fontId="6" type="noConversion"/>
  </si>
  <si>
    <t xml:space="preserve">Hepatic </t>
    <phoneticPr fontId="3" type="noConversion"/>
  </si>
  <si>
    <t>Dysfunction</t>
    <phoneticPr fontId="3" type="noConversion"/>
  </si>
  <si>
    <t>(or Liver Dysfunction)</t>
    <phoneticPr fontId="3" type="noConversion"/>
  </si>
  <si>
    <t>Facial</t>
    <phoneticPr fontId="3" type="noConversion"/>
  </si>
  <si>
    <t>Disfigurement</t>
    <phoneticPr fontId="6" type="noConversion"/>
  </si>
  <si>
    <t>Intestinal</t>
    <phoneticPr fontId="3" type="noConversion"/>
  </si>
  <si>
    <t>Fistular/</t>
    <phoneticPr fontId="3" type="noConversion"/>
  </si>
  <si>
    <t xml:space="preserve"> Urinary Fistular</t>
    <phoneticPr fontId="3" type="noConversion"/>
  </si>
  <si>
    <t xml:space="preserve">장루, </t>
    <phoneticPr fontId="6" type="noConversion"/>
  </si>
  <si>
    <t>사설</t>
    <phoneticPr fontId="3" type="noConversion"/>
  </si>
  <si>
    <t>인원</t>
    <phoneticPr fontId="4" type="noConversion"/>
  </si>
  <si>
    <r>
      <t>연  별</t>
    </r>
    <r>
      <rPr>
        <sz val="10"/>
        <rFont val="Arial Narrow"/>
        <family val="2"/>
      </rPr>
      <t/>
    </r>
    <phoneticPr fontId="4" type="noConversion"/>
  </si>
  <si>
    <t>의료기기 임대업</t>
    <phoneticPr fontId="4" type="noConversion"/>
  </si>
  <si>
    <t>신북읍</t>
    <phoneticPr fontId="9" type="noConversion"/>
  </si>
  <si>
    <t>동면</t>
    <phoneticPr fontId="9" type="noConversion"/>
  </si>
  <si>
    <t>동산면</t>
    <phoneticPr fontId="9" type="noConversion"/>
  </si>
  <si>
    <t>신동면</t>
    <phoneticPr fontId="9" type="noConversion"/>
  </si>
  <si>
    <t>동내면</t>
    <phoneticPr fontId="9" type="noConversion"/>
  </si>
  <si>
    <t>남면</t>
    <phoneticPr fontId="9" type="noConversion"/>
  </si>
  <si>
    <t>남산면</t>
    <phoneticPr fontId="9" type="noConversion"/>
  </si>
  <si>
    <t>서면</t>
    <phoneticPr fontId="9" type="noConversion"/>
  </si>
  <si>
    <t>사북면</t>
    <phoneticPr fontId="9" type="noConversion"/>
  </si>
  <si>
    <t>북산면</t>
    <phoneticPr fontId="9" type="noConversion"/>
  </si>
  <si>
    <t>소양동</t>
    <phoneticPr fontId="9" type="noConversion"/>
  </si>
  <si>
    <t>교동</t>
    <phoneticPr fontId="9" type="noConversion"/>
  </si>
  <si>
    <t>조운동</t>
    <phoneticPr fontId="9" type="noConversion"/>
  </si>
  <si>
    <t>약사명동</t>
    <phoneticPr fontId="9" type="noConversion"/>
  </si>
  <si>
    <t>근화동</t>
    <phoneticPr fontId="9" type="noConversion"/>
  </si>
  <si>
    <t>후평1동</t>
    <phoneticPr fontId="9" type="noConversion"/>
  </si>
  <si>
    <t>후평2동</t>
  </si>
  <si>
    <t>후평3동</t>
  </si>
  <si>
    <t>효자1동</t>
    <phoneticPr fontId="9" type="noConversion"/>
  </si>
  <si>
    <t>효자2동</t>
  </si>
  <si>
    <t>효자3동</t>
  </si>
  <si>
    <t>석사동</t>
    <phoneticPr fontId="9" type="noConversion"/>
  </si>
  <si>
    <t>퇴계동</t>
    <phoneticPr fontId="9" type="noConversion"/>
  </si>
  <si>
    <t>강남동</t>
    <phoneticPr fontId="9" type="noConversion"/>
  </si>
  <si>
    <t>신사우동</t>
    <phoneticPr fontId="9" type="noConversion"/>
  </si>
  <si>
    <t>단위 : 개소, 명</t>
    <phoneticPr fontId="4" type="noConversion"/>
  </si>
  <si>
    <t>연  별</t>
    <phoneticPr fontId="4" type="noConversion"/>
  </si>
  <si>
    <t>합  계</t>
    <phoneticPr fontId="4" type="noConversion"/>
  </si>
  <si>
    <t>국공립</t>
    <phoneticPr fontId="4" type="noConversion"/>
  </si>
  <si>
    <t>사회복지</t>
    <phoneticPr fontId="4" type="noConversion"/>
  </si>
  <si>
    <t>민간</t>
    <phoneticPr fontId="8" type="noConversion"/>
  </si>
  <si>
    <t>법인,</t>
    <phoneticPr fontId="4" type="noConversion"/>
  </si>
  <si>
    <t>직 장</t>
    <phoneticPr fontId="4" type="noConversion"/>
  </si>
  <si>
    <t>가정</t>
    <phoneticPr fontId="8" type="noConversion"/>
  </si>
  <si>
    <t>합  계</t>
  </si>
  <si>
    <t>법인</t>
  </si>
  <si>
    <t>단체 등</t>
  </si>
  <si>
    <t xml:space="preserve">여 </t>
    <phoneticPr fontId="4" type="noConversion"/>
  </si>
  <si>
    <t>Total</t>
    <phoneticPr fontId="4" type="noConversion"/>
  </si>
  <si>
    <t>Public</t>
    <phoneticPr fontId="4" type="noConversion"/>
  </si>
  <si>
    <t>Authorized</t>
    <phoneticPr fontId="4" type="noConversion"/>
  </si>
  <si>
    <t>Private</t>
    <phoneticPr fontId="4" type="noConversion"/>
  </si>
  <si>
    <t>Workshop</t>
    <phoneticPr fontId="4" type="noConversion"/>
  </si>
  <si>
    <t>Home</t>
    <phoneticPr fontId="4" type="noConversion"/>
  </si>
  <si>
    <t>읍면동별</t>
    <phoneticPr fontId="4" type="noConversion"/>
  </si>
  <si>
    <t>신북읍</t>
    <phoneticPr fontId="9" type="noConversion"/>
  </si>
  <si>
    <t>동면</t>
    <phoneticPr fontId="9" type="noConversion"/>
  </si>
  <si>
    <t>신동면</t>
    <phoneticPr fontId="9" type="noConversion"/>
  </si>
  <si>
    <t>소양동</t>
    <phoneticPr fontId="9" type="noConversion"/>
  </si>
  <si>
    <t>교동</t>
    <phoneticPr fontId="9" type="noConversion"/>
  </si>
  <si>
    <t>조운동</t>
    <phoneticPr fontId="9" type="noConversion"/>
  </si>
  <si>
    <t>근화동</t>
    <phoneticPr fontId="9" type="noConversion"/>
  </si>
  <si>
    <t>후평1동</t>
    <phoneticPr fontId="9" type="noConversion"/>
  </si>
  <si>
    <t>신사우동</t>
    <phoneticPr fontId="9" type="noConversion"/>
  </si>
  <si>
    <t>연    별</t>
    <phoneticPr fontId="4" type="noConversion"/>
  </si>
  <si>
    <t>단위 : 개</t>
  </si>
  <si>
    <t>부  속  의  원</t>
    <phoneticPr fontId="9" type="noConversion"/>
  </si>
  <si>
    <t>보  건</t>
    <phoneticPr fontId="9" type="noConversion"/>
  </si>
  <si>
    <t>보건소</t>
  </si>
  <si>
    <t>보  건</t>
  </si>
  <si>
    <t>Dental</t>
    <phoneticPr fontId="9" type="noConversion"/>
  </si>
  <si>
    <t>진료소</t>
  </si>
  <si>
    <t>General hospitals</t>
    <phoneticPr fontId="9" type="noConversion"/>
  </si>
  <si>
    <t>Hospitals</t>
    <phoneticPr fontId="9" type="noConversion"/>
  </si>
  <si>
    <t>Clinics</t>
    <phoneticPr fontId="9" type="noConversion"/>
  </si>
  <si>
    <t>hospitals</t>
    <phoneticPr fontId="9" type="noConversion"/>
  </si>
  <si>
    <t>Dispensaries</t>
    <phoneticPr fontId="9" type="noConversion"/>
  </si>
  <si>
    <t>Primary</t>
    <phoneticPr fontId="9" type="noConversion"/>
  </si>
  <si>
    <t>병원수</t>
  </si>
  <si>
    <t>병상수</t>
  </si>
  <si>
    <t>병(의)원수</t>
    <phoneticPr fontId="4" type="noConversion"/>
  </si>
  <si>
    <t>Sub</t>
    <phoneticPr fontId="9" type="noConversion"/>
  </si>
  <si>
    <t>health</t>
    <phoneticPr fontId="9" type="noConversion"/>
  </si>
  <si>
    <t>Number</t>
    <phoneticPr fontId="9" type="noConversion"/>
  </si>
  <si>
    <t>Beds</t>
    <phoneticPr fontId="3" type="noConversion"/>
  </si>
  <si>
    <t>Number</t>
  </si>
  <si>
    <t>Beds</t>
  </si>
  <si>
    <t>Number</t>
    <phoneticPr fontId="9" type="noConversion"/>
  </si>
  <si>
    <t>centers</t>
    <phoneticPr fontId="9" type="noConversion"/>
  </si>
  <si>
    <t>centers</t>
    <phoneticPr fontId="9" type="noConversion"/>
  </si>
  <si>
    <t>합  계</t>
    <phoneticPr fontId="9" type="noConversion"/>
  </si>
  <si>
    <t>치 과 의 사</t>
  </si>
  <si>
    <t>한  의  사</t>
  </si>
  <si>
    <t>조  산  사</t>
  </si>
  <si>
    <t>간  호  사</t>
  </si>
  <si>
    <t>의 료 기 사</t>
  </si>
  <si>
    <t>Oriental</t>
  </si>
  <si>
    <t>Dentists</t>
  </si>
  <si>
    <t>medical doctors</t>
    <phoneticPr fontId="9" type="noConversion"/>
  </si>
  <si>
    <t>Pharmacists</t>
  </si>
  <si>
    <t>Midwives</t>
  </si>
  <si>
    <t>Nurse  aids</t>
    <phoneticPr fontId="9" type="noConversion"/>
  </si>
  <si>
    <t>technicians</t>
    <phoneticPr fontId="9" type="noConversion"/>
  </si>
  <si>
    <t>한센사업</t>
    <phoneticPr fontId="3" type="noConversion"/>
  </si>
  <si>
    <t>한센사업대상자 관리사항</t>
    <phoneticPr fontId="3" type="noConversion"/>
  </si>
  <si>
    <t>Registered patients under control</t>
    <phoneticPr fontId="5" type="noConversion"/>
  </si>
  <si>
    <t>한센사업대상자</t>
    <phoneticPr fontId="3" type="noConversion"/>
  </si>
  <si>
    <t>사망자</t>
    <phoneticPr fontId="9" type="noConversion"/>
  </si>
  <si>
    <t>거주형태별</t>
    <phoneticPr fontId="9" type="noConversion"/>
  </si>
  <si>
    <t>Type  of  residence</t>
    <phoneticPr fontId="9" type="noConversion"/>
  </si>
  <si>
    <t>서비스</t>
    <phoneticPr fontId="3" type="noConversion"/>
  </si>
  <si>
    <t>신규환자수</t>
    <phoneticPr fontId="9" type="noConversion"/>
  </si>
  <si>
    <t>재  가</t>
    <phoneticPr fontId="9" type="noConversion"/>
  </si>
  <si>
    <t>정착</t>
    <phoneticPr fontId="9" type="noConversion"/>
  </si>
  <si>
    <t>시설보호</t>
    <phoneticPr fontId="3" type="noConversion"/>
  </si>
  <si>
    <t>요치료</t>
    <phoneticPr fontId="9" type="noConversion"/>
  </si>
  <si>
    <t>Positive</t>
    <phoneticPr fontId="3" type="noConversion"/>
  </si>
  <si>
    <t xml:space="preserve">New </t>
    <phoneticPr fontId="3" type="noConversion"/>
  </si>
  <si>
    <t>New</t>
    <phoneticPr fontId="9" type="noConversion"/>
  </si>
  <si>
    <t>양 성</t>
    <phoneticPr fontId="9" type="noConversion"/>
  </si>
  <si>
    <t>cases for</t>
    <phoneticPr fontId="9" type="noConversion"/>
  </si>
  <si>
    <t xml:space="preserve">Cases under of </t>
    <phoneticPr fontId="3" type="noConversion"/>
  </si>
  <si>
    <t>재발관리</t>
    <phoneticPr fontId="3" type="noConversion"/>
  </si>
  <si>
    <t>Area of residence</t>
    <phoneticPr fontId="3" type="noConversion"/>
  </si>
  <si>
    <t>Area of service</t>
    <phoneticPr fontId="3" type="noConversion"/>
  </si>
  <si>
    <t>case</t>
    <phoneticPr fontId="3" type="noConversion"/>
  </si>
  <si>
    <t>beneficiaries</t>
    <phoneticPr fontId="3" type="noConversion"/>
  </si>
  <si>
    <t>patients</t>
    <phoneticPr fontId="9" type="noConversion"/>
  </si>
  <si>
    <t>Death</t>
    <phoneticPr fontId="9" type="noConversion"/>
  </si>
  <si>
    <t>Domicile</t>
    <phoneticPr fontId="3" type="noConversion"/>
  </si>
  <si>
    <t>Settlement village</t>
    <phoneticPr fontId="3" type="noConversion"/>
  </si>
  <si>
    <t>Leprosarium</t>
    <phoneticPr fontId="3" type="noConversion"/>
  </si>
  <si>
    <t>Chemotherapy</t>
    <phoneticPr fontId="9" type="noConversion"/>
  </si>
  <si>
    <t>Hansen service</t>
    <phoneticPr fontId="9" type="noConversion"/>
  </si>
  <si>
    <t>Cases for
Suveillance</t>
    <phoneticPr fontId="3" type="noConversion"/>
  </si>
  <si>
    <r>
      <t>연    별</t>
    </r>
    <r>
      <rPr>
        <sz val="10"/>
        <rFont val="Arial Narrow"/>
        <family val="2"/>
      </rPr>
      <t/>
    </r>
    <phoneticPr fontId="9" type="noConversion"/>
  </si>
  <si>
    <t>합 계</t>
    <phoneticPr fontId="9" type="noConversion"/>
  </si>
  <si>
    <t>경 로 당</t>
    <phoneticPr fontId="9" type="noConversion"/>
  </si>
  <si>
    <t>노인교실</t>
    <phoneticPr fontId="9" type="noConversion"/>
  </si>
  <si>
    <t>Total</t>
    <phoneticPr fontId="8" type="noConversion"/>
  </si>
  <si>
    <t>Community senior center</t>
    <phoneticPr fontId="8" type="noConversion"/>
  </si>
  <si>
    <t>Senior school</t>
    <phoneticPr fontId="8" type="noConversion"/>
  </si>
  <si>
    <t>시설수</t>
    <phoneticPr fontId="9" type="noConversion"/>
  </si>
  <si>
    <t>Facilities</t>
    <phoneticPr fontId="4" type="noConversion"/>
  </si>
  <si>
    <t>Facilities</t>
    <phoneticPr fontId="4" type="noConversion"/>
  </si>
  <si>
    <t>읍면동별</t>
    <phoneticPr fontId="3" type="noConversion"/>
  </si>
  <si>
    <t>노인복지관</t>
    <phoneticPr fontId="9" type="noConversion"/>
  </si>
  <si>
    <t>연    별</t>
    <phoneticPr fontId="4" type="noConversion"/>
  </si>
  <si>
    <t>노인공동생활가정</t>
    <phoneticPr fontId="4" type="noConversion"/>
  </si>
  <si>
    <t>시설수</t>
    <phoneticPr fontId="4" type="noConversion"/>
  </si>
  <si>
    <t>정 원</t>
    <phoneticPr fontId="4" type="noConversion"/>
  </si>
  <si>
    <t>현 원</t>
    <phoneticPr fontId="4" type="noConversion"/>
  </si>
  <si>
    <t>Workers</t>
    <phoneticPr fontId="4" type="noConversion"/>
  </si>
  <si>
    <t>Total</t>
    <phoneticPr fontId="3" type="noConversion"/>
  </si>
  <si>
    <t>입소인원</t>
    <phoneticPr fontId="4" type="noConversion"/>
  </si>
  <si>
    <t xml:space="preserve">종사자수 </t>
    <phoneticPr fontId="4" type="noConversion"/>
  </si>
  <si>
    <t>Workers</t>
    <phoneticPr fontId="3" type="noConversion"/>
  </si>
  <si>
    <t>시설수</t>
    <phoneticPr fontId="4" type="noConversion"/>
  </si>
  <si>
    <t>합       계</t>
    <phoneticPr fontId="4" type="noConversion"/>
  </si>
  <si>
    <t>방문요양서비스</t>
    <phoneticPr fontId="4" type="noConversion"/>
  </si>
  <si>
    <t>방문목욕서비스</t>
    <phoneticPr fontId="4" type="noConversion"/>
  </si>
  <si>
    <t xml:space="preserve">                   Total</t>
    <phoneticPr fontId="4" type="noConversion"/>
  </si>
  <si>
    <t>이용인원</t>
    <phoneticPr fontId="4" type="noConversion"/>
  </si>
  <si>
    <t>이용인원</t>
    <phoneticPr fontId="4" type="noConversion"/>
  </si>
  <si>
    <t>종사자수</t>
    <phoneticPr fontId="4" type="noConversion"/>
  </si>
  <si>
    <t>No. of</t>
    <phoneticPr fontId="9" type="noConversion"/>
  </si>
  <si>
    <t>현 원</t>
    <phoneticPr fontId="4" type="noConversion"/>
  </si>
  <si>
    <t>facilities</t>
    <phoneticPr fontId="9" type="noConversion"/>
  </si>
  <si>
    <t>Workers</t>
    <phoneticPr fontId="4" type="noConversion"/>
  </si>
  <si>
    <t>전체 노인 대비 기초연금 수급자(명)</t>
    <phoneticPr fontId="3" type="noConversion"/>
  </si>
  <si>
    <t>전체노인</t>
    <phoneticPr fontId="9" type="noConversion"/>
  </si>
  <si>
    <t>수급자 수</t>
    <phoneticPr fontId="4" type="noConversion"/>
  </si>
  <si>
    <t>수급률(%)</t>
    <phoneticPr fontId="4" type="noConversion"/>
  </si>
  <si>
    <t>Population 65 yerars old &amp; over</t>
    <phoneticPr fontId="4" type="noConversion"/>
  </si>
  <si>
    <t>Total  recipients</t>
    <phoneticPr fontId="4" type="noConversion"/>
  </si>
  <si>
    <t>Take-up rate</t>
    <phoneticPr fontId="4" type="noConversion"/>
  </si>
  <si>
    <t>합계</t>
    <phoneticPr fontId="9" type="noConversion"/>
  </si>
  <si>
    <t>합계</t>
    <phoneticPr fontId="9" type="noConversion"/>
  </si>
  <si>
    <t xml:space="preserve">여 </t>
    <phoneticPr fontId="4" type="noConversion"/>
  </si>
  <si>
    <t>Total</t>
    <phoneticPr fontId="9" type="noConversion"/>
  </si>
  <si>
    <t>Female</t>
    <phoneticPr fontId="4" type="noConversion"/>
  </si>
  <si>
    <t>단위 : 개소, 건</t>
    <phoneticPr fontId="9" type="noConversion"/>
  </si>
  <si>
    <t>연    별</t>
    <phoneticPr fontId="9" type="noConversion"/>
  </si>
  <si>
    <t>여성폭력 상담</t>
    <phoneticPr fontId="9" type="noConversion"/>
  </si>
  <si>
    <t>가정폭력</t>
    <phoneticPr fontId="9" type="noConversion"/>
  </si>
  <si>
    <t>Total</t>
    <phoneticPr fontId="9" type="noConversion"/>
  </si>
  <si>
    <t>Domestic Violence</t>
    <phoneticPr fontId="9" type="noConversion"/>
  </si>
  <si>
    <t>Sexual Violence</t>
    <phoneticPr fontId="9" type="noConversion"/>
  </si>
  <si>
    <t>상담소</t>
    <phoneticPr fontId="9" type="noConversion"/>
  </si>
  <si>
    <t>상담건수</t>
    <phoneticPr fontId="9" type="noConversion"/>
  </si>
  <si>
    <t>상담건수</t>
    <phoneticPr fontId="9" type="noConversion"/>
  </si>
  <si>
    <t>심리·정서적</t>
    <phoneticPr fontId="9" type="noConversion"/>
  </si>
  <si>
    <t>의료지원</t>
    <phoneticPr fontId="9" type="noConversion"/>
  </si>
  <si>
    <t>시설입소</t>
    <phoneticPr fontId="9" type="noConversion"/>
  </si>
  <si>
    <t>기 타</t>
    <phoneticPr fontId="9" type="noConversion"/>
  </si>
  <si>
    <t>지원</t>
    <phoneticPr fontId="9" type="noConversion"/>
  </si>
  <si>
    <t>연    계</t>
    <phoneticPr fontId="9" type="noConversion"/>
  </si>
  <si>
    <t>Counseling</t>
    <phoneticPr fontId="9" type="noConversion"/>
  </si>
  <si>
    <t>Centers</t>
    <phoneticPr fontId="9" type="noConversion"/>
  </si>
  <si>
    <t>Legal Aid</t>
    <phoneticPr fontId="9" type="noConversion"/>
  </si>
  <si>
    <t>Medical aid</t>
    <phoneticPr fontId="9" type="noConversion"/>
  </si>
  <si>
    <t>Others</t>
    <phoneticPr fontId="9" type="noConversion"/>
  </si>
  <si>
    <t>단위 : 개소, 명</t>
    <phoneticPr fontId="3" type="noConversion"/>
  </si>
  <si>
    <t>합          계</t>
  </si>
  <si>
    <t>양   육   시   설</t>
    <phoneticPr fontId="9" type="noConversion"/>
  </si>
  <si>
    <t>자  립  지  원  시  설</t>
    <phoneticPr fontId="9" type="noConversion"/>
  </si>
  <si>
    <t>보 호 치 료 시 설</t>
    <phoneticPr fontId="9" type="noConversion"/>
  </si>
  <si>
    <t>기   타</t>
    <phoneticPr fontId="9" type="noConversion"/>
  </si>
  <si>
    <t>시설수</t>
    <phoneticPr fontId="3" type="noConversion"/>
  </si>
  <si>
    <t>입소자</t>
    <phoneticPr fontId="3" type="noConversion"/>
  </si>
  <si>
    <t>입소자</t>
    <phoneticPr fontId="3" type="noConversion"/>
  </si>
  <si>
    <t>퇴소자</t>
    <phoneticPr fontId="3" type="noConversion"/>
  </si>
  <si>
    <t>퇴소자</t>
    <phoneticPr fontId="3" type="noConversion"/>
  </si>
  <si>
    <t>No. of</t>
    <phoneticPr fontId="9" type="noConversion"/>
  </si>
  <si>
    <t>facilities</t>
    <phoneticPr fontId="9" type="noConversion"/>
  </si>
  <si>
    <t>facilities</t>
    <phoneticPr fontId="9" type="noConversion"/>
  </si>
  <si>
    <t>No. of</t>
    <phoneticPr fontId="4" type="noConversion"/>
  </si>
  <si>
    <t>지 역</t>
    <phoneticPr fontId="4" type="noConversion"/>
  </si>
  <si>
    <t>Self-employed</t>
    <phoneticPr fontId="4" type="noConversion"/>
  </si>
  <si>
    <t>건 수</t>
    <phoneticPr fontId="4" type="noConversion"/>
  </si>
  <si>
    <t>금 액</t>
    <phoneticPr fontId="4" type="noConversion"/>
  </si>
  <si>
    <t>Amount</t>
    <phoneticPr fontId="4" type="noConversion"/>
  </si>
  <si>
    <t>Amount</t>
    <phoneticPr fontId="5" type="noConversion"/>
  </si>
  <si>
    <t>입원</t>
    <phoneticPr fontId="4" type="noConversion"/>
  </si>
  <si>
    <t>외래</t>
    <phoneticPr fontId="4" type="noConversion"/>
  </si>
  <si>
    <t>약국</t>
    <phoneticPr fontId="4" type="noConversion"/>
  </si>
  <si>
    <t>연  별</t>
    <phoneticPr fontId="4" type="noConversion"/>
  </si>
  <si>
    <t xml:space="preserve"> 계</t>
    <phoneticPr fontId="4" type="noConversion"/>
  </si>
  <si>
    <t>장애연금</t>
    <phoneticPr fontId="4" type="noConversion"/>
  </si>
  <si>
    <t>유족연금</t>
    <phoneticPr fontId="4" type="noConversion"/>
  </si>
  <si>
    <t>장  애</t>
    <phoneticPr fontId="4" type="noConversion"/>
  </si>
  <si>
    <t>반  환</t>
    <phoneticPr fontId="4" type="noConversion"/>
  </si>
  <si>
    <t>사 망</t>
    <phoneticPr fontId="4" type="noConversion"/>
  </si>
  <si>
    <t>특  례</t>
    <phoneticPr fontId="4" type="noConversion"/>
  </si>
  <si>
    <t>조  기</t>
    <phoneticPr fontId="4" type="noConversion"/>
  </si>
  <si>
    <t>분  할</t>
    <phoneticPr fontId="4" type="noConversion"/>
  </si>
  <si>
    <t>Total</t>
    <phoneticPr fontId="4" type="noConversion"/>
  </si>
  <si>
    <t>Special</t>
    <phoneticPr fontId="3" type="noConversion"/>
  </si>
  <si>
    <t>Old-age pension (over 20 years)</t>
    <phoneticPr fontId="3" type="noConversion"/>
  </si>
  <si>
    <t>Early</t>
    <phoneticPr fontId="3" type="noConversion"/>
  </si>
  <si>
    <t>Disability Pension</t>
    <phoneticPr fontId="4" type="noConversion"/>
  </si>
  <si>
    <t>Survivor Pension</t>
    <phoneticPr fontId="4" type="noConversion"/>
  </si>
  <si>
    <t>수급자수</t>
    <phoneticPr fontId="4" type="noConversion"/>
  </si>
  <si>
    <t>금  액</t>
    <phoneticPr fontId="4" type="noConversion"/>
  </si>
  <si>
    <t>금  액</t>
    <phoneticPr fontId="4" type="noConversion"/>
  </si>
  <si>
    <t>No. of</t>
    <phoneticPr fontId="4" type="noConversion"/>
  </si>
  <si>
    <t>Amount</t>
    <phoneticPr fontId="4" type="noConversion"/>
  </si>
  <si>
    <t xml:space="preserve"> </t>
    <phoneticPr fontId="5" type="noConversion"/>
  </si>
  <si>
    <t>연    별</t>
    <phoneticPr fontId="9" type="noConversion"/>
  </si>
  <si>
    <t>합            계</t>
  </si>
  <si>
    <t>국  가  유  공  자</t>
  </si>
  <si>
    <t>배      우      자</t>
    <phoneticPr fontId="3" type="noConversion"/>
  </si>
  <si>
    <t>자          녀</t>
  </si>
  <si>
    <t>Grand  total</t>
    <phoneticPr fontId="9" type="noConversion"/>
  </si>
  <si>
    <t>Patriots &amp; veterans</t>
    <phoneticPr fontId="9" type="noConversion"/>
  </si>
  <si>
    <t>Spouse</t>
  </si>
  <si>
    <t>Children</t>
    <phoneticPr fontId="9" type="noConversion"/>
  </si>
  <si>
    <t>Middle</t>
  </si>
  <si>
    <t>High</t>
  </si>
  <si>
    <t xml:space="preserve">College  </t>
    <phoneticPr fontId="9" type="noConversion"/>
  </si>
  <si>
    <t>school</t>
  </si>
  <si>
    <t>and Univ.</t>
    <phoneticPr fontId="9" type="noConversion"/>
  </si>
  <si>
    <t>and Univ.</t>
    <phoneticPr fontId="9" type="noConversion"/>
  </si>
  <si>
    <t>and Univ.</t>
    <phoneticPr fontId="9" type="noConversion"/>
  </si>
  <si>
    <t>총계</t>
    <phoneticPr fontId="9" type="noConversion"/>
  </si>
  <si>
    <t>월남전</t>
    <phoneticPr fontId="9" type="noConversion"/>
  </si>
  <si>
    <t>Korean and</t>
    <phoneticPr fontId="9" type="noConversion"/>
  </si>
  <si>
    <t>Korean war</t>
    <phoneticPr fontId="9" type="noConversion"/>
  </si>
  <si>
    <t>Veitnam war</t>
    <phoneticPr fontId="9" type="noConversion"/>
  </si>
  <si>
    <t>Vietnam war</t>
    <phoneticPr fontId="9" type="noConversion"/>
  </si>
  <si>
    <t>-</t>
  </si>
  <si>
    <t>신북읍</t>
  </si>
  <si>
    <t>동면</t>
  </si>
  <si>
    <t>동산면</t>
  </si>
  <si>
    <t>신동면</t>
  </si>
  <si>
    <t>동내면</t>
  </si>
  <si>
    <t>남면</t>
  </si>
  <si>
    <t>남산면</t>
  </si>
  <si>
    <t>서면</t>
  </si>
  <si>
    <t>사북면</t>
  </si>
  <si>
    <t>북산면</t>
  </si>
  <si>
    <t>소양동</t>
  </si>
  <si>
    <t>교동</t>
  </si>
  <si>
    <t>조운동</t>
  </si>
  <si>
    <t>약사명동</t>
  </si>
  <si>
    <t>근화동</t>
  </si>
  <si>
    <t>후평1동</t>
  </si>
  <si>
    <t>효자1동</t>
  </si>
  <si>
    <t>석사동</t>
  </si>
  <si>
    <t>퇴계동</t>
  </si>
  <si>
    <t>강남동</t>
  </si>
  <si>
    <t>신사우동</t>
  </si>
  <si>
    <t>조 운 동</t>
  </si>
  <si>
    <t>17.국민연금 가입자</t>
    <phoneticPr fontId="3" type="noConversion"/>
  </si>
  <si>
    <t>18. 국민연금 급여 지급현황</t>
    <phoneticPr fontId="3" type="noConversion"/>
  </si>
  <si>
    <t>Homeless and Their Inmates by City/Province</t>
    <phoneticPr fontId="3" type="noConversion"/>
  </si>
  <si>
    <t>Health and Social Security   481</t>
    <phoneticPr fontId="9" type="noConversion"/>
  </si>
  <si>
    <t>1. 의  료  기  관</t>
  </si>
  <si>
    <t>의  료  기  관 (속)</t>
    <phoneticPr fontId="9" type="noConversion"/>
  </si>
  <si>
    <t>2. 의료기관종사 의료 인력</t>
    <phoneticPr fontId="9" type="noConversion"/>
  </si>
  <si>
    <t>3. 보 건 소 인 력</t>
  </si>
  <si>
    <t>7. 공 중 위 생 영 업 소</t>
    <phoneticPr fontId="9" type="noConversion"/>
  </si>
  <si>
    <t xml:space="preserve">Health and Social Security  </t>
    <phoneticPr fontId="9" type="noConversion"/>
  </si>
  <si>
    <t>8. 예  방  접  종</t>
    <phoneticPr fontId="3" type="noConversion"/>
  </si>
  <si>
    <t>Status of Hansen Disease patients benefitted</t>
    <phoneticPr fontId="9" type="noConversion"/>
  </si>
  <si>
    <t>from public health center project centers by city</t>
    <phoneticPr fontId="3" type="noConversion"/>
  </si>
  <si>
    <t>11. 결 핵 환 자 현 황</t>
    <phoneticPr fontId="5" type="noConversion"/>
  </si>
  <si>
    <r>
      <t xml:space="preserve"> </t>
    </r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9" type="noConversion"/>
  </si>
  <si>
    <t xml:space="preserve">Health and Social Security  </t>
  </si>
  <si>
    <t>15. 건강보험급여</t>
    <phoneticPr fontId="9" type="noConversion"/>
  </si>
  <si>
    <t xml:space="preserve">Medical Treatment Activities of The Medically Insured </t>
    <phoneticPr fontId="9" type="noConversion"/>
  </si>
  <si>
    <t>20. 국가보훈대상자 취업</t>
    <phoneticPr fontId="9" type="noConversion"/>
  </si>
  <si>
    <t>중학교</t>
    <phoneticPr fontId="3" type="noConversion"/>
  </si>
  <si>
    <t>고교</t>
    <phoneticPr fontId="3" type="noConversion"/>
  </si>
  <si>
    <t>대학교</t>
    <phoneticPr fontId="3" type="noConversion"/>
  </si>
  <si>
    <t xml:space="preserve">Health and Social Security   </t>
    <phoneticPr fontId="9" type="noConversion"/>
  </si>
  <si>
    <t>23. 적십자회비 모금 및 구호,사회복지 서비스 실적</t>
    <phoneticPr fontId="9" type="noConversion"/>
  </si>
  <si>
    <t>Membership Fees, Relief Aid, and Social Welfare Support of the Korean Red Cross</t>
    <phoneticPr fontId="9" type="noConversion"/>
  </si>
  <si>
    <t xml:space="preserve">Health and Social Security  </t>
    <phoneticPr fontId="9" type="noConversion"/>
  </si>
  <si>
    <t>노인주거복지시설 (속)</t>
    <phoneticPr fontId="9" type="noConversion"/>
  </si>
  <si>
    <t xml:space="preserve">  </t>
    <phoneticPr fontId="9" type="noConversion"/>
  </si>
  <si>
    <t xml:space="preserve">Health and Social Security </t>
    <phoneticPr fontId="4" type="noConversion"/>
  </si>
  <si>
    <t xml:space="preserve">Health and Social Security   </t>
    <phoneticPr fontId="4" type="noConversion"/>
  </si>
  <si>
    <t>12. 보건소 구강보건사업실적</t>
    <phoneticPr fontId="9" type="noConversion"/>
  </si>
  <si>
    <t>13. 모 자 보 건 사 업 실 적</t>
    <phoneticPr fontId="3" type="noConversion"/>
  </si>
  <si>
    <t>Activities of Maternal and Child Health Care at Health Center</t>
    <phoneticPr fontId="3" type="noConversion"/>
  </si>
  <si>
    <t xml:space="preserve">Health and Social Security  </t>
    <phoneticPr fontId="4" type="noConversion"/>
  </si>
  <si>
    <t>Number of Basic Pension Recipients</t>
    <phoneticPr fontId="5" type="noConversion"/>
  </si>
  <si>
    <t xml:space="preserve"> Registered Disabled Persons </t>
    <phoneticPr fontId="6" type="noConversion"/>
  </si>
  <si>
    <t>Low-income Single Parent Families</t>
    <phoneticPr fontId="4" type="noConversion"/>
  </si>
  <si>
    <t>Cemeteries, Crematoriums and Charnel Houses</t>
    <phoneticPr fontId="3" type="noConversion"/>
  </si>
  <si>
    <t>Childcare Facilities</t>
    <phoneticPr fontId="4" type="noConversion"/>
  </si>
  <si>
    <t>Covered Person(or Beneficiaries) of Health Insurance</t>
    <phoneticPr fontId="5" type="noConversion"/>
  </si>
  <si>
    <t>Health and Social Security</t>
    <phoneticPr fontId="200" type="noConversion"/>
  </si>
  <si>
    <t>가입자수</t>
    <phoneticPr fontId="200" type="noConversion"/>
  </si>
  <si>
    <t xml:space="preserve"> </t>
    <phoneticPr fontId="3" type="noConversion"/>
  </si>
  <si>
    <t>Others</t>
    <phoneticPr fontId="3" type="noConversion"/>
  </si>
  <si>
    <t>불소 도포</t>
    <phoneticPr fontId="3" type="noConversion"/>
  </si>
  <si>
    <t>스케일링 또는 치면세정술</t>
    <phoneticPr fontId="3" type="noConversion"/>
  </si>
  <si>
    <t>공  상</t>
    <phoneticPr fontId="3" type="noConversion"/>
  </si>
  <si>
    <t>공무원</t>
    <phoneticPr fontId="3" type="noConversion"/>
  </si>
  <si>
    <t>기  타</t>
    <phoneticPr fontId="3" type="noConversion"/>
  </si>
  <si>
    <t>모금액</t>
    <phoneticPr fontId="9" type="noConversion"/>
  </si>
  <si>
    <t>Donations</t>
    <phoneticPr fontId="9" type="noConversion"/>
  </si>
  <si>
    <t>기부자수</t>
    <phoneticPr fontId="9" type="noConversion"/>
  </si>
  <si>
    <t>Doners</t>
    <phoneticPr fontId="9" type="noConversion"/>
  </si>
  <si>
    <t>미혼모자가족복지시설 공동생활가정</t>
    <phoneticPr fontId="4" type="noConversion"/>
  </si>
  <si>
    <t>봉  안  기 수</t>
    <phoneticPr fontId="9" type="noConversion"/>
  </si>
  <si>
    <t>봉  안  기 수</t>
    <phoneticPr fontId="9" type="noConversion"/>
  </si>
  <si>
    <t xml:space="preserve">Deposited </t>
    <phoneticPr fontId="9" type="noConversion"/>
  </si>
  <si>
    <t xml:space="preserve">Deposited </t>
    <phoneticPr fontId="9" type="noConversion"/>
  </si>
  <si>
    <t>사설</t>
    <phoneticPr fontId="3" type="noConversion"/>
  </si>
  <si>
    <t>Sub-</t>
    <phoneticPr fontId="9" type="noConversion"/>
  </si>
  <si>
    <t>total</t>
    <phoneticPr fontId="9" type="noConversion"/>
  </si>
  <si>
    <r>
      <t xml:space="preserve">19. 국 가 보 훈 대 상 자
</t>
    </r>
    <r>
      <rPr>
        <b/>
        <sz val="20"/>
        <rFont val="Arial Narrow"/>
        <family val="2"/>
      </rPr>
      <t>Number of Patriots and Veterans</t>
    </r>
    <phoneticPr fontId="9" type="noConversion"/>
  </si>
  <si>
    <t xml:space="preserve"> Grand total</t>
  </si>
  <si>
    <t xml:space="preserve">Patriots &amp; veterans  </t>
  </si>
  <si>
    <t xml:space="preserve"> Bereaved families</t>
  </si>
  <si>
    <t>Employment of Patriots and Veterans</t>
    <phoneticPr fontId="3" type="noConversion"/>
  </si>
  <si>
    <t>인  원</t>
    <phoneticPr fontId="8" type="noConversion"/>
  </si>
  <si>
    <t>양성</t>
    <phoneticPr fontId="3" type="noConversion"/>
  </si>
  <si>
    <t xml:space="preserve"> 신규대상자</t>
    <phoneticPr fontId="3" type="noConversion"/>
  </si>
  <si>
    <t>한센서비스대상자</t>
    <phoneticPr fontId="9" type="noConversion"/>
  </si>
  <si>
    <t>지역별</t>
    <phoneticPr fontId="3" type="noConversion"/>
  </si>
  <si>
    <t>보존업</t>
    <phoneticPr fontId="9" type="noConversion"/>
  </si>
  <si>
    <t>total</t>
  </si>
  <si>
    <t>Old-age pension(over 10 years ~
 less than 20 years)</t>
    <phoneticPr fontId="3" type="noConversion"/>
  </si>
  <si>
    <r>
      <rPr>
        <sz val="10"/>
        <color theme="1"/>
        <rFont val="바탕체"/>
        <family val="1"/>
        <charset val="129"/>
      </rPr>
      <t>기타대상자</t>
    </r>
    <r>
      <rPr>
        <sz val="10"/>
        <color theme="1"/>
        <rFont val="Arial Narrow"/>
        <family val="2"/>
      </rPr>
      <t xml:space="preserve"> Others</t>
    </r>
    <phoneticPr fontId="9" type="noConversion"/>
  </si>
  <si>
    <r>
      <rPr>
        <sz val="10"/>
        <color theme="1"/>
        <rFont val="바탕체"/>
        <family val="1"/>
        <charset val="129"/>
      </rPr>
      <t>재일학도</t>
    </r>
  </si>
  <si>
    <t xml:space="preserve"> - </t>
  </si>
  <si>
    <r>
      <t>연 별</t>
    </r>
    <r>
      <rPr>
        <sz val="10"/>
        <rFont val="Arial Narrow"/>
        <family val="2"/>
      </rPr>
      <t/>
    </r>
    <phoneticPr fontId="9" type="noConversion"/>
  </si>
  <si>
    <t>디프테리아, 
파상풍,백일해</t>
    <phoneticPr fontId="9" type="noConversion"/>
  </si>
  <si>
    <t>홍역,풍진,
유행성이하선염</t>
    <phoneticPr fontId="9" type="noConversion"/>
  </si>
  <si>
    <t>Unit : case, person</t>
    <phoneticPr fontId="9" type="noConversion"/>
  </si>
  <si>
    <t>야토병</t>
    <phoneticPr fontId="3" type="noConversion"/>
  </si>
  <si>
    <t>중증급성호흡기
증후군</t>
    <phoneticPr fontId="3" type="noConversion"/>
  </si>
  <si>
    <t>중동호흡기증후군</t>
    <phoneticPr fontId="3" type="noConversion"/>
  </si>
  <si>
    <t>동물인플루엔자
인체감염증</t>
    <phoneticPr fontId="3" type="noConversion"/>
  </si>
  <si>
    <t>신종인플루엔자</t>
    <phoneticPr fontId="3" type="noConversion"/>
  </si>
  <si>
    <t>디프테리아</t>
    <phoneticPr fontId="3" type="noConversion"/>
  </si>
  <si>
    <t>Botolism</t>
    <phoneticPr fontId="3" type="noConversion"/>
  </si>
  <si>
    <t>Tularemia</t>
    <phoneticPr fontId="3" type="noConversion"/>
  </si>
  <si>
    <t>Emerging infectious disease syndrome</t>
    <phoneticPr fontId="3" type="noConversion"/>
  </si>
  <si>
    <t>SARS</t>
    <phoneticPr fontId="3" type="noConversion"/>
  </si>
  <si>
    <t>MERS</t>
    <phoneticPr fontId="3" type="noConversion"/>
  </si>
  <si>
    <t>Animal influenza infection in humans</t>
    <phoneticPr fontId="3" type="noConversion"/>
  </si>
  <si>
    <t>Novel influenza</t>
    <phoneticPr fontId="3" type="noConversion"/>
  </si>
  <si>
    <t>Diphtheria</t>
    <phoneticPr fontId="3" type="noConversion"/>
  </si>
  <si>
    <r>
      <rPr>
        <sz val="10"/>
        <color theme="1"/>
        <rFont val="바탕체"/>
        <family val="1"/>
        <charset val="129"/>
      </rPr>
      <t>사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망</t>
    </r>
    <phoneticPr fontId="8" type="noConversion"/>
  </si>
  <si>
    <t>Cases</t>
    <phoneticPr fontId="3" type="noConversion"/>
  </si>
  <si>
    <t>Deaths</t>
    <phoneticPr fontId="5" type="noConversion"/>
  </si>
  <si>
    <r>
      <rPr>
        <sz val="10"/>
        <color theme="1"/>
        <rFont val="바탕체"/>
        <family val="1"/>
        <charset val="129"/>
      </rPr>
      <t xml:space="preserve">남
</t>
    </r>
    <r>
      <rPr>
        <sz val="10"/>
        <color theme="1"/>
        <rFont val="Arial Narrow"/>
        <family val="2"/>
      </rPr>
      <t>Male</t>
    </r>
    <phoneticPr fontId="4" type="noConversion"/>
  </si>
  <si>
    <r>
      <rPr>
        <sz val="10"/>
        <color theme="1"/>
        <rFont val="바탕체"/>
        <family val="1"/>
        <charset val="129"/>
      </rPr>
      <t>사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망</t>
    </r>
    <r>
      <rPr>
        <sz val="10"/>
        <color theme="1"/>
        <rFont val="Arial Narrow"/>
        <family val="2"/>
      </rPr>
      <t xml:space="preserve"> Deaths</t>
    </r>
    <phoneticPr fontId="4" type="noConversion"/>
  </si>
  <si>
    <t>수두</t>
    <phoneticPr fontId="3" type="noConversion"/>
  </si>
  <si>
    <t>홍역</t>
    <phoneticPr fontId="3" type="noConversion"/>
  </si>
  <si>
    <t>콜레라</t>
    <phoneticPr fontId="3" type="noConversion"/>
  </si>
  <si>
    <t>장티푸스</t>
    <phoneticPr fontId="3" type="noConversion"/>
  </si>
  <si>
    <t>파라티푸스</t>
    <phoneticPr fontId="3" type="noConversion"/>
  </si>
  <si>
    <t>세균성이질</t>
    <phoneticPr fontId="3" type="noConversion"/>
  </si>
  <si>
    <t>장출혈성대장균
감염증</t>
    <phoneticPr fontId="3" type="noConversion"/>
  </si>
  <si>
    <t>A형간염</t>
    <phoneticPr fontId="3" type="noConversion"/>
  </si>
  <si>
    <t>백일해</t>
    <phoneticPr fontId="3" type="noConversion"/>
  </si>
  <si>
    <t>유행성이하선염</t>
    <phoneticPr fontId="3" type="noConversion"/>
  </si>
  <si>
    <t>풍진(선천성)</t>
    <phoneticPr fontId="3" type="noConversion"/>
  </si>
  <si>
    <t>폴리오</t>
    <phoneticPr fontId="3" type="noConversion"/>
  </si>
  <si>
    <t>수막구균감염증</t>
    <phoneticPr fontId="3" type="noConversion"/>
  </si>
  <si>
    <t>b형헤모필루스
인플루엔자</t>
    <phoneticPr fontId="3" type="noConversion"/>
  </si>
  <si>
    <t>폐렴구균감염증</t>
    <phoneticPr fontId="3" type="noConversion"/>
  </si>
  <si>
    <t>한센병</t>
    <phoneticPr fontId="3" type="noConversion"/>
  </si>
  <si>
    <t>성홍열</t>
    <phoneticPr fontId="3" type="noConversion"/>
  </si>
  <si>
    <t>반코마이신내성
황색포도알균감염증</t>
    <phoneticPr fontId="3" type="noConversion"/>
  </si>
  <si>
    <t>카바페넴내성장내
세균속균종감염증</t>
    <phoneticPr fontId="3" type="noConversion"/>
  </si>
  <si>
    <t>E형간염</t>
    <phoneticPr fontId="3" type="noConversion"/>
  </si>
  <si>
    <t>Varicella</t>
    <phoneticPr fontId="3" type="noConversion"/>
  </si>
  <si>
    <t>Measles</t>
    <phoneticPr fontId="3" type="noConversion"/>
  </si>
  <si>
    <t>Cholera</t>
    <phoneticPr fontId="3" type="noConversion"/>
  </si>
  <si>
    <t>Typhoid fever</t>
    <phoneticPr fontId="3" type="noConversion"/>
  </si>
  <si>
    <t>Paratyphoid fever</t>
    <phoneticPr fontId="3" type="noConversion"/>
  </si>
  <si>
    <t>Shigellosis</t>
    <phoneticPr fontId="3" type="noConversion"/>
  </si>
  <si>
    <t>Viral hepatitis A</t>
    <phoneticPr fontId="3" type="noConversion"/>
  </si>
  <si>
    <t>Pertussis</t>
    <phoneticPr fontId="3" type="noConversion"/>
  </si>
  <si>
    <t>Mumps</t>
    <phoneticPr fontId="3" type="noConversion"/>
  </si>
  <si>
    <t>Acquired Rubella</t>
    <phoneticPr fontId="3" type="noConversion"/>
  </si>
  <si>
    <t>Polio-myelitis</t>
    <phoneticPr fontId="3" type="noConversion"/>
  </si>
  <si>
    <t>Meningococcal meningitis</t>
    <phoneticPr fontId="3" type="noConversion"/>
  </si>
  <si>
    <t>Haemophilus influenza thpe B</t>
    <phoneticPr fontId="3" type="noConversion"/>
  </si>
  <si>
    <t>Streptococcus pneumoniae</t>
    <phoneticPr fontId="3" type="noConversion"/>
  </si>
  <si>
    <t>Hansen's disease</t>
    <phoneticPr fontId="3" type="noConversion"/>
  </si>
  <si>
    <t>Scarlet fever</t>
    <phoneticPr fontId="3" type="noConversion"/>
  </si>
  <si>
    <t>VRSA infection</t>
    <phoneticPr fontId="3" type="noConversion"/>
  </si>
  <si>
    <t>CRE infection</t>
    <phoneticPr fontId="3" type="noConversion"/>
  </si>
  <si>
    <t>Viral hepatitis E</t>
    <phoneticPr fontId="3" type="noConversion"/>
  </si>
  <si>
    <t>Cases</t>
    <phoneticPr fontId="3" type="noConversion"/>
  </si>
  <si>
    <t>Deaths</t>
    <phoneticPr fontId="5" type="noConversion"/>
  </si>
  <si>
    <t>Cases</t>
    <phoneticPr fontId="3" type="noConversion"/>
  </si>
  <si>
    <t>Deaths</t>
    <phoneticPr fontId="5" type="noConversion"/>
  </si>
  <si>
    <t>Cases</t>
    <phoneticPr fontId="3" type="noConversion"/>
  </si>
  <si>
    <t>Deaths</t>
    <phoneticPr fontId="5" type="noConversion"/>
  </si>
  <si>
    <t>Cases</t>
    <phoneticPr fontId="3" type="noConversion"/>
  </si>
  <si>
    <t>Deaths</t>
    <phoneticPr fontId="5" type="noConversion"/>
  </si>
  <si>
    <t>Enterohemorrhagic E.coli</t>
    <phoneticPr fontId="3" type="noConversion"/>
  </si>
  <si>
    <t>Infectious  diseases, Class I</t>
    <phoneticPr fontId="3" type="noConversion"/>
  </si>
  <si>
    <r>
      <rPr>
        <sz val="10"/>
        <color theme="1"/>
        <rFont val="바탕체"/>
        <family val="1"/>
        <charset val="129"/>
      </rPr>
      <t>제</t>
    </r>
    <r>
      <rPr>
        <sz val="10"/>
        <color theme="1"/>
        <rFont val="Arial Narrow"/>
        <family val="2"/>
      </rPr>
      <t xml:space="preserve"> 1 </t>
    </r>
    <r>
      <rPr>
        <sz val="10"/>
        <color theme="1"/>
        <rFont val="바탕체"/>
        <family val="1"/>
        <charset val="129"/>
      </rPr>
      <t>급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염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병</t>
    </r>
    <r>
      <rPr>
        <sz val="10"/>
        <color theme="1"/>
        <rFont val="Arial Narrow"/>
        <family val="2"/>
      </rPr>
      <t xml:space="preserve">       </t>
    </r>
    <phoneticPr fontId="9" type="noConversion"/>
  </si>
  <si>
    <t>파상풍</t>
    <phoneticPr fontId="3" type="noConversion"/>
  </si>
  <si>
    <t>B형간염</t>
    <phoneticPr fontId="3" type="noConversion"/>
  </si>
  <si>
    <t>일본뇌염</t>
    <phoneticPr fontId="3" type="noConversion"/>
  </si>
  <si>
    <t>C형간염</t>
    <phoneticPr fontId="3" type="noConversion"/>
  </si>
  <si>
    <t>말라리아</t>
    <phoneticPr fontId="3" type="noConversion"/>
  </si>
  <si>
    <t>레지오넬라증</t>
    <phoneticPr fontId="3" type="noConversion"/>
  </si>
  <si>
    <t>비브리오패혈증</t>
    <phoneticPr fontId="3" type="noConversion"/>
  </si>
  <si>
    <t>발진열</t>
    <phoneticPr fontId="3" type="noConversion"/>
  </si>
  <si>
    <t>쯔쯔가무시증</t>
    <phoneticPr fontId="3" type="noConversion"/>
  </si>
  <si>
    <t>렙토스피라증</t>
    <phoneticPr fontId="3" type="noConversion"/>
  </si>
  <si>
    <t>브루셀라증</t>
    <phoneticPr fontId="3" type="noConversion"/>
  </si>
  <si>
    <t>신증후군출혈열</t>
    <phoneticPr fontId="3" type="noConversion"/>
  </si>
  <si>
    <t>크로이츠펠트야콥병 및
변종크로이츠펠트야콥병</t>
    <phoneticPr fontId="3" type="noConversion"/>
  </si>
  <si>
    <t>뎅기열</t>
    <phoneticPr fontId="3" type="noConversion"/>
  </si>
  <si>
    <t>큐열</t>
    <phoneticPr fontId="3" type="noConversion"/>
  </si>
  <si>
    <t>라임병</t>
    <phoneticPr fontId="3" type="noConversion"/>
  </si>
  <si>
    <t>진드기매개뇌염</t>
    <phoneticPr fontId="3" type="noConversion"/>
  </si>
  <si>
    <t>유비저</t>
    <phoneticPr fontId="3" type="noConversion"/>
  </si>
  <si>
    <t>치쿤구니야열</t>
    <phoneticPr fontId="3" type="noConversion"/>
  </si>
  <si>
    <t>중증열성혈소판
감소증후군</t>
    <phoneticPr fontId="3" type="noConversion"/>
  </si>
  <si>
    <t>지카바이러스감염증</t>
    <phoneticPr fontId="3" type="noConversion"/>
  </si>
  <si>
    <t xml:space="preserve">Infectious  diseases, </t>
    <phoneticPr fontId="3" type="noConversion"/>
  </si>
  <si>
    <t>Tatanus</t>
    <phoneticPr fontId="3" type="noConversion"/>
  </si>
  <si>
    <t>Viral hepatitis B</t>
    <phoneticPr fontId="3" type="noConversion"/>
  </si>
  <si>
    <t>Japanese encephalitis</t>
    <phoneticPr fontId="3" type="noConversion"/>
  </si>
  <si>
    <t>Viral hepatitis C</t>
    <phoneticPr fontId="3" type="noConversion"/>
  </si>
  <si>
    <t>Malaria</t>
    <phoneticPr fontId="3" type="noConversion"/>
  </si>
  <si>
    <t>Legionellosis</t>
    <phoneticPr fontId="3" type="noConversion"/>
  </si>
  <si>
    <t>Vibrio vulnificus sepsis</t>
    <phoneticPr fontId="3" type="noConversion"/>
  </si>
  <si>
    <t>Murine typhus</t>
    <phoneticPr fontId="3" type="noConversion"/>
  </si>
  <si>
    <t>Scrub typhus</t>
    <phoneticPr fontId="3" type="noConversion"/>
  </si>
  <si>
    <t>Leptospirosis</t>
    <phoneticPr fontId="3" type="noConversion"/>
  </si>
  <si>
    <t>Brucellosis</t>
    <phoneticPr fontId="3" type="noConversion"/>
  </si>
  <si>
    <t>HFRS</t>
    <phoneticPr fontId="3" type="noConversion"/>
  </si>
  <si>
    <t>CJD &amp; vCJD</t>
    <phoneticPr fontId="3" type="noConversion"/>
  </si>
  <si>
    <t>Yellow fever</t>
    <phoneticPr fontId="3" type="noConversion"/>
  </si>
  <si>
    <t>Q fever</t>
    <phoneticPr fontId="3" type="noConversion"/>
  </si>
  <si>
    <t>Lyme Borreliosis</t>
    <phoneticPr fontId="3" type="noConversion"/>
  </si>
  <si>
    <t>Tick-borne Encephalitis</t>
    <phoneticPr fontId="3" type="noConversion"/>
  </si>
  <si>
    <t>Melioidosis</t>
    <phoneticPr fontId="3" type="noConversion"/>
  </si>
  <si>
    <t>Chikungunya fever</t>
    <phoneticPr fontId="3" type="noConversion"/>
  </si>
  <si>
    <t>SFTS</t>
    <phoneticPr fontId="3" type="noConversion"/>
  </si>
  <si>
    <t>Zika virus infection</t>
    <phoneticPr fontId="3" type="noConversion"/>
  </si>
  <si>
    <t>Medical Institutions</t>
    <phoneticPr fontId="9" type="noConversion"/>
  </si>
  <si>
    <t>Medical Institutions(Cont'd)</t>
    <phoneticPr fontId="9" type="noConversion"/>
  </si>
  <si>
    <t>Specialized</t>
    <phoneticPr fontId="9" type="noConversion"/>
  </si>
  <si>
    <t>hospitals and clinics</t>
    <phoneticPr fontId="9" type="noConversion"/>
  </si>
  <si>
    <t>치과병·의원</t>
    <phoneticPr fontId="9" type="noConversion"/>
  </si>
  <si>
    <t>Midwifery</t>
    <phoneticPr fontId="9" type="noConversion"/>
  </si>
  <si>
    <t>Health</t>
    <phoneticPr fontId="3" type="noConversion"/>
  </si>
  <si>
    <t>health</t>
    <phoneticPr fontId="9" type="noConversion"/>
  </si>
  <si>
    <t>care post</t>
    <phoneticPr fontId="9" type="noConversion"/>
  </si>
  <si>
    <t>Unit : establishment</t>
    <phoneticPr fontId="3" type="noConversion"/>
  </si>
  <si>
    <t>Medical and Paramedical Personnel in Medical Institutions</t>
    <phoneticPr fontId="3" type="noConversion"/>
  </si>
  <si>
    <t>Unit : person</t>
    <phoneticPr fontId="3" type="noConversion"/>
  </si>
  <si>
    <t>Personnel in Health Centers</t>
    <phoneticPr fontId="3" type="noConversion"/>
  </si>
  <si>
    <t>Unit : person</t>
    <phoneticPr fontId="3" type="noConversion"/>
  </si>
  <si>
    <t>Personnel in Sub-Health Centers and Primary Health Care Posts, Community Health Promotion Centers</t>
    <phoneticPr fontId="3" type="noConversion"/>
  </si>
  <si>
    <t>연 별</t>
    <phoneticPr fontId="3" type="noConversion"/>
  </si>
  <si>
    <t>4. 보건지소 및 보건진료소, 건강생활지원센터 인력</t>
    <phoneticPr fontId="204" type="noConversion"/>
  </si>
  <si>
    <t>devices</t>
    <phoneticPr fontId="3" type="noConversion"/>
  </si>
  <si>
    <t>Quasi-</t>
    <phoneticPr fontId="9" type="noConversion"/>
  </si>
  <si>
    <t xml:space="preserve">drugs </t>
    <phoneticPr fontId="9" type="noConversion"/>
  </si>
  <si>
    <t>whole salers</t>
    <phoneticPr fontId="9" type="noConversion"/>
  </si>
  <si>
    <t>Dealers of</t>
    <phoneticPr fontId="9" type="noConversion"/>
  </si>
  <si>
    <t xml:space="preserve">restricted drugs </t>
    <phoneticPr fontId="9" type="noConversion"/>
  </si>
  <si>
    <t>Oriental</t>
    <phoneticPr fontId="9" type="noConversion"/>
  </si>
  <si>
    <t xml:space="preserve"> device sales</t>
    <phoneticPr fontId="4" type="noConversion"/>
  </si>
  <si>
    <t>device leasing</t>
    <phoneticPr fontId="4" type="noConversion"/>
  </si>
  <si>
    <t>device repairers</t>
    <phoneticPr fontId="4" type="noConversion"/>
  </si>
  <si>
    <t>Unit : establishment</t>
    <phoneticPr fontId="3" type="noConversion"/>
  </si>
  <si>
    <t>Unit : establishment</t>
    <phoneticPr fontId="3" type="noConversion"/>
  </si>
  <si>
    <t>일   반</t>
    <phoneticPr fontId="9" type="noConversion"/>
  </si>
  <si>
    <t>(rest area)</t>
    <phoneticPr fontId="3" type="noConversion"/>
  </si>
  <si>
    <t>bar</t>
  </si>
  <si>
    <t>karaoke</t>
    <phoneticPr fontId="3" type="noConversion"/>
  </si>
  <si>
    <t>Mass</t>
    <phoneticPr fontId="3" type="noConversion"/>
  </si>
  <si>
    <t>service</t>
    <phoneticPr fontId="3" type="noConversion"/>
  </si>
  <si>
    <t>Container·</t>
    <phoneticPr fontId="3" type="noConversion"/>
  </si>
  <si>
    <t>package</t>
    <phoneticPr fontId="3" type="noConversion"/>
  </si>
  <si>
    <t>manufacturing</t>
    <phoneticPr fontId="3" type="noConversion"/>
  </si>
  <si>
    <t>Food</t>
    <phoneticPr fontId="3" type="noConversion"/>
  </si>
  <si>
    <t>subdivision·</t>
    <phoneticPr fontId="3" type="noConversion"/>
  </si>
  <si>
    <t>transportation</t>
    <phoneticPr fontId="3" type="noConversion"/>
  </si>
  <si>
    <t>Public Sanitary Facilities</t>
    <phoneticPr fontId="9" type="noConversion"/>
  </si>
  <si>
    <t>bath
house</t>
    <phoneticPr fontId="9" type="noConversion"/>
  </si>
  <si>
    <t>Barber</t>
    <phoneticPr fontId="9" type="noConversion"/>
  </si>
  <si>
    <t>미용업</t>
    <phoneticPr fontId="3" type="noConversion"/>
  </si>
  <si>
    <t>Beauty shop</t>
    <phoneticPr fontId="3" type="noConversion"/>
  </si>
  <si>
    <t xml:space="preserve">Laundry </t>
    <phoneticPr fontId="9" type="noConversion"/>
  </si>
  <si>
    <t>Sanitary service business</t>
    <phoneticPr fontId="9" type="noConversion"/>
  </si>
  <si>
    <t>DTaP</t>
    <phoneticPr fontId="9" type="noConversion"/>
  </si>
  <si>
    <t>National Vaccination Coverage</t>
    <phoneticPr fontId="3" type="noConversion"/>
  </si>
  <si>
    <t>Reported cases of tuberculosis in the current year</t>
    <phoneticPr fontId="9" type="noConversion"/>
  </si>
  <si>
    <t>New</t>
    <phoneticPr fontId="3" type="noConversion"/>
  </si>
  <si>
    <t>cases</t>
    <phoneticPr fontId="3" type="noConversion"/>
  </si>
  <si>
    <t>Re-treatment</t>
    <phoneticPr fontId="3" type="noConversion"/>
  </si>
  <si>
    <t>after failed</t>
    <phoneticPr fontId="9" type="noConversion"/>
  </si>
  <si>
    <t>treatment</t>
    <phoneticPr fontId="9" type="noConversion"/>
  </si>
  <si>
    <t>after recess</t>
    <phoneticPr fontId="9" type="noConversion"/>
  </si>
  <si>
    <t>Re-registration</t>
    <phoneticPr fontId="9" type="noConversion"/>
  </si>
  <si>
    <t>재등록</t>
    <phoneticPr fontId="5" type="noConversion"/>
  </si>
  <si>
    <t>from previous</t>
    <phoneticPr fontId="3" type="noConversion"/>
  </si>
  <si>
    <t>treatment</t>
    <phoneticPr fontId="3" type="noConversion"/>
  </si>
  <si>
    <t>results</t>
    <phoneticPr fontId="3" type="noConversion"/>
  </si>
  <si>
    <t>Unclear</t>
    <phoneticPr fontId="3" type="noConversion"/>
  </si>
  <si>
    <t>Unclear</t>
    <phoneticPr fontId="3" type="noConversion"/>
  </si>
  <si>
    <t>whether</t>
    <phoneticPr fontId="3" type="noConversion"/>
  </si>
  <si>
    <t xml:space="preserve">previously </t>
    <phoneticPr fontId="3" type="noConversion"/>
  </si>
  <si>
    <t>treated or not</t>
    <phoneticPr fontId="3" type="noConversion"/>
  </si>
  <si>
    <t>Unit : person</t>
    <phoneticPr fontId="3" type="noConversion"/>
  </si>
  <si>
    <t>Tuberculosis Patients</t>
    <phoneticPr fontId="3" type="noConversion"/>
  </si>
  <si>
    <t>단위 : 명, 건수</t>
    <phoneticPr fontId="9" type="noConversion"/>
  </si>
  <si>
    <t>Unit : person, case</t>
    <phoneticPr fontId="3" type="noConversion"/>
  </si>
  <si>
    <t>Children</t>
    <phoneticPr fontId="9" type="noConversion"/>
  </si>
  <si>
    <t>school</t>
    <phoneticPr fontId="9" type="noConversion"/>
  </si>
  <si>
    <t>not in</t>
    <phoneticPr fontId="3" type="noConversion"/>
  </si>
  <si>
    <t>in school</t>
    <phoneticPr fontId="9" type="noConversion"/>
  </si>
  <si>
    <t>Administration of BCG in the current year</t>
    <phoneticPr fontId="5" type="noConversion"/>
  </si>
  <si>
    <t>Current year’s administration of TB tests in health centers</t>
    <phoneticPr fontId="5" type="noConversion"/>
  </si>
  <si>
    <t>test</t>
    <phoneticPr fontId="9" type="noConversion"/>
  </si>
  <si>
    <t>Oral Health Activities at Health Centers</t>
    <phoneticPr fontId="9" type="noConversion"/>
  </si>
  <si>
    <t>Scailing or Oral prophylaxis</t>
    <phoneticPr fontId="3" type="noConversion"/>
  </si>
  <si>
    <t>Unit : person</t>
    <phoneticPr fontId="3" type="noConversion"/>
  </si>
  <si>
    <t>Registered mother</t>
    <phoneticPr fontId="9" type="noConversion"/>
  </si>
  <si>
    <t>Registered infant</t>
    <phoneticPr fontId="9" type="noConversion"/>
  </si>
  <si>
    <t>Unit : person, number</t>
    <phoneticPr fontId="3" type="noConversion"/>
  </si>
  <si>
    <t>Number of</t>
    <phoneticPr fontId="3" type="noConversion"/>
  </si>
  <si>
    <t>Householder</t>
  </si>
  <si>
    <t>Benefits in Health Insurance</t>
    <phoneticPr fontId="4" type="noConversion"/>
  </si>
  <si>
    <t>cases</t>
    <phoneticPr fontId="4" type="noConversion"/>
  </si>
  <si>
    <t>cases</t>
    <phoneticPr fontId="5" type="noConversion"/>
  </si>
  <si>
    <t>Unit : case, day, thousand won</t>
    <phoneticPr fontId="3" type="noConversion"/>
  </si>
  <si>
    <t>Unit : number, person</t>
    <phoneticPr fontId="3" type="noConversion"/>
  </si>
  <si>
    <t>Voluntarily &amp;</t>
    <phoneticPr fontId="3" type="noConversion"/>
  </si>
  <si>
    <t>beneficiaries</t>
    <phoneticPr fontId="4" type="noConversion"/>
  </si>
  <si>
    <t xml:space="preserve">  주: (   )안은 국민연금 가입기간임</t>
    <phoneticPr fontId="3" type="noConversion"/>
  </si>
  <si>
    <t>Divided</t>
    <phoneticPr fontId="3" type="noConversion"/>
  </si>
  <si>
    <t>Disability
lump-sum compensation</t>
    <phoneticPr fontId="4" type="noConversion"/>
  </si>
  <si>
    <t>Lump-sum refund</t>
    <phoneticPr fontId="4" type="noConversion"/>
  </si>
  <si>
    <t>Lump-sum death payment</t>
    <phoneticPr fontId="4" type="noConversion"/>
  </si>
  <si>
    <t>Unit : person, thousand won</t>
    <phoneticPr fontId="3" type="noConversion"/>
  </si>
  <si>
    <t>Cases and Benefits in National Pension by Benefit Type</t>
    <phoneticPr fontId="3" type="noConversion"/>
  </si>
  <si>
    <t>National Pension Insurants by Insurance Type</t>
    <phoneticPr fontId="3" type="noConversion"/>
  </si>
  <si>
    <t>Unit : person</t>
    <phoneticPr fontId="3" type="noConversion"/>
  </si>
  <si>
    <t>Unit : person</t>
    <phoneticPr fontId="3" type="noConversion"/>
  </si>
  <si>
    <t>Unit : person</t>
    <phoneticPr fontId="3" type="noConversion"/>
  </si>
  <si>
    <t xml:space="preserve"> Unit : person</t>
    <phoneticPr fontId="3" type="noConversion"/>
  </si>
  <si>
    <t>24. 노인여가복지시설</t>
    <phoneticPr fontId="9" type="noConversion"/>
  </si>
  <si>
    <t>Unit : number, person</t>
    <phoneticPr fontId="3" type="noConversion"/>
  </si>
  <si>
    <t>Leisure facilities for the Elderly</t>
    <phoneticPr fontId="9" type="noConversion"/>
  </si>
  <si>
    <t>Senior welfare center</t>
    <phoneticPr fontId="8" type="noConversion"/>
  </si>
  <si>
    <t>Capacity</t>
    <phoneticPr fontId="4" type="noConversion"/>
  </si>
  <si>
    <t>Users</t>
    <phoneticPr fontId="4" type="noConversion"/>
  </si>
  <si>
    <t>Admissions</t>
    <phoneticPr fontId="3" type="noConversion"/>
  </si>
  <si>
    <t>Institution for the aged</t>
    <phoneticPr fontId="3" type="noConversion"/>
  </si>
  <si>
    <t>Senior citizens’ home</t>
    <phoneticPr fontId="3" type="noConversion"/>
  </si>
  <si>
    <t>Welfare house for the aged</t>
    <phoneticPr fontId="3" type="noConversion"/>
  </si>
  <si>
    <t xml:space="preserve">25. 노인주거복지시설 </t>
    <phoneticPr fontId="9" type="noConversion"/>
  </si>
  <si>
    <t>노인요양시설</t>
    <phoneticPr fontId="4" type="noConversion"/>
  </si>
  <si>
    <t>Care facilities for the elderly</t>
    <phoneticPr fontId="3" type="noConversion"/>
  </si>
  <si>
    <t>노인요양공동생활가정</t>
    <phoneticPr fontId="4" type="noConversion"/>
  </si>
  <si>
    <t>Common residential household for the care of the elderly</t>
    <phoneticPr fontId="3" type="noConversion"/>
  </si>
  <si>
    <t>Unit : number, person</t>
    <phoneticPr fontId="3" type="noConversion"/>
  </si>
  <si>
    <t>26. 노인의료복지시설</t>
    <phoneticPr fontId="9" type="noConversion"/>
  </si>
  <si>
    <t>Admissions</t>
    <phoneticPr fontId="4" type="noConversion"/>
  </si>
  <si>
    <t>Capacity</t>
    <phoneticPr fontId="4" type="noConversion"/>
  </si>
  <si>
    <t>Home-visit care</t>
    <phoneticPr fontId="8" type="noConversion"/>
  </si>
  <si>
    <t>Day and night care</t>
    <phoneticPr fontId="4" type="noConversion"/>
  </si>
  <si>
    <t>단기보호서비스</t>
    <phoneticPr fontId="4" type="noConversion"/>
  </si>
  <si>
    <t>Short-term care respite</t>
    <phoneticPr fontId="4" type="noConversion"/>
  </si>
  <si>
    <t>Home-visit bathing</t>
    <phoneticPr fontId="4" type="noConversion"/>
  </si>
  <si>
    <t>Community care supporting service</t>
    <phoneticPr fontId="4" type="noConversion"/>
  </si>
  <si>
    <t>Unit : number, person</t>
    <phoneticPr fontId="3" type="noConversion"/>
  </si>
  <si>
    <t>Community Care Facilities for the Elderly</t>
    <phoneticPr fontId="4" type="noConversion"/>
  </si>
  <si>
    <t>Medical Welfare Facilities for the Elderly</t>
    <phoneticPr fontId="4" type="noConversion"/>
  </si>
  <si>
    <t>Residential Welfare Facilities for the Elderly(Cont'd)</t>
    <phoneticPr fontId="5" type="noConversion"/>
  </si>
  <si>
    <t>Recipients of National Basic Livelihood Security Benefit</t>
    <phoneticPr fontId="9" type="noConversion"/>
  </si>
  <si>
    <t>Unit : household, number, person</t>
    <phoneticPr fontId="3" type="noConversion"/>
  </si>
  <si>
    <t>No. of</t>
  </si>
  <si>
    <t>No. of</t>
    <phoneticPr fontId="3" type="noConversion"/>
  </si>
  <si>
    <t>No. of  person</t>
    <phoneticPr fontId="3" type="noConversion"/>
  </si>
  <si>
    <t>No. of households</t>
    <phoneticPr fontId="9" type="noConversion"/>
  </si>
  <si>
    <t>No. of persons</t>
    <phoneticPr fontId="3" type="noConversion"/>
  </si>
  <si>
    <t>Of special benefits for individuals</t>
    <phoneticPr fontId="8" type="noConversion"/>
  </si>
  <si>
    <t>Of special benefits by legislations</t>
    <phoneticPr fontId="8" type="noConversion"/>
  </si>
  <si>
    <t>Unit : person, %</t>
    <phoneticPr fontId="3" type="noConversion"/>
  </si>
  <si>
    <t>27. 재 가 노 인 복 지 시 설</t>
    <phoneticPr fontId="9" type="noConversion"/>
  </si>
  <si>
    <t>28. 국 민 기 초 생 활 보 장 수 급 자</t>
    <phoneticPr fontId="9" type="noConversion"/>
  </si>
  <si>
    <t>29. 기초연금 수급자 수</t>
    <phoneticPr fontId="9" type="noConversion"/>
  </si>
  <si>
    <t>Total recipients to population 65 years old &amp; over</t>
    <phoneticPr fontId="3" type="noConversion"/>
  </si>
  <si>
    <t xml:space="preserve">30. 여 성 복 지 시 설 </t>
    <phoneticPr fontId="9" type="noConversion"/>
  </si>
  <si>
    <t>Admissions</t>
    <phoneticPr fontId="9" type="noConversion"/>
  </si>
  <si>
    <t>Mother-and-child family facilities</t>
    <phoneticPr fontId="3" type="noConversion"/>
  </si>
  <si>
    <t>Sub-total</t>
    <phoneticPr fontId="3" type="noConversion"/>
  </si>
  <si>
    <t>계</t>
    <phoneticPr fontId="4" type="noConversion"/>
  </si>
  <si>
    <t>Unmarried mother-and-child family facilities</t>
    <phoneticPr fontId="3" type="noConversion"/>
  </si>
  <si>
    <t>Group home for mother-and-child families</t>
    <phoneticPr fontId="3" type="noConversion"/>
  </si>
  <si>
    <t>Temporary facilities for mother and child</t>
    <phoneticPr fontId="3" type="noConversion"/>
  </si>
  <si>
    <t>Facilities for victims of sexual violence</t>
    <phoneticPr fontId="3" type="noConversion"/>
  </si>
  <si>
    <t xml:space="preserve"> Facilities for victims of domestic violence</t>
    <phoneticPr fontId="3" type="noConversion"/>
  </si>
  <si>
    <t>Facilities for victims of prostitution</t>
    <phoneticPr fontId="3" type="noConversion"/>
  </si>
  <si>
    <t>Single-parent Family</t>
    <phoneticPr fontId="3" type="noConversion"/>
  </si>
  <si>
    <t>Protection facilities for migrant women victims of violence</t>
    <phoneticPr fontId="3" type="noConversion"/>
  </si>
  <si>
    <t xml:space="preserve">          한부모가족복지시설은 총 10개의 유형으로 분류가능하고 그 중 여성관련 시설은 위의 유형 외</t>
    <phoneticPr fontId="3" type="noConversion"/>
  </si>
  <si>
    <t xml:space="preserve">          모자자립시설, 모자공동생활가정, 미혼모공동생활가정이 있음</t>
    <phoneticPr fontId="3" type="noConversion"/>
  </si>
  <si>
    <t>31. 여 성 폭 력 상 담</t>
    <phoneticPr fontId="9" type="noConversion"/>
  </si>
  <si>
    <t>Women's Welfare Facilities</t>
    <phoneticPr fontId="5" type="noConversion"/>
  </si>
  <si>
    <t>Counseling</t>
  </si>
  <si>
    <t>cases</t>
    <phoneticPr fontId="9" type="noConversion"/>
  </si>
  <si>
    <t>Unit : number, case</t>
    <phoneticPr fontId="3" type="noConversion"/>
  </si>
  <si>
    <t>Referral</t>
    <phoneticPr fontId="9" type="noConversion"/>
  </si>
  <si>
    <t>to facility</t>
    <phoneticPr fontId="9" type="noConversion"/>
  </si>
  <si>
    <t>Counseling for violence against women</t>
    <phoneticPr fontId="8" type="noConversion"/>
  </si>
  <si>
    <t>Forced Prostitution</t>
    <phoneticPr fontId="9" type="noConversion"/>
  </si>
  <si>
    <t>지원</t>
    <phoneticPr fontId="8" type="noConversion"/>
  </si>
  <si>
    <t xml:space="preserve">수사 ·법적 </t>
    <phoneticPr fontId="9" type="noConversion"/>
  </si>
  <si>
    <t>Combined issues</t>
    <phoneticPr fontId="3" type="noConversion"/>
  </si>
  <si>
    <t>상담소</t>
    <phoneticPr fontId="3" type="noConversion"/>
  </si>
  <si>
    <t>상담건수</t>
    <phoneticPr fontId="3" type="noConversion"/>
  </si>
  <si>
    <t>No. of</t>
    <phoneticPr fontId="9" type="noConversion"/>
  </si>
  <si>
    <t>counseling</t>
    <phoneticPr fontId="9" type="noConversion"/>
  </si>
  <si>
    <t>centers</t>
    <phoneticPr fontId="9" type="noConversion"/>
  </si>
  <si>
    <t>Counseling for Violence Against Women</t>
    <phoneticPr fontId="9" type="noConversion"/>
  </si>
  <si>
    <t>Children Welfare Facilities</t>
    <phoneticPr fontId="9" type="noConversion"/>
  </si>
  <si>
    <t>Discharges</t>
    <phoneticPr fontId="9" type="noConversion"/>
  </si>
  <si>
    <t>Child care treatment facilities</t>
  </si>
  <si>
    <t>Children bringing up facilities</t>
    <phoneticPr fontId="3" type="noConversion"/>
  </si>
  <si>
    <t xml:space="preserve">   Self  independence assistance facilities</t>
    <phoneticPr fontId="9" type="noConversion"/>
  </si>
  <si>
    <t xml:space="preserve">32. 아 동 복 지 시 설 </t>
    <phoneticPr fontId="9" type="noConversion"/>
  </si>
  <si>
    <t>Institutions for the Disabled and Their Inmates</t>
    <phoneticPr fontId="5" type="noConversion"/>
  </si>
  <si>
    <t>No</t>
    <phoneticPr fontId="3" type="noConversion"/>
  </si>
  <si>
    <t>Deaths</t>
    <phoneticPr fontId="3" type="noConversion"/>
  </si>
  <si>
    <t>18  years</t>
    <phoneticPr fontId="3" type="noConversion"/>
  </si>
  <si>
    <t>and over</t>
    <phoneticPr fontId="3" type="noConversion"/>
  </si>
  <si>
    <t>Unit : number, person</t>
    <phoneticPr fontId="3" type="noConversion"/>
  </si>
  <si>
    <t xml:space="preserve"> Unit : person</t>
    <phoneticPr fontId="3" type="noConversion"/>
  </si>
  <si>
    <t>gender</t>
    <phoneticPr fontId="3" type="noConversion"/>
  </si>
  <si>
    <t xml:space="preserve">Autistic </t>
  </si>
  <si>
    <t>Disorder</t>
  </si>
  <si>
    <t>Mental</t>
  </si>
  <si>
    <t xml:space="preserve">34. 장 애 인  등 록 현 황 </t>
    <phoneticPr fontId="6" type="noConversion"/>
  </si>
  <si>
    <t>Unit : household, person</t>
    <phoneticPr fontId="3" type="noConversion"/>
  </si>
  <si>
    <t>36. 저소득 및 한부모 가족</t>
    <phoneticPr fontId="9" type="noConversion"/>
  </si>
  <si>
    <t>37. 묘 지  및  봉 안 시 설</t>
    <phoneticPr fontId="9" type="noConversion"/>
  </si>
  <si>
    <t>Brazier</t>
    <phoneticPr fontId="3" type="noConversion"/>
  </si>
  <si>
    <t>법인·</t>
    <phoneticPr fontId="4" type="noConversion"/>
  </si>
  <si>
    <t>and others</t>
    <phoneticPr fontId="4" type="noConversion"/>
  </si>
  <si>
    <t>Parents</t>
    <phoneticPr fontId="3" type="noConversion"/>
  </si>
  <si>
    <t>co-op</t>
    <phoneticPr fontId="4" type="noConversion"/>
  </si>
  <si>
    <t>38. 어 린 이 집</t>
    <phoneticPr fontId="4" type="noConversion"/>
  </si>
  <si>
    <t>폭력피해 이주여성 보호시설</t>
    <phoneticPr fontId="199" type="noConversion"/>
  </si>
  <si>
    <t xml:space="preserve">       (제1군~제4군 감염병 → 제1급~제4급 감염병)</t>
    <phoneticPr fontId="3" type="noConversion"/>
  </si>
  <si>
    <t>시설수</t>
    <phoneticPr fontId="3" type="noConversion"/>
  </si>
  <si>
    <t xml:space="preserve">      2) 사설은 법인과 종교단체에 한함</t>
    <phoneticPr fontId="3" type="noConversion"/>
  </si>
  <si>
    <t xml:space="preserve">  주: 1) 1개 시설이 각각 봉안당과 봉안묘 등을 운영할 경우 1개 시설로 봄</t>
    <phoneticPr fontId="3" type="noConversion"/>
  </si>
  <si>
    <t>기타</t>
    <phoneticPr fontId="3" type="noConversion"/>
  </si>
  <si>
    <t>B형헤모필루스
인플루엔자</t>
    <phoneticPr fontId="9" type="noConversion"/>
  </si>
  <si>
    <r>
      <t>연      별</t>
    </r>
    <r>
      <rPr>
        <sz val="10"/>
        <rFont val="Arial Narrow"/>
        <family val="2"/>
      </rPr>
      <t/>
    </r>
    <phoneticPr fontId="9" type="noConversion"/>
  </si>
  <si>
    <r>
      <rPr>
        <sz val="10"/>
        <color theme="1"/>
        <rFont val="바탕체"/>
        <family val="1"/>
        <charset val="129"/>
      </rPr>
      <t>입소자</t>
    </r>
    <r>
      <rPr>
        <sz val="10"/>
        <color theme="1"/>
        <rFont val="Arial Narrow"/>
        <family val="2"/>
      </rPr>
      <t xml:space="preserve">    Admissions</t>
    </r>
    <phoneticPr fontId="5" type="noConversion"/>
  </si>
  <si>
    <r>
      <rPr>
        <sz val="10"/>
        <color theme="1"/>
        <rFont val="바탕체"/>
        <family val="1"/>
        <charset val="129"/>
      </rPr>
      <t>성별</t>
    </r>
    <r>
      <rPr>
        <sz val="10"/>
        <color theme="1"/>
        <rFont val="Arial Narrow"/>
        <family val="2"/>
      </rPr>
      <t xml:space="preserve">     sex</t>
    </r>
    <phoneticPr fontId="5" type="noConversion"/>
  </si>
  <si>
    <r>
      <rPr>
        <sz val="10"/>
        <color theme="1"/>
        <rFont val="바탕체"/>
        <family val="1"/>
        <charset val="129"/>
      </rPr>
      <t>남</t>
    </r>
    <r>
      <rPr>
        <sz val="10"/>
        <color theme="1"/>
        <rFont val="Arial Narrow"/>
        <family val="2"/>
      </rPr>
      <t xml:space="preserve"> Male </t>
    </r>
    <phoneticPr fontId="4" type="noConversion"/>
  </si>
  <si>
    <r>
      <rPr>
        <sz val="10"/>
        <color theme="1"/>
        <rFont val="바탕체"/>
        <family val="1"/>
        <charset val="129"/>
      </rPr>
      <t>여</t>
    </r>
    <r>
      <rPr>
        <sz val="10"/>
        <color theme="1"/>
        <rFont val="Arial Narrow"/>
        <family val="2"/>
      </rPr>
      <t xml:space="preserve"> Female</t>
    </r>
    <phoneticPr fontId="4" type="noConversion"/>
  </si>
  <si>
    <r>
      <t xml:space="preserve">결연지원 </t>
    </r>
    <r>
      <rPr>
        <sz val="10"/>
        <color theme="1"/>
        <rFont val="Arial Narrow"/>
        <family val="2"/>
      </rPr>
      <t xml:space="preserve"> Sponsorship Services</t>
    </r>
    <phoneticPr fontId="9" type="noConversion"/>
  </si>
  <si>
    <r>
      <rPr>
        <sz val="10"/>
        <color theme="1"/>
        <rFont val="바탕체"/>
        <family val="1"/>
        <charset val="129"/>
      </rPr>
      <t>국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가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유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공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자</t>
    </r>
    <r>
      <rPr>
        <sz val="10"/>
        <color theme="1"/>
        <rFont val="Arial Narrow"/>
        <family val="2"/>
      </rPr>
      <t xml:space="preserve">      Patriots  &amp;  Veterans</t>
    </r>
    <phoneticPr fontId="3" type="noConversion"/>
  </si>
  <si>
    <r>
      <rPr>
        <sz val="10"/>
        <color theme="1"/>
        <rFont val="바탕체"/>
        <family val="1"/>
        <charset val="129"/>
      </rPr>
      <t>유</t>
    </r>
    <r>
      <rPr>
        <sz val="10"/>
        <color theme="1"/>
        <rFont val="Arial Narrow"/>
        <family val="2"/>
      </rPr>
      <t xml:space="preserve">       </t>
    </r>
    <r>
      <rPr>
        <sz val="10"/>
        <color theme="1"/>
        <rFont val="바탕체"/>
        <family val="1"/>
        <charset val="129"/>
      </rPr>
      <t>족</t>
    </r>
    <r>
      <rPr>
        <sz val="10"/>
        <color theme="1"/>
        <rFont val="Arial Narrow"/>
        <family val="2"/>
      </rPr>
      <t xml:space="preserve">  Bereaved families</t>
    </r>
    <phoneticPr fontId="5" type="noConversion"/>
  </si>
  <si>
    <r>
      <t>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업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입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자</t>
    </r>
  </si>
  <si>
    <r>
      <t>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업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장</t>
    </r>
  </si>
  <si>
    <r>
      <t>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입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자</t>
    </r>
  </si>
  <si>
    <r>
      <rPr>
        <sz val="10"/>
        <color theme="1"/>
        <rFont val="바탕체"/>
        <family val="1"/>
        <charset val="129"/>
      </rPr>
      <t>모자보건관리</t>
    </r>
    <r>
      <rPr>
        <vertAlign val="superscript"/>
        <sz val="10"/>
        <color theme="1"/>
        <rFont val="바탕체"/>
        <family val="1"/>
        <charset val="129"/>
      </rPr>
      <t>1)</t>
    </r>
    <r>
      <rPr>
        <sz val="10"/>
        <color theme="1"/>
        <rFont val="Arial Narrow"/>
        <family val="2"/>
      </rPr>
      <t xml:space="preserve">      Maternal and child health care program</t>
    </r>
    <phoneticPr fontId="9" type="noConversion"/>
  </si>
  <si>
    <r>
      <rPr>
        <sz val="10"/>
        <color theme="1"/>
        <rFont val="바탕체"/>
        <family val="1"/>
        <charset val="129"/>
      </rPr>
      <t>발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생</t>
    </r>
    <r>
      <rPr>
        <sz val="10"/>
        <color theme="1"/>
        <rFont val="Arial Narrow"/>
        <family val="2"/>
      </rPr>
      <t xml:space="preserve"> Cases</t>
    </r>
    <phoneticPr fontId="4" type="noConversion"/>
  </si>
  <si>
    <r>
      <rPr>
        <sz val="10"/>
        <color theme="1"/>
        <rFont val="바탕체"/>
        <family val="1"/>
        <charset val="129"/>
      </rPr>
      <t>발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생</t>
    </r>
    <phoneticPr fontId="8" type="noConversion"/>
  </si>
  <si>
    <r>
      <rPr>
        <sz val="10"/>
        <color theme="1"/>
        <rFont val="바탕체"/>
        <family val="1"/>
        <charset val="129"/>
      </rPr>
      <t xml:space="preserve">계
</t>
    </r>
    <r>
      <rPr>
        <sz val="10"/>
        <color theme="1"/>
        <rFont val="Arial Narrow"/>
        <family val="2"/>
      </rPr>
      <t>Total</t>
    </r>
    <phoneticPr fontId="4" type="noConversion"/>
  </si>
  <si>
    <r>
      <rPr>
        <sz val="10"/>
        <color theme="1"/>
        <rFont val="바탕체"/>
        <family val="1"/>
        <charset val="129"/>
      </rPr>
      <t>성별</t>
    </r>
    <r>
      <rPr>
        <sz val="10"/>
        <color theme="1"/>
        <rFont val="Arial Narrow"/>
        <family val="2"/>
      </rPr>
      <t xml:space="preserve">   Sex</t>
    </r>
    <phoneticPr fontId="3" type="noConversion"/>
  </si>
  <si>
    <r>
      <t>판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매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업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소</t>
    </r>
    <r>
      <rPr>
        <sz val="10"/>
        <color theme="1"/>
        <rFont val="Arial Narrow"/>
        <family val="2"/>
      </rPr>
      <t xml:space="preserve">             Number of  dealers</t>
    </r>
    <phoneticPr fontId="9" type="noConversion"/>
  </si>
  <si>
    <t>-</t>
    <phoneticPr fontId="3" type="noConversion"/>
  </si>
  <si>
    <t>Days</t>
    <phoneticPr fontId="9" type="noConversion"/>
  </si>
  <si>
    <t>Medical expenses</t>
    <phoneticPr fontId="3" type="noConversion"/>
  </si>
  <si>
    <t>Benefits</t>
    <phoneticPr fontId="9" type="noConversion"/>
  </si>
  <si>
    <t>Medical</t>
    <phoneticPr fontId="9" type="noConversion"/>
  </si>
  <si>
    <t>Covered</t>
    <phoneticPr fontId="9" type="noConversion"/>
  </si>
  <si>
    <t>Covered by</t>
    <phoneticPr fontId="9" type="noConversion"/>
  </si>
  <si>
    <t>granted</t>
    <phoneticPr fontId="9" type="noConversion"/>
  </si>
  <si>
    <t>Visit day</t>
    <phoneticPr fontId="3" type="noConversion"/>
  </si>
  <si>
    <t>treatment</t>
    <phoneticPr fontId="9" type="noConversion"/>
  </si>
  <si>
    <t>by NHIS</t>
    <phoneticPr fontId="9" type="noConversion"/>
  </si>
  <si>
    <t>the patient</t>
    <phoneticPr fontId="9" type="noConversion"/>
  </si>
  <si>
    <t xml:space="preserve">       5,355,828</t>
  </si>
  <si>
    <t>조  산  원</t>
    <phoneticPr fontId="3" type="noConversion"/>
  </si>
  <si>
    <t>지(분)소</t>
    <phoneticPr fontId="3" type="noConversion"/>
  </si>
  <si>
    <t>clinic</t>
    <phoneticPr fontId="9" type="noConversion"/>
  </si>
  <si>
    <t>조운동</t>
    <phoneticPr fontId="9" type="noConversion"/>
  </si>
  <si>
    <t>석사동</t>
    <phoneticPr fontId="9" type="noConversion"/>
  </si>
  <si>
    <t>신동면</t>
    <phoneticPr fontId="9" type="noConversion"/>
  </si>
  <si>
    <t>남면</t>
    <phoneticPr fontId="9" type="noConversion"/>
  </si>
  <si>
    <t>남산면</t>
    <phoneticPr fontId="9" type="noConversion"/>
  </si>
  <si>
    <t>사북면</t>
    <phoneticPr fontId="9" type="noConversion"/>
  </si>
  <si>
    <t>북산면</t>
    <phoneticPr fontId="9" type="noConversion"/>
  </si>
  <si>
    <t>약사명동</t>
    <phoneticPr fontId="9" type="noConversion"/>
  </si>
  <si>
    <t>효자1동</t>
    <phoneticPr fontId="9" type="noConversion"/>
  </si>
  <si>
    <t>강남동</t>
    <phoneticPr fontId="9" type="noConversion"/>
  </si>
  <si>
    <t>9. 주요 법정감염병 발생 및 사망(제1급)</t>
    <phoneticPr fontId="9" type="noConversion"/>
  </si>
  <si>
    <t>9-1. 주요 법정감염병 발생 및 사망(제2급)</t>
    <phoneticPr fontId="9" type="noConversion"/>
  </si>
  <si>
    <t>Industrial Workers</t>
    <phoneticPr fontId="3" type="noConversion"/>
  </si>
  <si>
    <t>직장</t>
    <phoneticPr fontId="9" type="noConversion"/>
  </si>
  <si>
    <t>급여</t>
    <phoneticPr fontId="4" type="noConversion"/>
  </si>
  <si>
    <t>종류별</t>
    <phoneticPr fontId="4" type="noConversion"/>
  </si>
  <si>
    <t>합  계</t>
    <phoneticPr fontId="3" type="noConversion"/>
  </si>
  <si>
    <t>Industrial Workers</t>
    <phoneticPr fontId="3" type="noConversion"/>
  </si>
  <si>
    <t>방문간호서비스</t>
    <phoneticPr fontId="3" type="noConversion"/>
  </si>
  <si>
    <t>시설수</t>
    <phoneticPr fontId="3" type="noConversion"/>
  </si>
  <si>
    <t>이용인원</t>
    <phoneticPr fontId="3" type="noConversion"/>
  </si>
  <si>
    <t>정원</t>
    <phoneticPr fontId="3" type="noConversion"/>
  </si>
  <si>
    <t>현원</t>
    <phoneticPr fontId="3" type="noConversion"/>
  </si>
  <si>
    <t>종사자수</t>
    <phoneticPr fontId="3" type="noConversion"/>
  </si>
  <si>
    <t>복지용구지원서비스</t>
    <phoneticPr fontId="3" type="noConversion"/>
  </si>
  <si>
    <t>세대수</t>
    <phoneticPr fontId="200" type="noConversion"/>
  </si>
  <si>
    <t>Total Insurants persons</t>
    <phoneticPr fontId="3" type="noConversion"/>
  </si>
  <si>
    <t>Workplace-based insured persons</t>
    <phoneticPr fontId="9" type="noConversion"/>
  </si>
  <si>
    <t>Individuaily insured</t>
    <phoneticPr fontId="3" type="noConversion"/>
  </si>
  <si>
    <t xml:space="preserve"> persons</t>
  </si>
  <si>
    <t>세대수</t>
    <phoneticPr fontId="4" type="noConversion"/>
  </si>
  <si>
    <t>분양</t>
    <phoneticPr fontId="3" type="noConversion"/>
  </si>
  <si>
    <t>임대</t>
    <phoneticPr fontId="3" type="noConversion"/>
  </si>
  <si>
    <t>지체</t>
    <phoneticPr fontId="6" type="noConversion"/>
  </si>
  <si>
    <t>뇌병변</t>
    <phoneticPr fontId="6" type="noConversion"/>
  </si>
  <si>
    <t>시각</t>
    <phoneticPr fontId="6" type="noConversion"/>
  </si>
  <si>
    <t>청각</t>
    <phoneticPr fontId="6" type="noConversion"/>
  </si>
  <si>
    <t>언어</t>
    <phoneticPr fontId="6" type="noConversion"/>
  </si>
  <si>
    <t>지적</t>
    <phoneticPr fontId="6" type="noConversion"/>
  </si>
  <si>
    <t>자폐성</t>
    <phoneticPr fontId="6" type="noConversion"/>
  </si>
  <si>
    <t>정신</t>
    <phoneticPr fontId="6" type="noConversion"/>
  </si>
  <si>
    <t>신장</t>
    <phoneticPr fontId="6" type="noConversion"/>
  </si>
  <si>
    <t>심장</t>
    <phoneticPr fontId="6" type="noConversion"/>
  </si>
  <si>
    <t>간</t>
    <phoneticPr fontId="6" type="noConversion"/>
  </si>
  <si>
    <t>안면</t>
    <phoneticPr fontId="6" type="noConversion"/>
  </si>
  <si>
    <t>요루</t>
    <phoneticPr fontId="3" type="noConversion"/>
  </si>
  <si>
    <t>주·야간보호서비스</t>
    <phoneticPr fontId="4" type="noConversion"/>
  </si>
  <si>
    <t>재가노인지원서비스</t>
    <phoneticPr fontId="8" type="noConversion"/>
  </si>
  <si>
    <t>인 원</t>
    <phoneticPr fontId="3" type="noConversion"/>
  </si>
  <si>
    <t>소계</t>
    <phoneticPr fontId="3" type="noConversion"/>
  </si>
  <si>
    <t>Sub total</t>
    <phoneticPr fontId="3" type="noConversion"/>
  </si>
  <si>
    <t>계</t>
    <phoneticPr fontId="3" type="noConversion"/>
  </si>
  <si>
    <t>total</t>
    <phoneticPr fontId="3" type="noConversion"/>
  </si>
  <si>
    <t xml:space="preserve">33. 장애인 거주시설 수 및 입소현황 </t>
    <phoneticPr fontId="3" type="noConversion"/>
  </si>
  <si>
    <t>뇌병변</t>
    <phoneticPr fontId="3" type="noConversion"/>
  </si>
  <si>
    <t>지  체</t>
    <phoneticPr fontId="3" type="noConversion"/>
  </si>
  <si>
    <t>자폐</t>
    <phoneticPr fontId="3" type="noConversion"/>
  </si>
  <si>
    <t>지적˙</t>
    <phoneticPr fontId="3" type="noConversion"/>
  </si>
  <si>
    <t>언어</t>
    <phoneticPr fontId="3" type="noConversion"/>
  </si>
  <si>
    <t>청각˙</t>
    <phoneticPr fontId="3" type="noConversion"/>
  </si>
  <si>
    <t>종합병원</t>
    <phoneticPr fontId="3" type="noConversion"/>
  </si>
  <si>
    <t>의원</t>
    <phoneticPr fontId="3" type="noConversion"/>
  </si>
  <si>
    <t>Long term care hospitals</t>
    <phoneticPr fontId="9" type="noConversion"/>
  </si>
  <si>
    <t>요양병원</t>
    <phoneticPr fontId="3" type="noConversion"/>
  </si>
  <si>
    <t>병 ·의원 Hospitals and clinics</t>
    <phoneticPr fontId="3" type="noConversion"/>
  </si>
  <si>
    <t xml:space="preserve">  Oriental medicine clinics</t>
    <phoneticPr fontId="9" type="noConversion"/>
  </si>
  <si>
    <t>한방병원</t>
    <phoneticPr fontId="9" type="noConversion"/>
  </si>
  <si>
    <t>한의원</t>
    <phoneticPr fontId="3" type="noConversion"/>
  </si>
  <si>
    <t>Oriental medicine hospitals</t>
    <phoneticPr fontId="9" type="noConversion"/>
  </si>
  <si>
    <t>한방 병 ·의원 Oriental medicine hospitals and clinics</t>
    <phoneticPr fontId="3" type="noConversion"/>
  </si>
  <si>
    <r>
      <t>제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조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업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소</t>
    </r>
    <r>
      <rPr>
        <sz val="10"/>
        <color theme="1"/>
        <rFont val="Arial Narrow"/>
        <family val="2"/>
      </rPr>
      <t xml:space="preserve">        Number of manufacturers</t>
    </r>
    <phoneticPr fontId="9" type="noConversion"/>
  </si>
  <si>
    <r>
      <t xml:space="preserve">Incidence and Mortality for Major National Infectious Diseases, Class </t>
    </r>
    <r>
      <rPr>
        <b/>
        <sz val="20"/>
        <color theme="1"/>
        <rFont val="맑은 고딕"/>
        <family val="3"/>
        <charset val="129"/>
        <scheme val="minor"/>
      </rPr>
      <t>Ⅰ</t>
    </r>
    <phoneticPr fontId="5" type="noConversion"/>
  </si>
  <si>
    <r>
      <rPr>
        <sz val="10"/>
        <color theme="1"/>
        <rFont val="바탕체"/>
        <family val="1"/>
        <charset val="129"/>
      </rPr>
      <t xml:space="preserve">여
</t>
    </r>
    <r>
      <rPr>
        <sz val="10"/>
        <color theme="1"/>
        <rFont val="Arial Narrow"/>
        <family val="2"/>
      </rPr>
      <t>Female</t>
    </r>
    <phoneticPr fontId="4" type="noConversion"/>
  </si>
  <si>
    <r>
      <t>10. 한 센 사 업 대 상 자 현 황</t>
    </r>
    <r>
      <rPr>
        <b/>
        <vertAlign val="superscript"/>
        <sz val="20"/>
        <color theme="1"/>
        <rFont val="바탕체"/>
        <family val="1"/>
        <charset val="129"/>
      </rPr>
      <t>1)</t>
    </r>
    <phoneticPr fontId="9" type="noConversion"/>
  </si>
  <si>
    <r>
      <rPr>
        <sz val="10"/>
        <color theme="1"/>
        <rFont val="바탕체"/>
        <family val="1"/>
        <charset val="129"/>
      </rPr>
      <t>서비스구분별</t>
    </r>
    <r>
      <rPr>
        <sz val="10"/>
        <color theme="1"/>
        <rFont val="Arial Narrow"/>
        <family val="2"/>
      </rPr>
      <t xml:space="preserve">  Type of service</t>
    </r>
    <phoneticPr fontId="9" type="noConversion"/>
  </si>
  <si>
    <r>
      <t>거주지별</t>
    </r>
    <r>
      <rPr>
        <vertAlign val="superscript"/>
        <sz val="10"/>
        <color theme="1"/>
        <rFont val="바탕체"/>
        <family val="1"/>
        <charset val="129"/>
      </rPr>
      <t>2)</t>
    </r>
    <phoneticPr fontId="3" type="noConversion"/>
  </si>
  <si>
    <r>
      <t>연    별</t>
    </r>
    <r>
      <rPr>
        <sz val="10"/>
        <rFont val="Arial Narrow"/>
        <family val="2"/>
      </rPr>
      <t/>
    </r>
    <phoneticPr fontId="4" type="noConversion"/>
  </si>
  <si>
    <r>
      <t xml:space="preserve">   </t>
    </r>
    <r>
      <rPr>
        <sz val="10"/>
        <color theme="1"/>
        <rFont val="바탕"/>
        <family val="1"/>
        <charset val="129"/>
      </rPr>
      <t>보건</t>
    </r>
    <r>
      <rPr>
        <sz val="10"/>
        <color theme="1"/>
        <rFont val="Times"/>
        <family val="1"/>
      </rPr>
      <t xml:space="preserve"> </t>
    </r>
    <r>
      <rPr>
        <sz val="10"/>
        <color theme="1"/>
        <rFont val="바탕"/>
        <family val="1"/>
        <charset val="129"/>
      </rPr>
      <t>및</t>
    </r>
    <r>
      <rPr>
        <sz val="10"/>
        <color theme="1"/>
        <rFont val="Times"/>
        <family val="1"/>
      </rPr>
      <t xml:space="preserve"> </t>
    </r>
    <r>
      <rPr>
        <sz val="10"/>
        <color theme="1"/>
        <rFont val="바탕"/>
        <family val="1"/>
        <charset val="129"/>
      </rPr>
      <t>사회보장</t>
    </r>
    <phoneticPr fontId="9" type="noConversion"/>
  </si>
  <si>
    <r>
      <t>연   별</t>
    </r>
    <r>
      <rPr>
        <sz val="10"/>
        <rFont val="Arial Narrow"/>
        <family val="2"/>
      </rPr>
      <t/>
    </r>
    <phoneticPr fontId="9" type="noConversion"/>
  </si>
  <si>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9" type="noConversion"/>
  </si>
  <si>
    <r>
      <t xml:space="preserve">21. 국가보훈대상자 및 자녀 취학
</t>
    </r>
    <r>
      <rPr>
        <b/>
        <sz val="20"/>
        <color theme="1"/>
        <rFont val="Arial Narrow"/>
        <family val="2"/>
      </rPr>
      <t>Educational Benefits for Patriots and Veterans, and Families</t>
    </r>
    <phoneticPr fontId="9" type="noConversion"/>
  </si>
  <si>
    <r>
      <t xml:space="preserve"> </t>
    </r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9" type="noConversion"/>
  </si>
  <si>
    <r>
      <t xml:space="preserve">22. 참전용사 등록현황
</t>
    </r>
    <r>
      <rPr>
        <b/>
        <sz val="20"/>
        <color theme="1"/>
        <rFont val="Arial Narrow"/>
        <family val="2"/>
      </rPr>
      <t>War Veterans</t>
    </r>
    <phoneticPr fontId="3" type="noConversion"/>
  </si>
  <si>
    <r>
      <rPr>
        <sz val="10"/>
        <color theme="1"/>
        <rFont val="바탕체"/>
        <family val="1"/>
        <charset val="129"/>
      </rPr>
      <t>계</t>
    </r>
    <r>
      <rPr>
        <sz val="10"/>
        <color theme="1"/>
        <rFont val="Arial Narrow"/>
        <family val="2"/>
      </rPr>
      <t xml:space="preserve">    Total</t>
    </r>
    <phoneticPr fontId="9" type="noConversion"/>
  </si>
  <si>
    <r>
      <rPr>
        <sz val="10"/>
        <color theme="1"/>
        <rFont val="바탕체"/>
        <family val="1"/>
        <charset val="129"/>
      </rPr>
      <t>재해구호</t>
    </r>
    <r>
      <rPr>
        <sz val="10"/>
        <color theme="1"/>
        <rFont val="Arial Narrow"/>
        <family val="2"/>
      </rPr>
      <t xml:space="preserve">   Disaster relief</t>
    </r>
    <phoneticPr fontId="9" type="noConversion"/>
  </si>
  <si>
    <r>
      <t xml:space="preserve">긴급지원   </t>
    </r>
    <r>
      <rPr>
        <sz val="10"/>
        <color theme="1"/>
        <rFont val="Arial Narrow"/>
        <family val="2"/>
      </rPr>
      <t>Emergency Welfare Support</t>
    </r>
    <phoneticPr fontId="9" type="noConversion"/>
  </si>
  <si>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9" type="noConversion"/>
  </si>
  <si>
    <r>
      <t>연    별</t>
    </r>
    <r>
      <rPr>
        <sz val="10"/>
        <rFont val="Arial Narrow"/>
        <family val="2"/>
      </rPr>
      <t/>
    </r>
    <phoneticPr fontId="9" type="noConversion"/>
  </si>
  <si>
    <r>
      <rPr>
        <sz val="10"/>
        <color theme="1"/>
        <rFont val="바탕체"/>
        <family val="1"/>
        <charset val="129"/>
      </rPr>
      <t>종사자수</t>
    </r>
    <r>
      <rPr>
        <sz val="10"/>
        <color theme="1"/>
        <rFont val="Arial Narrow"/>
        <family val="2"/>
      </rPr>
      <t xml:space="preserve">    Workers</t>
    </r>
    <phoneticPr fontId="9" type="noConversion"/>
  </si>
  <si>
    <t>Femaile victims of violence</t>
    <phoneticPr fontId="3" type="noConversion"/>
  </si>
  <si>
    <r>
      <t xml:space="preserve"> </t>
    </r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6" type="noConversion"/>
  </si>
  <si>
    <r>
      <rPr>
        <sz val="10"/>
        <color theme="1"/>
        <rFont val="바탕체"/>
        <family val="1"/>
        <charset val="129"/>
      </rPr>
      <t>퇴소자</t>
    </r>
    <r>
      <rPr>
        <sz val="10"/>
        <color theme="1"/>
        <rFont val="Arial Narrow"/>
        <family val="2"/>
      </rPr>
      <t xml:space="preserve">    Discharges</t>
    </r>
    <phoneticPr fontId="5" type="noConversion"/>
  </si>
  <si>
    <r>
      <rPr>
        <sz val="10"/>
        <color theme="1"/>
        <rFont val="바탕체"/>
        <family val="1"/>
        <charset val="129"/>
      </rPr>
      <t>연말현재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수용자</t>
    </r>
    <r>
      <rPr>
        <sz val="10"/>
        <color theme="1"/>
        <rFont val="Arial Narrow"/>
        <family val="2"/>
      </rPr>
      <t xml:space="preserve">    No. of inmates as of year-end</t>
    </r>
    <phoneticPr fontId="5" type="noConversion"/>
  </si>
  <si>
    <r>
      <rPr>
        <sz val="10"/>
        <color theme="1"/>
        <rFont val="바탕체"/>
        <family val="1"/>
        <charset val="129"/>
      </rPr>
      <t>상태별</t>
    </r>
    <r>
      <rPr>
        <sz val="10"/>
        <color theme="1"/>
        <rFont val="Arial Narrow"/>
        <family val="2"/>
      </rPr>
      <t xml:space="preserve">    Disability</t>
    </r>
    <phoneticPr fontId="5" type="noConversion"/>
  </si>
  <si>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3" type="noConversion"/>
  </si>
  <si>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3" type="noConversion"/>
  </si>
  <si>
    <r>
      <rPr>
        <sz val="10"/>
        <color theme="1"/>
        <rFont val="바탕체"/>
        <family val="1"/>
        <charset val="129"/>
      </rPr>
      <t>어린이집수</t>
    </r>
    <r>
      <rPr>
        <sz val="10"/>
        <color theme="1"/>
        <rFont val="Arial Narrow"/>
        <family val="2"/>
      </rPr>
      <t xml:space="preserve">  Childcare facilities</t>
    </r>
    <phoneticPr fontId="4" type="noConversion"/>
  </si>
  <si>
    <r>
      <rPr>
        <sz val="10"/>
        <color theme="1"/>
        <rFont val="바탕체"/>
        <family val="1"/>
        <charset val="129"/>
      </rPr>
      <t>보육아동수</t>
    </r>
    <r>
      <rPr>
        <sz val="10"/>
        <color theme="1"/>
        <rFont val="Arial Narrow"/>
        <family val="2"/>
      </rPr>
      <t xml:space="preserve">  Children in care</t>
    </r>
    <phoneticPr fontId="4" type="noConversion"/>
  </si>
  <si>
    <r>
      <t>협동</t>
    </r>
    <r>
      <rPr>
        <vertAlign val="superscript"/>
        <sz val="10"/>
        <color theme="1"/>
        <rFont val="바탕체"/>
        <family val="1"/>
        <charset val="129"/>
      </rPr>
      <t>2)</t>
    </r>
    <phoneticPr fontId="4" type="noConversion"/>
  </si>
  <si>
    <r>
      <t>협동</t>
    </r>
    <r>
      <rPr>
        <vertAlign val="superscript"/>
        <sz val="10"/>
        <color theme="1"/>
        <rFont val="바탕체"/>
        <family val="1"/>
        <charset val="129"/>
      </rPr>
      <t>2)</t>
    </r>
    <phoneticPr fontId="4" type="noConversion"/>
  </si>
  <si>
    <t>풍진(후천성)</t>
    <phoneticPr fontId="3" type="noConversion"/>
  </si>
  <si>
    <r>
      <rPr>
        <sz val="10"/>
        <rFont val="바탕체"/>
        <family val="1"/>
        <charset val="129"/>
      </rPr>
      <t>발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생</t>
    </r>
    <phoneticPr fontId="8" type="noConversion"/>
  </si>
  <si>
    <t>발진티푸스</t>
    <phoneticPr fontId="3" type="noConversion"/>
  </si>
  <si>
    <t>Epidemic typhus</t>
    <phoneticPr fontId="3" type="noConversion"/>
  </si>
  <si>
    <t>황열</t>
    <phoneticPr fontId="3" type="noConversion"/>
  </si>
  <si>
    <t>Dengue fever</t>
    <phoneticPr fontId="3" type="noConversion"/>
  </si>
  <si>
    <t>웨스트나일열</t>
    <phoneticPr fontId="3" type="noConversion"/>
  </si>
  <si>
    <t>West nile fever</t>
    <phoneticPr fontId="3" type="noConversion"/>
  </si>
  <si>
    <t>households</t>
    <phoneticPr fontId="9" type="noConversion"/>
  </si>
  <si>
    <t>Lotting-out</t>
    <phoneticPr fontId="3" type="noConversion"/>
  </si>
  <si>
    <t>Lease</t>
    <phoneticPr fontId="3" type="noConversion"/>
  </si>
  <si>
    <t>세대households</t>
    <phoneticPr fontId="3" type="noConversion"/>
  </si>
  <si>
    <t>Visiting care service</t>
    <phoneticPr fontId="3" type="noConversion"/>
  </si>
  <si>
    <t>Welfare medical device supporting service</t>
    <phoneticPr fontId="3" type="noConversion"/>
  </si>
  <si>
    <t>소외여성복지시설</t>
    <phoneticPr fontId="3" type="noConversion"/>
  </si>
  <si>
    <t>피해자 지원내역   Counseling Follow-ups</t>
    <phoneticPr fontId="9" type="noConversion"/>
  </si>
  <si>
    <t>심리·</t>
    <phoneticPr fontId="9" type="noConversion"/>
  </si>
  <si>
    <t>의료</t>
    <phoneticPr fontId="9" type="noConversion"/>
  </si>
  <si>
    <t>지원</t>
    <phoneticPr fontId="3" type="noConversion"/>
  </si>
  <si>
    <t>Referral to</t>
    <phoneticPr fontId="9" type="noConversion"/>
  </si>
  <si>
    <t>의료</t>
    <phoneticPr fontId="9" type="noConversion"/>
  </si>
  <si>
    <t>시설입소</t>
    <phoneticPr fontId="9" type="noConversion"/>
  </si>
  <si>
    <t>기 타</t>
    <phoneticPr fontId="9" type="noConversion"/>
  </si>
  <si>
    <t>정서적</t>
    <phoneticPr fontId="3" type="noConversion"/>
  </si>
  <si>
    <t>법적</t>
    <phoneticPr fontId="8" type="noConversion"/>
  </si>
  <si>
    <t>지원</t>
    <phoneticPr fontId="3" type="noConversion"/>
  </si>
  <si>
    <t>연    계</t>
    <phoneticPr fontId="9" type="noConversion"/>
  </si>
  <si>
    <t>지원</t>
    <phoneticPr fontId="9" type="noConversion"/>
  </si>
  <si>
    <t>지원</t>
    <phoneticPr fontId="3" type="noConversion"/>
  </si>
  <si>
    <t>facilities</t>
    <phoneticPr fontId="9" type="noConversion"/>
  </si>
  <si>
    <t>Others</t>
    <phoneticPr fontId="9" type="noConversion"/>
  </si>
  <si>
    <t xml:space="preserve">수사· </t>
    <phoneticPr fontId="9" type="noConversion"/>
  </si>
  <si>
    <t>시설입소</t>
    <phoneticPr fontId="9" type="noConversion"/>
  </si>
  <si>
    <t>기 타</t>
    <phoneticPr fontId="9" type="noConversion"/>
  </si>
  <si>
    <t>심리·</t>
    <phoneticPr fontId="9" type="noConversion"/>
  </si>
  <si>
    <t>의료</t>
    <phoneticPr fontId="9" type="noConversion"/>
  </si>
  <si>
    <t>정서적</t>
    <phoneticPr fontId="3" type="noConversion"/>
  </si>
  <si>
    <t>법적</t>
    <phoneticPr fontId="8" type="noConversion"/>
  </si>
  <si>
    <t>지원</t>
    <phoneticPr fontId="3" type="noConversion"/>
  </si>
  <si>
    <t>연    계</t>
    <phoneticPr fontId="9" type="noConversion"/>
  </si>
  <si>
    <t>법적</t>
    <phoneticPr fontId="8" type="noConversion"/>
  </si>
  <si>
    <t>지원</t>
    <phoneticPr fontId="9" type="noConversion"/>
  </si>
  <si>
    <t>Medical aid</t>
    <phoneticPr fontId="9" type="noConversion"/>
  </si>
  <si>
    <t>Private</t>
    <phoneticPr fontId="3" type="noConversion"/>
  </si>
  <si>
    <t>&amp; Brain lesion</t>
    <phoneticPr fontId="3" type="noConversion"/>
  </si>
  <si>
    <t>disorder</t>
    <phoneticPr fontId="3" type="noConversion"/>
  </si>
  <si>
    <t>Physical disabilities</t>
    <phoneticPr fontId="3" type="noConversion"/>
  </si>
  <si>
    <t xml:space="preserve"> Intellectual disabilities</t>
    <phoneticPr fontId="3" type="noConversion"/>
  </si>
  <si>
    <t xml:space="preserve"> &amp; Autistic</t>
    <phoneticPr fontId="3" type="noConversion"/>
  </si>
  <si>
    <t>계</t>
    <phoneticPr fontId="3" type="noConversion"/>
  </si>
  <si>
    <t>연고자
인도</t>
    <phoneticPr fontId="3" type="noConversion"/>
  </si>
  <si>
    <r>
      <rPr>
        <sz val="10"/>
        <rFont val="바탕체"/>
        <family val="1"/>
        <charset val="129"/>
      </rPr>
      <t>사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망</t>
    </r>
    <phoneticPr fontId="8" type="noConversion"/>
  </si>
  <si>
    <t xml:space="preserve">          이전 치료결과 불명확), 과거 치료여부 불명확으로 변경</t>
    <phoneticPr fontId="5" type="noConversion"/>
  </si>
  <si>
    <t xml:space="preserve">          소계에 포함됨</t>
    <phoneticPr fontId="5" type="noConversion"/>
  </si>
  <si>
    <r>
      <t xml:space="preserve"> </t>
    </r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9" type="noConversion"/>
  </si>
  <si>
    <r>
      <rPr>
        <sz val="10"/>
        <rFont val="바탕체"/>
        <family val="1"/>
        <charset val="129"/>
      </rPr>
      <t>합</t>
    </r>
    <r>
      <rPr>
        <sz val="10"/>
        <rFont val="Arial Narrow"/>
        <family val="2"/>
      </rPr>
      <t xml:space="preserve">     </t>
    </r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 xml:space="preserve">   Total</t>
    </r>
    <phoneticPr fontId="3" type="noConversion"/>
  </si>
  <si>
    <r>
      <t>신환자</t>
    </r>
    <r>
      <rPr>
        <vertAlign val="superscript"/>
        <sz val="10"/>
        <rFont val="바탕체"/>
        <family val="1"/>
        <charset val="129"/>
      </rPr>
      <t>1)</t>
    </r>
    <phoneticPr fontId="9" type="noConversion"/>
  </si>
  <si>
    <r>
      <rPr>
        <sz val="10"/>
        <rFont val="바탕체"/>
        <family val="1"/>
        <charset val="129"/>
      </rPr>
      <t>재치료자</t>
    </r>
    <r>
      <rPr>
        <sz val="10"/>
        <rFont val="Arial Narrow"/>
        <family val="2"/>
      </rPr>
      <t xml:space="preserve"> Retreatment</t>
    </r>
    <phoneticPr fontId="5" type="noConversion"/>
  </si>
  <si>
    <r>
      <t>기 타</t>
    </r>
    <r>
      <rPr>
        <vertAlign val="superscript"/>
        <sz val="10"/>
        <rFont val="바탕체"/>
        <family val="1"/>
        <charset val="129"/>
      </rPr>
      <t>3)</t>
    </r>
    <phoneticPr fontId="3" type="noConversion"/>
  </si>
  <si>
    <r>
      <rPr>
        <sz val="10"/>
        <rFont val="바탕체"/>
        <family val="1"/>
        <charset val="129"/>
      </rPr>
      <t>합</t>
    </r>
    <r>
      <rPr>
        <sz val="10"/>
        <rFont val="Arial Narrow"/>
        <family val="2"/>
      </rPr>
      <t xml:space="preserve">     </t>
    </r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 xml:space="preserve">   total</t>
    </r>
    <phoneticPr fontId="3" type="noConversion"/>
  </si>
  <si>
    <r>
      <t xml:space="preserve">보건소 </t>
    </r>
    <r>
      <rPr>
        <sz val="10"/>
        <rFont val="Arial Narrow"/>
        <family val="2"/>
      </rPr>
      <t>Health center</t>
    </r>
    <phoneticPr fontId="9" type="noConversion"/>
  </si>
  <si>
    <r>
      <rPr>
        <sz val="10"/>
        <rFont val="바탕체"/>
        <family val="1"/>
        <charset val="129"/>
      </rPr>
      <t>병</t>
    </r>
    <r>
      <rPr>
        <sz val="10"/>
        <rFont val="Arial Narrow"/>
        <family val="2"/>
      </rPr>
      <t>·</t>
    </r>
    <r>
      <rPr>
        <sz val="10"/>
        <rFont val="바탕체"/>
        <family val="1"/>
        <charset val="129"/>
      </rPr>
      <t>의원</t>
    </r>
    <r>
      <rPr>
        <sz val="10"/>
        <rFont val="Arial Narrow"/>
        <family val="2"/>
      </rPr>
      <t xml:space="preserve">   Hospitals and Clinics</t>
    </r>
    <phoneticPr fontId="9" type="noConversion"/>
  </si>
  <si>
    <r>
      <rPr>
        <sz val="10"/>
        <rFont val="바탕체"/>
        <family val="1"/>
        <charset val="129"/>
      </rPr>
      <t>검사건수</t>
    </r>
    <r>
      <rPr>
        <sz val="10"/>
        <rFont val="Arial Narrow"/>
        <family val="2"/>
      </rPr>
      <t xml:space="preserve">  No. of test administration</t>
    </r>
    <phoneticPr fontId="9" type="noConversion"/>
  </si>
  <si>
    <r>
      <rPr>
        <sz val="10"/>
        <rFont val="바탕체"/>
        <family val="1"/>
        <charset val="129"/>
      </rPr>
      <t>발견환자수</t>
    </r>
    <r>
      <rPr>
        <sz val="10"/>
        <rFont val="Arial Narrow"/>
        <family val="2"/>
      </rPr>
      <t xml:space="preserve">   No. of patients discovered</t>
    </r>
    <phoneticPr fontId="9" type="noConversion"/>
  </si>
  <si>
    <r>
      <rPr>
        <sz val="10"/>
        <rFont val="바탕체"/>
        <family val="1"/>
        <charset val="129"/>
      </rPr>
      <t>합</t>
    </r>
    <r>
      <rPr>
        <sz val="10"/>
        <rFont val="Arial Narrow"/>
        <family val="2"/>
      </rPr>
      <t xml:space="preserve">     </t>
    </r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 xml:space="preserve">   Total</t>
    </r>
    <phoneticPr fontId="3" type="noConversion"/>
  </si>
  <si>
    <r>
      <rPr>
        <sz val="10"/>
        <rFont val="바탕체"/>
        <family val="1"/>
        <charset val="129"/>
      </rPr>
      <t>합</t>
    </r>
    <r>
      <rPr>
        <sz val="10"/>
        <rFont val="Arial Narrow"/>
        <family val="2"/>
      </rPr>
      <t xml:space="preserve">     </t>
    </r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 xml:space="preserve">   Total</t>
    </r>
    <phoneticPr fontId="3" type="noConversion"/>
  </si>
  <si>
    <r>
      <t>X-</t>
    </r>
    <r>
      <rPr>
        <sz val="10"/>
        <rFont val="바탕체"/>
        <family val="1"/>
        <charset val="129"/>
      </rPr>
      <t>선검사</t>
    </r>
    <phoneticPr fontId="9" type="noConversion"/>
  </si>
  <si>
    <r>
      <t>계</t>
    </r>
    <r>
      <rPr>
        <vertAlign val="superscript"/>
        <sz val="10"/>
        <rFont val="바탕체"/>
        <family val="1"/>
        <charset val="129"/>
      </rPr>
      <t>2)</t>
    </r>
    <phoneticPr fontId="5" type="noConversion"/>
  </si>
  <si>
    <r>
      <t>불명확</t>
    </r>
    <r>
      <rPr>
        <vertAlign val="superscript"/>
        <sz val="10"/>
        <rFont val="바탕체"/>
        <family val="1"/>
        <charset val="129"/>
      </rPr>
      <t>1)</t>
    </r>
    <phoneticPr fontId="5" type="noConversion"/>
  </si>
  <si>
    <r>
      <t>결   핵</t>
    </r>
    <r>
      <rPr>
        <vertAlign val="superscript"/>
        <sz val="10"/>
        <rFont val="바탕체"/>
        <family val="1"/>
        <charset val="129"/>
      </rPr>
      <t>1)</t>
    </r>
    <phoneticPr fontId="9" type="noConversion"/>
  </si>
  <si>
    <r>
      <t xml:space="preserve">B </t>
    </r>
    <r>
      <rPr>
        <sz val="10"/>
        <rFont val="바탕체"/>
        <family val="1"/>
        <charset val="129"/>
      </rPr>
      <t>형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간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염</t>
    </r>
  </si>
  <si>
    <r>
      <t xml:space="preserve">   </t>
    </r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9" type="noConversion"/>
  </si>
  <si>
    <r>
      <t>숙 박 업</t>
    </r>
    <r>
      <rPr>
        <vertAlign val="superscript"/>
        <sz val="10"/>
        <rFont val="바탕체"/>
        <family val="1"/>
        <charset val="129"/>
      </rPr>
      <t xml:space="preserve">1) </t>
    </r>
    <r>
      <rPr>
        <sz val="10"/>
        <rFont val="Arial Narrow"/>
        <family val="2"/>
      </rPr>
      <t>Loding business</t>
    </r>
    <phoneticPr fontId="9" type="noConversion"/>
  </si>
  <si>
    <r>
      <t>건물위생관리업</t>
    </r>
    <r>
      <rPr>
        <vertAlign val="superscript"/>
        <sz val="10"/>
        <rFont val="바탕체"/>
        <family val="1"/>
        <charset val="129"/>
      </rPr>
      <t>2)</t>
    </r>
    <phoneticPr fontId="3" type="noConversion"/>
  </si>
  <si>
    <r>
      <rPr>
        <sz val="10"/>
        <rFont val="돋움"/>
        <family val="3"/>
        <charset val="129"/>
      </rPr>
      <t xml:space="preserve">소계
</t>
    </r>
    <r>
      <rPr>
        <sz val="10"/>
        <rFont val="Arial Narrow"/>
        <family val="2"/>
      </rPr>
      <t>Sub-total</t>
    </r>
    <phoneticPr fontId="9" type="noConversion"/>
  </si>
  <si>
    <r>
      <rPr>
        <sz val="10"/>
        <rFont val="돋움"/>
        <family val="3"/>
        <charset val="129"/>
      </rPr>
      <t xml:space="preserve">일반
</t>
    </r>
    <r>
      <rPr>
        <sz val="10"/>
        <rFont val="Arial Narrow"/>
        <family val="2"/>
      </rPr>
      <t>non-cooking</t>
    </r>
    <phoneticPr fontId="3" type="noConversion"/>
  </si>
  <si>
    <r>
      <rPr>
        <sz val="10"/>
        <rFont val="돋움"/>
        <family val="3"/>
        <charset val="129"/>
      </rPr>
      <t xml:space="preserve">생활
</t>
    </r>
    <r>
      <rPr>
        <sz val="10"/>
        <rFont val="Arial Narrow"/>
        <family val="2"/>
      </rPr>
      <t>cooking</t>
    </r>
    <phoneticPr fontId="3" type="noConversion"/>
  </si>
  <si>
    <r>
      <rPr>
        <sz val="10"/>
        <rFont val="바탕체"/>
        <family val="1"/>
        <charset val="129"/>
      </rPr>
      <t>연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금</t>
    </r>
    <r>
      <rPr>
        <sz val="10"/>
        <rFont val="Arial Narrow"/>
        <family val="2"/>
      </rPr>
      <t xml:space="preserve">            Pension</t>
    </r>
    <phoneticPr fontId="4" type="noConversion"/>
  </si>
  <si>
    <r>
      <rPr>
        <sz val="10"/>
        <rFont val="바탕체"/>
        <family val="1"/>
        <charset val="129"/>
      </rPr>
      <t>연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금</t>
    </r>
    <r>
      <rPr>
        <sz val="10"/>
        <rFont val="Arial Narrow"/>
        <family val="2"/>
      </rPr>
      <t xml:space="preserve">            Pension</t>
    </r>
    <phoneticPr fontId="5" type="noConversion"/>
  </si>
  <si>
    <r>
      <t xml:space="preserve">        </t>
    </r>
    <r>
      <rPr>
        <sz val="10"/>
        <rFont val="바탕체"/>
        <family val="1"/>
        <charset val="129"/>
      </rPr>
      <t>일시금</t>
    </r>
    <r>
      <rPr>
        <sz val="10"/>
        <rFont val="Arial Narrow"/>
        <family val="2"/>
      </rPr>
      <t xml:space="preserve">          Lump-sum benefits </t>
    </r>
    <phoneticPr fontId="4" type="noConversion"/>
  </si>
  <si>
    <r>
      <rPr>
        <sz val="10"/>
        <rFont val="바탕체"/>
        <family val="1"/>
        <charset val="129"/>
      </rPr>
      <t>노령연금</t>
    </r>
    <r>
      <rPr>
        <sz val="10"/>
        <rFont val="Arial Narrow"/>
        <family val="2"/>
      </rPr>
      <t xml:space="preserve">     Old-age Pension</t>
    </r>
    <phoneticPr fontId="4" type="noConversion"/>
  </si>
  <si>
    <r>
      <rPr>
        <sz val="10"/>
        <rFont val="바탕체"/>
        <family val="1"/>
        <charset val="129"/>
      </rPr>
      <t>노령연금</t>
    </r>
    <r>
      <rPr>
        <sz val="10"/>
        <rFont val="Arial Narrow"/>
        <family val="2"/>
      </rPr>
      <t xml:space="preserve">     Old-age Pension</t>
    </r>
    <phoneticPr fontId="4" type="noConversion"/>
  </si>
  <si>
    <r>
      <rPr>
        <sz val="10"/>
        <rFont val="바탕체"/>
        <family val="1"/>
        <charset val="129"/>
      </rPr>
      <t>노령연금</t>
    </r>
    <r>
      <rPr>
        <sz val="10"/>
        <rFont val="Arial Narrow"/>
        <family val="2"/>
      </rPr>
      <t>(20</t>
    </r>
    <r>
      <rPr>
        <sz val="10"/>
        <rFont val="바탕체"/>
        <family val="1"/>
        <charset val="129"/>
      </rPr>
      <t>년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이상</t>
    </r>
    <r>
      <rPr>
        <sz val="10"/>
        <rFont val="Arial Narrow"/>
        <family val="2"/>
      </rPr>
      <t>)</t>
    </r>
    <phoneticPr fontId="4" type="noConversion"/>
  </si>
  <si>
    <r>
      <rPr>
        <sz val="10"/>
        <rFont val="바탕체"/>
        <family val="1"/>
        <charset val="129"/>
      </rPr>
      <t>노령연금</t>
    </r>
    <r>
      <rPr>
        <sz val="10"/>
        <rFont val="Arial Narrow"/>
        <family val="2"/>
      </rPr>
      <t>(10</t>
    </r>
    <r>
      <rPr>
        <sz val="10"/>
        <rFont val="바탕체"/>
        <family val="1"/>
        <charset val="129"/>
      </rPr>
      <t>년이상</t>
    </r>
    <r>
      <rPr>
        <sz val="10"/>
        <rFont val="Arial Narrow"/>
        <family val="2"/>
      </rPr>
      <t>~20</t>
    </r>
    <r>
      <rPr>
        <sz val="10"/>
        <rFont val="바탕체"/>
        <family val="1"/>
        <charset val="129"/>
      </rPr>
      <t>년미만</t>
    </r>
    <r>
      <rPr>
        <sz val="10"/>
        <rFont val="Arial Narrow"/>
        <family val="2"/>
      </rPr>
      <t xml:space="preserve">) </t>
    </r>
    <phoneticPr fontId="4" type="noConversion"/>
  </si>
  <si>
    <r>
      <rPr>
        <sz val="10"/>
        <rFont val="바탕체"/>
        <family val="1"/>
        <charset val="129"/>
      </rPr>
      <t>합</t>
    </r>
    <r>
      <rPr>
        <sz val="10"/>
        <rFont val="Arial Narrow"/>
        <family val="2"/>
      </rPr>
      <t xml:space="preserve">    </t>
    </r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 xml:space="preserve">     </t>
    </r>
    <phoneticPr fontId="4" type="noConversion"/>
  </si>
  <si>
    <r>
      <rPr>
        <sz val="10"/>
        <rFont val="바탕체"/>
        <family val="1"/>
        <charset val="129"/>
      </rPr>
      <t>양로시설</t>
    </r>
    <r>
      <rPr>
        <sz val="10"/>
        <rFont val="Arial Narrow"/>
        <family val="2"/>
      </rPr>
      <t xml:space="preserve">     </t>
    </r>
    <phoneticPr fontId="4" type="noConversion"/>
  </si>
  <si>
    <r>
      <t>가  구</t>
    </r>
    <r>
      <rPr>
        <vertAlign val="superscript"/>
        <sz val="10"/>
        <rFont val="바탕체"/>
        <family val="1"/>
        <charset val="129"/>
      </rPr>
      <t>1)</t>
    </r>
    <phoneticPr fontId="9" type="noConversion"/>
  </si>
  <si>
    <r>
      <rPr>
        <sz val="10"/>
        <rFont val="돋움"/>
        <family val="3"/>
        <charset val="129"/>
      </rPr>
      <t>남</t>
    </r>
    <r>
      <rPr>
        <vertAlign val="superscript"/>
        <sz val="10"/>
        <rFont val="Arial Narrow"/>
        <family val="2"/>
      </rPr>
      <t>2)</t>
    </r>
    <phoneticPr fontId="3" type="noConversion"/>
  </si>
  <si>
    <r>
      <rPr>
        <sz val="10"/>
        <rFont val="돋움"/>
        <family val="3"/>
        <charset val="129"/>
      </rPr>
      <t>여</t>
    </r>
    <r>
      <rPr>
        <vertAlign val="superscript"/>
        <sz val="10"/>
        <rFont val="Arial Narrow"/>
        <family val="2"/>
      </rPr>
      <t>2)</t>
    </r>
    <phoneticPr fontId="3" type="noConversion"/>
  </si>
  <si>
    <t>성폭력 
Sexual violence</t>
    <phoneticPr fontId="3" type="noConversion"/>
  </si>
  <si>
    <t>Counseling</t>
    <phoneticPr fontId="9" type="noConversion"/>
  </si>
  <si>
    <t>Legal Aid</t>
    <phoneticPr fontId="9" type="noConversion"/>
  </si>
  <si>
    <t>Medical aid</t>
    <phoneticPr fontId="9" type="noConversion"/>
  </si>
  <si>
    <t>Referral to</t>
    <phoneticPr fontId="9" type="noConversion"/>
  </si>
  <si>
    <r>
      <t xml:space="preserve">장 애 유 형  </t>
    </r>
    <r>
      <rPr>
        <sz val="10"/>
        <color theme="1"/>
        <rFont val="Arial Narrow"/>
        <family val="2"/>
      </rPr>
      <t>By type of the disabled</t>
    </r>
    <phoneticPr fontId="6" type="noConversion"/>
  </si>
  <si>
    <r>
      <t>장 애 정 도</t>
    </r>
    <r>
      <rPr>
        <vertAlign val="superscript"/>
        <sz val="10"/>
        <color theme="1"/>
        <rFont val="바탕체"/>
        <family val="1"/>
        <charset val="129"/>
      </rPr>
      <t>1)</t>
    </r>
    <r>
      <rPr>
        <sz val="10"/>
        <color theme="1"/>
        <rFont val="바탕체"/>
        <family val="1"/>
        <charset val="129"/>
      </rPr>
      <t xml:space="preserve">
</t>
    </r>
    <r>
      <rPr>
        <sz val="10"/>
        <color theme="1"/>
        <rFont val="Arial Narrow"/>
        <family val="2"/>
      </rPr>
      <t>degree of disability</t>
    </r>
    <phoneticPr fontId="3" type="noConversion"/>
  </si>
  <si>
    <r>
      <t>뇌전증</t>
    </r>
    <r>
      <rPr>
        <vertAlign val="superscript"/>
        <sz val="10"/>
        <color theme="1"/>
        <rFont val="바탕체"/>
        <family val="1"/>
        <charset val="129"/>
      </rPr>
      <t>1)</t>
    </r>
    <phoneticPr fontId="6" type="noConversion"/>
  </si>
  <si>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3" type="noConversion"/>
  </si>
  <si>
    <r>
      <rPr>
        <sz val="10"/>
        <color theme="1"/>
        <rFont val="바탕체"/>
        <family val="1"/>
        <charset val="129"/>
      </rPr>
      <t>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설</t>
    </r>
    <r>
      <rPr>
        <sz val="10"/>
        <color theme="1"/>
        <rFont val="Arial Narrow"/>
        <family val="2"/>
      </rPr>
      <t xml:space="preserve">  Crematorium</t>
    </r>
    <phoneticPr fontId="9" type="noConversion"/>
  </si>
  <si>
    <r>
      <t xml:space="preserve">묘  지 </t>
    </r>
    <r>
      <rPr>
        <sz val="10"/>
        <color theme="1"/>
        <rFont val="Arial Narrow"/>
        <family val="2"/>
      </rPr>
      <t xml:space="preserve"> cemeteries</t>
    </r>
    <phoneticPr fontId="9" type="noConversion"/>
  </si>
  <si>
    <r>
      <t>봉안시설</t>
    </r>
    <r>
      <rPr>
        <vertAlign val="superscript"/>
        <sz val="10"/>
        <color theme="1"/>
        <rFont val="바탕체"/>
        <family val="1"/>
        <charset val="129"/>
      </rPr>
      <t>1)</t>
    </r>
    <r>
      <rPr>
        <sz val="10"/>
        <color theme="1"/>
        <rFont val="바탕체"/>
        <family val="1"/>
        <charset val="129"/>
      </rPr>
      <t xml:space="preserve">  </t>
    </r>
    <r>
      <rPr>
        <sz val="10"/>
        <color theme="1"/>
        <rFont val="Arial Narrow"/>
        <family val="2"/>
      </rPr>
      <t>Charnel house</t>
    </r>
    <phoneticPr fontId="9" type="noConversion"/>
  </si>
  <si>
    <r>
      <t xml:space="preserve">자연장지 </t>
    </r>
    <r>
      <rPr>
        <sz val="10"/>
        <color theme="1"/>
        <rFont val="Arial Narrow"/>
        <family val="2"/>
      </rPr>
      <t>natural field</t>
    </r>
    <phoneticPr fontId="9" type="noConversion"/>
  </si>
  <si>
    <r>
      <t>사  설</t>
    </r>
    <r>
      <rPr>
        <vertAlign val="superscript"/>
        <sz val="10"/>
        <color theme="1"/>
        <rFont val="바탕체"/>
        <family val="1"/>
        <charset val="129"/>
      </rPr>
      <t>2)</t>
    </r>
    <phoneticPr fontId="3" type="noConversion"/>
  </si>
  <si>
    <r>
      <t>연    별</t>
    </r>
    <r>
      <rPr>
        <sz val="10"/>
        <rFont val="Arial Narrow"/>
        <family val="2"/>
      </rPr>
      <t/>
    </r>
    <phoneticPr fontId="9" type="noConversion"/>
  </si>
  <si>
    <r>
      <t>합  계</t>
    </r>
    <r>
      <rPr>
        <vertAlign val="superscript"/>
        <sz val="10"/>
        <rFont val="바탕체"/>
        <family val="1"/>
        <charset val="129"/>
      </rPr>
      <t>1)</t>
    </r>
    <phoneticPr fontId="9" type="noConversion"/>
  </si>
  <si>
    <r>
      <t>특수병원</t>
    </r>
    <r>
      <rPr>
        <vertAlign val="superscript"/>
        <sz val="10"/>
        <rFont val="바탕체"/>
        <family val="1"/>
        <charset val="129"/>
      </rPr>
      <t>3)</t>
    </r>
    <phoneticPr fontId="9" type="noConversion"/>
  </si>
  <si>
    <r>
      <t>일반병원</t>
    </r>
    <r>
      <rPr>
        <vertAlign val="superscript"/>
        <sz val="10"/>
        <rFont val="바탕체"/>
        <family val="1"/>
        <charset val="129"/>
      </rPr>
      <t>2)</t>
    </r>
    <phoneticPr fontId="9" type="noConversion"/>
  </si>
  <si>
    <r>
      <t xml:space="preserve">  </t>
    </r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4" type="noConversion"/>
  </si>
  <si>
    <r>
      <rPr>
        <sz val="10"/>
        <rFont val="바탕체"/>
        <family val="1"/>
        <charset val="129"/>
      </rPr>
      <t>합</t>
    </r>
    <r>
      <rPr>
        <sz val="10"/>
        <rFont val="Arial Narrow"/>
        <family val="2"/>
      </rPr>
      <t xml:space="preserve">    </t>
    </r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 xml:space="preserve">     </t>
    </r>
    <phoneticPr fontId="4" type="noConversion"/>
  </si>
  <si>
    <r>
      <rPr>
        <sz val="10"/>
        <rFont val="바탕체"/>
        <family val="1"/>
        <charset val="129"/>
      </rPr>
      <t>신북읍</t>
    </r>
  </si>
  <si>
    <r>
      <rPr>
        <sz val="10"/>
        <rFont val="바탕체"/>
        <family val="1"/>
        <charset val="129"/>
      </rPr>
      <t>동면</t>
    </r>
  </si>
  <si>
    <r>
      <rPr>
        <sz val="10"/>
        <rFont val="바탕체"/>
        <family val="1"/>
        <charset val="129"/>
      </rPr>
      <t>동산면</t>
    </r>
  </si>
  <si>
    <r>
      <rPr>
        <sz val="10"/>
        <rFont val="바탕체"/>
        <family val="1"/>
        <charset val="129"/>
      </rPr>
      <t>신동면</t>
    </r>
  </si>
  <si>
    <r>
      <rPr>
        <sz val="10"/>
        <rFont val="바탕체"/>
        <family val="1"/>
        <charset val="129"/>
      </rPr>
      <t>동내면</t>
    </r>
  </si>
  <si>
    <r>
      <rPr>
        <sz val="10"/>
        <rFont val="바탕체"/>
        <family val="1"/>
        <charset val="129"/>
      </rPr>
      <t>남면</t>
    </r>
  </si>
  <si>
    <r>
      <rPr>
        <sz val="10"/>
        <rFont val="바탕체"/>
        <family val="1"/>
        <charset val="129"/>
      </rPr>
      <t>남산면</t>
    </r>
  </si>
  <si>
    <r>
      <rPr>
        <sz val="10"/>
        <rFont val="바탕체"/>
        <family val="1"/>
        <charset val="129"/>
      </rPr>
      <t>서면</t>
    </r>
  </si>
  <si>
    <r>
      <rPr>
        <sz val="10"/>
        <rFont val="바탕체"/>
        <family val="1"/>
        <charset val="129"/>
      </rPr>
      <t>사북면</t>
    </r>
  </si>
  <si>
    <r>
      <rPr>
        <sz val="10"/>
        <rFont val="바탕체"/>
        <family val="1"/>
        <charset val="129"/>
      </rPr>
      <t>북산면</t>
    </r>
  </si>
  <si>
    <r>
      <rPr>
        <sz val="10"/>
        <rFont val="바탕체"/>
        <family val="1"/>
        <charset val="129"/>
      </rPr>
      <t>소양동</t>
    </r>
  </si>
  <si>
    <r>
      <rPr>
        <sz val="10"/>
        <rFont val="바탕체"/>
        <family val="1"/>
        <charset val="129"/>
      </rPr>
      <t>교동</t>
    </r>
  </si>
  <si>
    <r>
      <rPr>
        <sz val="10"/>
        <rFont val="바탕체"/>
        <family val="1"/>
        <charset val="129"/>
      </rPr>
      <t>조운동</t>
    </r>
  </si>
  <si>
    <r>
      <rPr>
        <sz val="10"/>
        <rFont val="바탕체"/>
        <family val="1"/>
        <charset val="129"/>
      </rPr>
      <t>약사명동</t>
    </r>
  </si>
  <si>
    <r>
      <rPr>
        <sz val="10"/>
        <rFont val="바탕체"/>
        <family val="1"/>
        <charset val="129"/>
      </rPr>
      <t>근화동</t>
    </r>
  </si>
  <si>
    <r>
      <rPr>
        <sz val="10"/>
        <rFont val="바탕체"/>
        <family val="1"/>
        <charset val="129"/>
      </rPr>
      <t>후평</t>
    </r>
    <r>
      <rPr>
        <sz val="10"/>
        <rFont val="Arial Narrow"/>
        <family val="2"/>
      </rPr>
      <t>1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</si>
  <si>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후평</t>
    </r>
    <r>
      <rPr>
        <sz val="10"/>
        <rFont val="Arial Narrow"/>
        <family val="2"/>
      </rPr>
      <t>2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</si>
  <si>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후평</t>
    </r>
    <r>
      <rPr>
        <sz val="10"/>
        <rFont val="Arial Narrow"/>
        <family val="2"/>
      </rPr>
      <t>3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</si>
  <si>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효자</t>
    </r>
    <r>
      <rPr>
        <sz val="10"/>
        <rFont val="Arial Narrow"/>
        <family val="2"/>
      </rPr>
      <t>1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</si>
  <si>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효자</t>
    </r>
    <r>
      <rPr>
        <sz val="10"/>
        <rFont val="Arial Narrow"/>
        <family val="2"/>
      </rPr>
      <t>2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</si>
  <si>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효자</t>
    </r>
    <r>
      <rPr>
        <sz val="10"/>
        <rFont val="Arial Narrow"/>
        <family val="2"/>
      </rPr>
      <t>3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</si>
  <si>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석사동</t>
    </r>
  </si>
  <si>
    <r>
      <rPr>
        <sz val="10"/>
        <rFont val="바탕체"/>
        <family val="1"/>
        <charset val="129"/>
      </rPr>
      <t>퇴계동</t>
    </r>
  </si>
  <si>
    <r>
      <rPr>
        <sz val="10"/>
        <rFont val="바탕체"/>
        <family val="1"/>
        <charset val="129"/>
      </rPr>
      <t>신사우동</t>
    </r>
  </si>
  <si>
    <r>
      <rPr>
        <sz val="10"/>
        <rFont val="바탕체"/>
        <family val="1"/>
        <charset val="129"/>
      </rPr>
      <t>단위</t>
    </r>
    <r>
      <rPr>
        <sz val="10"/>
        <rFont val="Arial Narrow"/>
        <family val="2"/>
      </rPr>
      <t xml:space="preserve"> : </t>
    </r>
    <r>
      <rPr>
        <sz val="10"/>
        <rFont val="바탕체"/>
        <family val="1"/>
        <charset val="129"/>
      </rPr>
      <t>명</t>
    </r>
    <r>
      <rPr>
        <sz val="10"/>
        <rFont val="Arial Narrow"/>
        <family val="2"/>
      </rPr>
      <t>, %</t>
    </r>
    <phoneticPr fontId="9" type="noConversion"/>
  </si>
  <si>
    <r>
      <t xml:space="preserve">남 </t>
    </r>
    <r>
      <rPr>
        <sz val="10"/>
        <rFont val="Arial Narrow"/>
        <family val="2"/>
      </rPr>
      <t/>
    </r>
    <phoneticPr fontId="4" type="noConversion"/>
  </si>
  <si>
    <r>
      <t xml:space="preserve">남 </t>
    </r>
    <r>
      <rPr>
        <sz val="10"/>
        <rFont val="Arial Narrow"/>
        <family val="2"/>
      </rPr>
      <t/>
    </r>
    <phoneticPr fontId="4" type="noConversion"/>
  </si>
  <si>
    <r>
      <t xml:space="preserve">남 </t>
    </r>
    <r>
      <rPr>
        <sz val="10"/>
        <rFont val="Arial Narrow"/>
        <family val="2"/>
      </rPr>
      <t/>
    </r>
    <phoneticPr fontId="4" type="noConversion"/>
  </si>
  <si>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9" type="noConversion"/>
  </si>
  <si>
    <r>
      <t xml:space="preserve"> </t>
    </r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9" type="noConversion"/>
  </si>
  <si>
    <r>
      <t>통합상담</t>
    </r>
    <r>
      <rPr>
        <vertAlign val="superscript"/>
        <sz val="10"/>
        <rFont val="바탕체"/>
        <family val="1"/>
        <charset val="129"/>
      </rPr>
      <t>1)</t>
    </r>
    <phoneticPr fontId="3" type="noConversion"/>
  </si>
  <si>
    <r>
      <t>성 폭 력</t>
    </r>
    <r>
      <rPr>
        <vertAlign val="superscript"/>
        <sz val="10"/>
        <rFont val="바탕체"/>
        <family val="1"/>
        <charset val="129"/>
      </rPr>
      <t>1)</t>
    </r>
    <phoneticPr fontId="9" type="noConversion"/>
  </si>
  <si>
    <r>
      <t>성매매피해</t>
    </r>
    <r>
      <rPr>
        <vertAlign val="superscript"/>
        <sz val="10"/>
        <rFont val="바탕체"/>
        <family val="1"/>
        <charset val="129"/>
      </rPr>
      <t>1)</t>
    </r>
    <phoneticPr fontId="9" type="noConversion"/>
  </si>
  <si>
    <r>
      <rPr>
        <sz val="10"/>
        <rFont val="돋움"/>
        <family val="3"/>
        <charset val="129"/>
      </rPr>
      <t>합계</t>
    </r>
    <r>
      <rPr>
        <sz val="10"/>
        <rFont val="Arial Narrow"/>
        <family val="2"/>
      </rPr>
      <t xml:space="preserve">  
Toral</t>
    </r>
    <phoneticPr fontId="3" type="noConversion"/>
  </si>
  <si>
    <r>
      <t xml:space="preserve">통합상담
</t>
    </r>
    <r>
      <rPr>
        <sz val="10"/>
        <rFont val="Arial Narrow"/>
        <family val="2"/>
      </rPr>
      <t xml:space="preserve"> Combined issues </t>
    </r>
    <phoneticPr fontId="3" type="noConversion"/>
  </si>
  <si>
    <r>
      <t xml:space="preserve">가정폭력
</t>
    </r>
    <r>
      <rPr>
        <sz val="10"/>
        <rFont val="Arial Narrow"/>
        <family val="2"/>
      </rPr>
      <t xml:space="preserve"> Domestic violence</t>
    </r>
    <phoneticPr fontId="3" type="noConversion"/>
  </si>
  <si>
    <r>
      <t>성매매피해</t>
    </r>
    <r>
      <rPr>
        <sz val="10"/>
        <rFont val="Arial Narrow"/>
        <family val="2"/>
      </rPr>
      <t xml:space="preserve"> 
 Forced prostitution</t>
    </r>
    <phoneticPr fontId="3" type="noConversion"/>
  </si>
  <si>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9" type="noConversion"/>
  </si>
  <si>
    <r>
      <t xml:space="preserve">Incidence and Mortality for Major National Infectious Diseases, Class </t>
    </r>
    <r>
      <rPr>
        <b/>
        <sz val="20"/>
        <rFont val="돋움"/>
        <family val="3"/>
        <charset val="129"/>
      </rPr>
      <t>Ⅱ</t>
    </r>
    <phoneticPr fontId="5" type="noConversion"/>
  </si>
  <si>
    <r>
      <t>연    별</t>
    </r>
    <r>
      <rPr>
        <sz val="10"/>
        <rFont val="Arial Narrow"/>
        <family val="2"/>
      </rPr>
      <t/>
    </r>
    <phoneticPr fontId="9" type="noConversion"/>
  </si>
  <si>
    <r>
      <rPr>
        <sz val="10"/>
        <rFont val="바탕체"/>
        <family val="1"/>
        <charset val="129"/>
      </rPr>
      <t>제</t>
    </r>
    <r>
      <rPr>
        <sz val="10"/>
        <rFont val="Arial Narrow"/>
        <family val="2"/>
      </rPr>
      <t xml:space="preserve"> 2 </t>
    </r>
    <r>
      <rPr>
        <sz val="10"/>
        <rFont val="바탕체"/>
        <family val="1"/>
        <charset val="129"/>
      </rPr>
      <t>급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감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염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병</t>
    </r>
    <r>
      <rPr>
        <sz val="10"/>
        <rFont val="Arial Narrow"/>
        <family val="2"/>
      </rPr>
      <t xml:space="preserve">       </t>
    </r>
    <phoneticPr fontId="9" type="noConversion"/>
  </si>
  <si>
    <r>
      <t xml:space="preserve">Infectious  diseases, Class </t>
    </r>
    <r>
      <rPr>
        <sz val="10"/>
        <rFont val="바탕체"/>
        <family val="1"/>
        <charset val="129"/>
      </rPr>
      <t>Ⅱ</t>
    </r>
    <phoneticPr fontId="3" type="noConversion"/>
  </si>
  <si>
    <r>
      <rPr>
        <sz val="10"/>
        <rFont val="돋움"/>
        <family val="3"/>
        <charset val="129"/>
      </rPr>
      <t>제</t>
    </r>
    <r>
      <rPr>
        <sz val="10"/>
        <rFont val="Arial Narrow"/>
        <family val="2"/>
      </rPr>
      <t xml:space="preserve"> 2 </t>
    </r>
    <r>
      <rPr>
        <sz val="10"/>
        <rFont val="돋움"/>
        <family val="3"/>
        <charset val="129"/>
      </rPr>
      <t>급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감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염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병</t>
    </r>
    <r>
      <rPr>
        <sz val="10"/>
        <rFont val="Arial Narrow"/>
        <family val="2"/>
      </rPr>
      <t xml:space="preserve">       </t>
    </r>
    <phoneticPr fontId="3" type="noConversion"/>
  </si>
  <si>
    <r>
      <rPr>
        <sz val="10"/>
        <rFont val="바탕체"/>
        <family val="1"/>
        <charset val="129"/>
      </rPr>
      <t>발</t>
    </r>
    <r>
      <rPr>
        <sz val="10"/>
        <rFont val="Arial Narrow"/>
        <family val="2"/>
      </rPr>
      <t xml:space="preserve">    </t>
    </r>
    <r>
      <rPr>
        <sz val="10"/>
        <rFont val="바탕체"/>
        <family val="1"/>
        <charset val="129"/>
      </rPr>
      <t>생</t>
    </r>
    <r>
      <rPr>
        <sz val="10"/>
        <rFont val="Arial Narrow"/>
        <family val="2"/>
      </rPr>
      <t xml:space="preserve"> Cases</t>
    </r>
    <phoneticPr fontId="4" type="noConversion"/>
  </si>
  <si>
    <r>
      <rPr>
        <sz val="10"/>
        <rFont val="바탕체"/>
        <family val="1"/>
        <charset val="129"/>
      </rPr>
      <t>사</t>
    </r>
    <r>
      <rPr>
        <sz val="10"/>
        <rFont val="Arial Narrow"/>
        <family val="2"/>
      </rPr>
      <t xml:space="preserve">    </t>
    </r>
    <r>
      <rPr>
        <sz val="10"/>
        <rFont val="바탕체"/>
        <family val="1"/>
        <charset val="129"/>
      </rPr>
      <t>망</t>
    </r>
    <r>
      <rPr>
        <sz val="10"/>
        <rFont val="Arial Narrow"/>
        <family val="2"/>
      </rPr>
      <t xml:space="preserve"> Deaths</t>
    </r>
    <phoneticPr fontId="4" type="noConversion"/>
  </si>
  <si>
    <r>
      <rPr>
        <sz val="10"/>
        <rFont val="바탕체"/>
        <family val="1"/>
        <charset val="129"/>
      </rPr>
      <t>발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생</t>
    </r>
    <phoneticPr fontId="8" type="noConversion"/>
  </si>
  <si>
    <r>
      <rPr>
        <sz val="10"/>
        <rFont val="바탕체"/>
        <family val="1"/>
        <charset val="129"/>
      </rPr>
      <t>사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망</t>
    </r>
    <phoneticPr fontId="8" type="noConversion"/>
  </si>
  <si>
    <r>
      <rPr>
        <sz val="10"/>
        <rFont val="바탕체"/>
        <family val="1"/>
        <charset val="129"/>
      </rPr>
      <t>사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망</t>
    </r>
    <phoneticPr fontId="8" type="noConversion"/>
  </si>
  <si>
    <r>
      <rPr>
        <sz val="10"/>
        <rFont val="바탕체"/>
        <family val="1"/>
        <charset val="129"/>
      </rPr>
      <t>발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생</t>
    </r>
    <phoneticPr fontId="8" type="noConversion"/>
  </si>
  <si>
    <r>
      <rPr>
        <sz val="10"/>
        <rFont val="바탕체"/>
        <family val="1"/>
        <charset val="129"/>
      </rPr>
      <t>사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망</t>
    </r>
    <phoneticPr fontId="8" type="noConversion"/>
  </si>
  <si>
    <r>
      <rPr>
        <sz val="10"/>
        <rFont val="바탕체"/>
        <family val="1"/>
        <charset val="129"/>
      </rPr>
      <t>발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생</t>
    </r>
    <phoneticPr fontId="8" type="noConversion"/>
  </si>
  <si>
    <r>
      <rPr>
        <sz val="10"/>
        <rFont val="바탕체"/>
        <family val="1"/>
        <charset val="129"/>
      </rPr>
      <t>사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망</t>
    </r>
    <phoneticPr fontId="8" type="noConversion"/>
  </si>
  <si>
    <r>
      <rPr>
        <sz val="10"/>
        <rFont val="바탕체"/>
        <family val="1"/>
        <charset val="129"/>
      </rPr>
      <t>발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생</t>
    </r>
    <phoneticPr fontId="8" type="noConversion"/>
  </si>
  <si>
    <r>
      <rPr>
        <sz val="10"/>
        <rFont val="바탕체"/>
        <family val="1"/>
        <charset val="129"/>
      </rPr>
      <t>발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생</t>
    </r>
    <phoneticPr fontId="8" type="noConversion"/>
  </si>
  <si>
    <r>
      <rPr>
        <sz val="10"/>
        <rFont val="바탕체"/>
        <family val="1"/>
        <charset val="129"/>
      </rPr>
      <t xml:space="preserve">계
</t>
    </r>
    <r>
      <rPr>
        <sz val="10"/>
        <rFont val="Arial Narrow"/>
        <family val="2"/>
      </rPr>
      <t>Total</t>
    </r>
    <phoneticPr fontId="4" type="noConversion"/>
  </si>
  <si>
    <r>
      <rPr>
        <sz val="10"/>
        <rFont val="바탕체"/>
        <family val="1"/>
        <charset val="129"/>
      </rPr>
      <t xml:space="preserve">남
</t>
    </r>
    <r>
      <rPr>
        <sz val="10"/>
        <rFont val="Arial Narrow"/>
        <family val="2"/>
      </rPr>
      <t>Male</t>
    </r>
    <phoneticPr fontId="4" type="noConversion"/>
  </si>
  <si>
    <r>
      <rPr>
        <sz val="10"/>
        <rFont val="바탕체"/>
        <family val="1"/>
        <charset val="129"/>
      </rPr>
      <t xml:space="preserve">여
</t>
    </r>
    <r>
      <rPr>
        <sz val="10"/>
        <rFont val="Arial Narrow"/>
        <family val="2"/>
      </rPr>
      <t>Female</t>
    </r>
    <phoneticPr fontId="4" type="noConversion"/>
  </si>
  <si>
    <r>
      <rPr>
        <sz val="10"/>
        <rFont val="바탕체"/>
        <family val="1"/>
        <charset val="129"/>
      </rPr>
      <t xml:space="preserve">계
</t>
    </r>
    <r>
      <rPr>
        <sz val="10"/>
        <rFont val="Arial Narrow"/>
        <family val="2"/>
      </rPr>
      <t>Total</t>
    </r>
    <phoneticPr fontId="4" type="noConversion"/>
  </si>
  <si>
    <r>
      <rPr>
        <sz val="10"/>
        <rFont val="바탕체"/>
        <family val="1"/>
        <charset val="129"/>
      </rPr>
      <t xml:space="preserve">남
</t>
    </r>
    <r>
      <rPr>
        <sz val="10"/>
        <rFont val="Arial Narrow"/>
        <family val="2"/>
      </rPr>
      <t>Male</t>
    </r>
    <phoneticPr fontId="4" type="noConversion"/>
  </si>
  <si>
    <r>
      <rPr>
        <sz val="10"/>
        <rFont val="바탕체"/>
        <family val="1"/>
        <charset val="129"/>
      </rPr>
      <t xml:space="preserve">여
</t>
    </r>
    <r>
      <rPr>
        <sz val="10"/>
        <rFont val="Arial Narrow"/>
        <family val="2"/>
      </rPr>
      <t>Female</t>
    </r>
    <phoneticPr fontId="4" type="noConversion"/>
  </si>
  <si>
    <r>
      <t>14. 건강보험 적용인구</t>
    </r>
    <r>
      <rPr>
        <b/>
        <vertAlign val="superscript"/>
        <sz val="20"/>
        <rFont val="바탕체"/>
        <family val="1"/>
        <charset val="129"/>
      </rPr>
      <t>1)</t>
    </r>
    <phoneticPr fontId="5" type="noConversion"/>
  </si>
  <si>
    <r>
      <t>직장</t>
    </r>
    <r>
      <rPr>
        <vertAlign val="superscript"/>
        <sz val="10"/>
        <rFont val="바탕체"/>
        <family val="1"/>
        <charset val="129"/>
      </rPr>
      <t>1)</t>
    </r>
    <phoneticPr fontId="5" type="noConversion"/>
  </si>
  <si>
    <r>
      <t xml:space="preserve">                          </t>
    </r>
    <r>
      <rPr>
        <sz val="10"/>
        <rFont val="바탕체"/>
        <family val="1"/>
        <charset val="129"/>
      </rPr>
      <t>적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용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인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구</t>
    </r>
    <r>
      <rPr>
        <sz val="10"/>
        <rFont val="Arial Narrow"/>
        <family val="2"/>
      </rPr>
      <t xml:space="preserve">      </t>
    </r>
    <r>
      <rPr>
        <sz val="10"/>
        <rFont val="바탕체"/>
        <family val="1"/>
        <charset val="129"/>
      </rPr>
      <t xml:space="preserve"> </t>
    </r>
    <r>
      <rPr>
        <sz val="10"/>
        <rFont val="Arial Narrow"/>
        <family val="2"/>
      </rPr>
      <t>Covered persons</t>
    </r>
    <phoneticPr fontId="9" type="noConversion"/>
  </si>
  <si>
    <r>
      <t xml:space="preserve">                 </t>
    </r>
    <r>
      <rPr>
        <sz val="10"/>
        <rFont val="바탕"/>
        <family val="1"/>
        <charset val="129"/>
      </rPr>
      <t>적용인구</t>
    </r>
    <r>
      <rPr>
        <sz val="10"/>
        <rFont val="Arial Narrow"/>
        <family val="2"/>
      </rPr>
      <t xml:space="preserve">      Covered persons</t>
    </r>
    <phoneticPr fontId="9" type="noConversion"/>
  </si>
  <si>
    <r>
      <t>계</t>
    </r>
    <r>
      <rPr>
        <sz val="10"/>
        <rFont val="Arial Narrow"/>
        <family val="2"/>
      </rPr>
      <t xml:space="preserve">    </t>
    </r>
    <r>
      <rPr>
        <sz val="10"/>
        <rFont val="바탕체"/>
        <family val="1"/>
        <charset val="129"/>
      </rPr>
      <t xml:space="preserve"> </t>
    </r>
    <r>
      <rPr>
        <sz val="10"/>
        <rFont val="Arial Narrow"/>
        <family val="2"/>
      </rPr>
      <t>Total</t>
    </r>
    <phoneticPr fontId="200" type="noConversion"/>
  </si>
  <si>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 xml:space="preserve">   
Total</t>
    </r>
    <phoneticPr fontId="200" type="noConversion"/>
  </si>
  <si>
    <r>
      <rPr>
        <sz val="10"/>
        <rFont val="바탕"/>
        <family val="1"/>
        <charset val="129"/>
      </rPr>
      <t xml:space="preserve">남 </t>
    </r>
    <r>
      <rPr>
        <sz val="10"/>
        <rFont val="Arial Narrow"/>
        <family val="2"/>
      </rPr>
      <t>Male</t>
    </r>
    <phoneticPr fontId="200" type="noConversion"/>
  </si>
  <si>
    <r>
      <rPr>
        <sz val="10"/>
        <rFont val="바탕"/>
        <family val="1"/>
        <charset val="129"/>
      </rPr>
      <t xml:space="preserve">여 </t>
    </r>
    <r>
      <rPr>
        <sz val="10"/>
        <rFont val="Arial Narrow"/>
        <family val="2"/>
      </rPr>
      <t>Female</t>
    </r>
    <phoneticPr fontId="200" type="noConversion"/>
  </si>
  <si>
    <r>
      <rPr>
        <sz val="10"/>
        <rFont val="바탕체"/>
        <family val="1"/>
        <charset val="129"/>
      </rPr>
      <t>남</t>
    </r>
    <r>
      <rPr>
        <sz val="10"/>
        <rFont val="바탕"/>
        <family val="1"/>
        <charset val="129"/>
      </rPr>
      <t xml:space="preserve"> </t>
    </r>
    <r>
      <rPr>
        <sz val="10"/>
        <rFont val="Arial Narrow"/>
        <family val="2"/>
      </rPr>
      <t>Male</t>
    </r>
    <phoneticPr fontId="200" type="noConversion"/>
  </si>
  <si>
    <r>
      <rPr>
        <sz val="10"/>
        <rFont val="바탕체"/>
        <family val="1"/>
        <charset val="129"/>
      </rPr>
      <t>여</t>
    </r>
    <r>
      <rPr>
        <sz val="10"/>
        <rFont val="바탕"/>
        <family val="1"/>
        <charset val="129"/>
      </rPr>
      <t xml:space="preserve"> </t>
    </r>
    <r>
      <rPr>
        <sz val="10"/>
        <rFont val="Arial Narrow"/>
        <family val="2"/>
      </rPr>
      <t>Female</t>
    </r>
    <phoneticPr fontId="200" type="noConversion"/>
  </si>
  <si>
    <r>
      <t>남</t>
    </r>
    <r>
      <rPr>
        <sz val="10"/>
        <rFont val="Arial Narrow"/>
        <family val="2"/>
      </rPr>
      <t xml:space="preserve"> Male</t>
    </r>
    <phoneticPr fontId="8" type="noConversion"/>
  </si>
  <si>
    <r>
      <t>여</t>
    </r>
    <r>
      <rPr>
        <sz val="10"/>
        <rFont val="Arial Narrow"/>
        <family val="2"/>
      </rPr>
      <t xml:space="preserve"> Female</t>
    </r>
    <phoneticPr fontId="8" type="noConversion"/>
  </si>
  <si>
    <r>
      <rPr>
        <sz val="10"/>
        <rFont val="돋움"/>
        <family val="3"/>
        <charset val="129"/>
      </rPr>
      <t>주</t>
    </r>
    <r>
      <rPr>
        <sz val="10"/>
        <rFont val="Arial Narrow"/>
        <family val="2"/>
      </rPr>
      <t xml:space="preserve"> : </t>
    </r>
    <r>
      <rPr>
        <sz val="10"/>
        <rFont val="돋움"/>
        <family val="3"/>
        <charset val="129"/>
      </rPr>
      <t>주민등록주소지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기준</t>
    </r>
    <r>
      <rPr>
        <sz val="10"/>
        <rFont val="Arial Narrow"/>
        <family val="2"/>
      </rPr>
      <t xml:space="preserve">, </t>
    </r>
    <r>
      <rPr>
        <sz val="10"/>
        <rFont val="돋움"/>
        <family val="3"/>
        <charset val="129"/>
      </rPr>
      <t>지역의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가입자는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적용대상자를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말함</t>
    </r>
    <r>
      <rPr>
        <sz val="10"/>
        <rFont val="Arial Narrow"/>
        <family val="2"/>
      </rPr>
      <t>.</t>
    </r>
    <phoneticPr fontId="3" type="noConversion"/>
  </si>
  <si>
    <t xml:space="preserve">  주) 2021년부터 서식 변경</t>
    <phoneticPr fontId="3" type="noConversion"/>
  </si>
  <si>
    <r>
      <rPr>
        <sz val="10"/>
        <rFont val="바탕체"/>
        <family val="1"/>
        <charset val="129"/>
      </rPr>
      <t>노인복지주택</t>
    </r>
    <r>
      <rPr>
        <sz val="10"/>
        <rFont val="Arial Narrow"/>
        <family val="2"/>
      </rPr>
      <t xml:space="preserve">   </t>
    </r>
    <phoneticPr fontId="4" type="noConversion"/>
  </si>
  <si>
    <r>
      <rPr>
        <sz val="10"/>
        <rFont val="바탕체"/>
        <family val="1"/>
        <charset val="129"/>
      </rPr>
      <t>신북읍</t>
    </r>
    <phoneticPr fontId="9" type="noConversion"/>
  </si>
  <si>
    <r>
      <rPr>
        <sz val="10"/>
        <rFont val="바탕체"/>
        <family val="1"/>
        <charset val="129"/>
      </rPr>
      <t>동면</t>
    </r>
    <phoneticPr fontId="9" type="noConversion"/>
  </si>
  <si>
    <r>
      <rPr>
        <sz val="10"/>
        <rFont val="바탕체"/>
        <family val="1"/>
        <charset val="129"/>
      </rPr>
      <t>동산면</t>
    </r>
    <phoneticPr fontId="9" type="noConversion"/>
  </si>
  <si>
    <r>
      <rPr>
        <sz val="10"/>
        <rFont val="바탕체"/>
        <family val="1"/>
        <charset val="129"/>
      </rPr>
      <t>신동면</t>
    </r>
    <phoneticPr fontId="9" type="noConversion"/>
  </si>
  <si>
    <r>
      <rPr>
        <sz val="10"/>
        <rFont val="바탕체"/>
        <family val="1"/>
        <charset val="129"/>
      </rPr>
      <t>동내면</t>
    </r>
    <phoneticPr fontId="9" type="noConversion"/>
  </si>
  <si>
    <r>
      <rPr>
        <sz val="10"/>
        <rFont val="바탕체"/>
        <family val="1"/>
        <charset val="129"/>
      </rPr>
      <t>남면</t>
    </r>
    <phoneticPr fontId="9" type="noConversion"/>
  </si>
  <si>
    <r>
      <rPr>
        <sz val="10"/>
        <rFont val="바탕체"/>
        <family val="1"/>
        <charset val="129"/>
      </rPr>
      <t>남산면</t>
    </r>
    <phoneticPr fontId="9" type="noConversion"/>
  </si>
  <si>
    <r>
      <rPr>
        <sz val="10"/>
        <rFont val="바탕체"/>
        <family val="1"/>
        <charset val="129"/>
      </rPr>
      <t>서면</t>
    </r>
    <phoneticPr fontId="9" type="noConversion"/>
  </si>
  <si>
    <r>
      <rPr>
        <sz val="10"/>
        <rFont val="바탕체"/>
        <family val="1"/>
        <charset val="129"/>
      </rPr>
      <t>사북면</t>
    </r>
    <phoneticPr fontId="9" type="noConversion"/>
  </si>
  <si>
    <r>
      <rPr>
        <sz val="10"/>
        <rFont val="바탕체"/>
        <family val="1"/>
        <charset val="129"/>
      </rPr>
      <t>북산면</t>
    </r>
    <phoneticPr fontId="9" type="noConversion"/>
  </si>
  <si>
    <r>
      <rPr>
        <sz val="10"/>
        <rFont val="바탕체"/>
        <family val="1"/>
        <charset val="129"/>
      </rPr>
      <t>소양동</t>
    </r>
    <phoneticPr fontId="9" type="noConversion"/>
  </si>
  <si>
    <r>
      <rPr>
        <sz val="10"/>
        <rFont val="바탕체"/>
        <family val="1"/>
        <charset val="129"/>
      </rPr>
      <t>교동</t>
    </r>
    <phoneticPr fontId="9" type="noConversion"/>
  </si>
  <si>
    <r>
      <rPr>
        <sz val="10"/>
        <rFont val="바탕체"/>
        <family val="1"/>
        <charset val="129"/>
      </rPr>
      <t>조운동</t>
    </r>
    <phoneticPr fontId="9" type="noConversion"/>
  </si>
  <si>
    <r>
      <rPr>
        <sz val="10"/>
        <rFont val="바탕체"/>
        <family val="1"/>
        <charset val="129"/>
      </rPr>
      <t>약사명동</t>
    </r>
    <phoneticPr fontId="9" type="noConversion"/>
  </si>
  <si>
    <r>
      <rPr>
        <sz val="10"/>
        <rFont val="바탕체"/>
        <family val="1"/>
        <charset val="129"/>
      </rPr>
      <t>근화동</t>
    </r>
    <phoneticPr fontId="9" type="noConversion"/>
  </si>
  <si>
    <r>
      <rPr>
        <sz val="10"/>
        <rFont val="바탕체"/>
        <family val="1"/>
        <charset val="129"/>
      </rPr>
      <t>강남동</t>
    </r>
    <phoneticPr fontId="9" type="noConversion"/>
  </si>
  <si>
    <r>
      <rPr>
        <sz val="10"/>
        <rFont val="바탕체"/>
        <family val="1"/>
        <charset val="129"/>
      </rPr>
      <t>신사우동</t>
    </r>
    <phoneticPr fontId="9" type="noConversion"/>
  </si>
  <si>
    <t>주) 2021년 항목추가(방문간호서비스, 복지용구지원서비스)</t>
    <phoneticPr fontId="3" type="noConversion"/>
  </si>
  <si>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5" type="noConversion"/>
  </si>
  <si>
    <r>
      <rPr>
        <sz val="10"/>
        <rFont val="바탕체"/>
        <family val="1"/>
        <charset val="129"/>
      </rPr>
      <t>입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소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자</t>
    </r>
    <r>
      <rPr>
        <sz val="10"/>
        <rFont val="Arial Narrow"/>
        <family val="2"/>
      </rPr>
      <t xml:space="preserve">    Admissions</t>
    </r>
    <phoneticPr fontId="3" type="noConversion"/>
  </si>
  <si>
    <r>
      <rPr>
        <sz val="10"/>
        <rFont val="바탕체"/>
        <family val="1"/>
        <charset val="129"/>
      </rPr>
      <t>퇴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소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자</t>
    </r>
    <r>
      <rPr>
        <sz val="10"/>
        <rFont val="Arial Narrow"/>
        <family val="2"/>
      </rPr>
      <t xml:space="preserve">    Discharges</t>
    </r>
    <phoneticPr fontId="3" type="noConversion"/>
  </si>
  <si>
    <r>
      <rPr>
        <sz val="10"/>
        <rFont val="바탕체"/>
        <family val="1"/>
        <charset val="129"/>
      </rPr>
      <t>연말현재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수용인원</t>
    </r>
    <r>
      <rPr>
        <sz val="10"/>
        <rFont val="Arial Narrow"/>
        <family val="2"/>
      </rPr>
      <t xml:space="preserve">    No. of inmates as of year-end</t>
    </r>
    <phoneticPr fontId="3" type="noConversion"/>
  </si>
  <si>
    <r>
      <rPr>
        <sz val="10"/>
        <rFont val="바탕체"/>
        <family val="1"/>
        <charset val="129"/>
      </rPr>
      <t>성</t>
    </r>
    <r>
      <rPr>
        <sz val="10"/>
        <rFont val="Arial Narrow"/>
        <family val="2"/>
      </rPr>
      <t xml:space="preserve">  </t>
    </r>
    <r>
      <rPr>
        <sz val="10"/>
        <rFont val="바탕체"/>
        <family val="1"/>
        <charset val="129"/>
      </rPr>
      <t>별</t>
    </r>
    <r>
      <rPr>
        <sz val="10"/>
        <rFont val="Arial Narrow"/>
        <family val="2"/>
      </rPr>
      <t xml:space="preserve">  sex</t>
    </r>
    <phoneticPr fontId="3" type="noConversion"/>
  </si>
  <si>
    <r>
      <rPr>
        <sz val="10"/>
        <rFont val="바탕체"/>
        <family val="1"/>
        <charset val="129"/>
      </rPr>
      <t>연령별</t>
    </r>
    <r>
      <rPr>
        <sz val="10"/>
        <rFont val="Arial Narrow"/>
        <family val="2"/>
      </rPr>
      <t xml:space="preserve">  Age</t>
    </r>
    <phoneticPr fontId="3" type="noConversion"/>
  </si>
  <si>
    <r>
      <rPr>
        <sz val="10"/>
        <rFont val="바탕체"/>
        <family val="1"/>
        <charset val="129"/>
      </rPr>
      <t>장애종별</t>
    </r>
    <r>
      <rPr>
        <sz val="10"/>
        <rFont val="Arial Narrow"/>
        <family val="2"/>
      </rPr>
      <t xml:space="preserve">  Disability</t>
    </r>
    <phoneticPr fontId="3" type="noConversion"/>
  </si>
  <si>
    <r>
      <rPr>
        <sz val="10"/>
        <color theme="1"/>
        <rFont val="바탕체"/>
        <family val="1"/>
        <charset val="129"/>
      </rPr>
      <t>후평</t>
    </r>
    <r>
      <rPr>
        <sz val="10"/>
        <color theme="1"/>
        <rFont val="Arial Narrow"/>
        <family val="2"/>
      </rPr>
      <t>1</t>
    </r>
    <r>
      <rPr>
        <sz val="10"/>
        <color theme="1"/>
        <rFont val="바탕체"/>
        <family val="1"/>
        <charset val="129"/>
      </rPr>
      <t>동</t>
    </r>
    <phoneticPr fontId="9" type="noConversion"/>
  </si>
  <si>
    <r>
      <rPr>
        <sz val="10"/>
        <color theme="1"/>
        <rFont val="바탕체"/>
        <family val="1"/>
        <charset val="129"/>
      </rPr>
      <t>후평</t>
    </r>
    <r>
      <rPr>
        <sz val="10"/>
        <color theme="1"/>
        <rFont val="Arial Narrow"/>
        <family val="2"/>
      </rPr>
      <t>2</t>
    </r>
    <r>
      <rPr>
        <sz val="10"/>
        <color theme="1"/>
        <rFont val="바탕체"/>
        <family val="1"/>
        <charset val="129"/>
      </rPr>
      <t>동</t>
    </r>
  </si>
  <si>
    <r>
      <rPr>
        <sz val="10"/>
        <color theme="1"/>
        <rFont val="바탕체"/>
        <family val="1"/>
        <charset val="129"/>
      </rPr>
      <t>후평</t>
    </r>
    <r>
      <rPr>
        <sz val="10"/>
        <color theme="1"/>
        <rFont val="Arial Narrow"/>
        <family val="2"/>
      </rPr>
      <t>3</t>
    </r>
    <r>
      <rPr>
        <sz val="10"/>
        <color theme="1"/>
        <rFont val="바탕체"/>
        <family val="1"/>
        <charset val="129"/>
      </rPr>
      <t>동</t>
    </r>
  </si>
  <si>
    <r>
      <rPr>
        <sz val="10"/>
        <color theme="1"/>
        <rFont val="바탕체"/>
        <family val="1"/>
        <charset val="129"/>
      </rPr>
      <t>효자</t>
    </r>
    <r>
      <rPr>
        <sz val="10"/>
        <color theme="1"/>
        <rFont val="Arial Narrow"/>
        <family val="2"/>
      </rPr>
      <t>1</t>
    </r>
    <r>
      <rPr>
        <sz val="10"/>
        <color theme="1"/>
        <rFont val="바탕체"/>
        <family val="1"/>
        <charset val="129"/>
      </rPr>
      <t>동</t>
    </r>
    <phoneticPr fontId="9" type="noConversion"/>
  </si>
  <si>
    <r>
      <rPr>
        <sz val="10"/>
        <color theme="1"/>
        <rFont val="바탕체"/>
        <family val="1"/>
        <charset val="129"/>
      </rPr>
      <t>효자</t>
    </r>
    <r>
      <rPr>
        <sz val="10"/>
        <color theme="1"/>
        <rFont val="Arial Narrow"/>
        <family val="2"/>
      </rPr>
      <t>2</t>
    </r>
    <r>
      <rPr>
        <sz val="10"/>
        <color theme="1"/>
        <rFont val="바탕체"/>
        <family val="1"/>
        <charset val="129"/>
      </rPr>
      <t>동</t>
    </r>
  </si>
  <si>
    <r>
      <rPr>
        <sz val="10"/>
        <color theme="1"/>
        <rFont val="바탕체"/>
        <family val="1"/>
        <charset val="129"/>
      </rPr>
      <t>효자</t>
    </r>
    <r>
      <rPr>
        <sz val="10"/>
        <color theme="1"/>
        <rFont val="Arial Narrow"/>
        <family val="2"/>
      </rPr>
      <t>3</t>
    </r>
    <r>
      <rPr>
        <sz val="10"/>
        <color theme="1"/>
        <rFont val="바탕체"/>
        <family val="1"/>
        <charset val="129"/>
      </rPr>
      <t>동</t>
    </r>
  </si>
  <si>
    <r>
      <rPr>
        <sz val="10"/>
        <color theme="1"/>
        <rFont val="바탕체"/>
        <family val="1"/>
        <charset val="129"/>
      </rPr>
      <t>석사동</t>
    </r>
    <phoneticPr fontId="9" type="noConversion"/>
  </si>
  <si>
    <r>
      <rPr>
        <sz val="10"/>
        <color theme="1"/>
        <rFont val="바탕체"/>
        <family val="1"/>
        <charset val="129"/>
      </rPr>
      <t>퇴계동</t>
    </r>
    <phoneticPr fontId="9" type="noConversion"/>
  </si>
  <si>
    <r>
      <rPr>
        <sz val="10"/>
        <color theme="1"/>
        <rFont val="바탕체"/>
        <family val="1"/>
        <charset val="129"/>
      </rPr>
      <t>강남동</t>
    </r>
  </si>
  <si>
    <t xml:space="preserve">Health and Social Security  </t>
    <phoneticPr fontId="203" type="noConversion"/>
  </si>
  <si>
    <t xml:space="preserve">Health and Social Security   </t>
    <phoneticPr fontId="204" type="noConversion"/>
  </si>
  <si>
    <r>
      <t xml:space="preserve"> </t>
    </r>
    <r>
      <rPr>
        <sz val="10"/>
        <rFont val="바탕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사회보장</t>
    </r>
    <phoneticPr fontId="9" type="noConversion"/>
  </si>
  <si>
    <t xml:space="preserve">Health and Social Security  </t>
    <phoneticPr fontId="9" type="noConversion"/>
  </si>
  <si>
    <t>보건및 사회보장</t>
    <phoneticPr fontId="3" type="noConversion"/>
  </si>
  <si>
    <r>
      <t>연   별</t>
    </r>
    <r>
      <rPr>
        <sz val="10"/>
        <rFont val="Arial Narrow"/>
        <family val="2"/>
      </rPr>
      <t/>
    </r>
    <phoneticPr fontId="9" type="noConversion"/>
  </si>
  <si>
    <r>
      <rPr>
        <sz val="11"/>
        <color theme="1"/>
        <rFont val="바탕체"/>
        <family val="1"/>
        <charset val="129"/>
      </rPr>
      <t>국가유공자</t>
    </r>
    <r>
      <rPr>
        <sz val="11"/>
        <color theme="1"/>
        <rFont val="Arial Narrow"/>
        <family val="2"/>
      </rPr>
      <t xml:space="preserve">  </t>
    </r>
    <phoneticPr fontId="9" type="noConversion"/>
  </si>
  <si>
    <r>
      <rPr>
        <sz val="11"/>
        <color theme="1"/>
        <rFont val="바탕체"/>
        <family val="1"/>
        <charset val="129"/>
      </rPr>
      <t>기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바탕체"/>
        <family val="1"/>
        <charset val="129"/>
      </rPr>
      <t>타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바탕체"/>
        <family val="1"/>
        <charset val="129"/>
      </rPr>
      <t>대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바탕체"/>
        <family val="1"/>
        <charset val="129"/>
      </rPr>
      <t>상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바탕체"/>
        <family val="1"/>
        <charset val="129"/>
      </rPr>
      <t>자</t>
    </r>
    <r>
      <rPr>
        <sz val="11"/>
        <color theme="1"/>
        <rFont val="Arial Narrow"/>
        <family val="2"/>
      </rPr>
      <t xml:space="preserve">         Others</t>
    </r>
    <phoneticPr fontId="9" type="noConversion"/>
  </si>
  <si>
    <r>
      <rPr>
        <sz val="11"/>
        <color theme="1"/>
        <rFont val="바탕체"/>
        <family val="1"/>
        <charset val="129"/>
      </rPr>
      <t>합</t>
    </r>
    <r>
      <rPr>
        <sz val="11"/>
        <color theme="1"/>
        <rFont val="Arial Narrow"/>
        <family val="2"/>
      </rPr>
      <t xml:space="preserve">      </t>
    </r>
    <r>
      <rPr>
        <sz val="11"/>
        <color theme="1"/>
        <rFont val="바탕체"/>
        <family val="1"/>
        <charset val="129"/>
      </rPr>
      <t>계</t>
    </r>
    <phoneticPr fontId="9" type="noConversion"/>
  </si>
  <si>
    <r>
      <rPr>
        <sz val="11"/>
        <color theme="1"/>
        <rFont val="바탕체"/>
        <family val="1"/>
        <charset val="129"/>
      </rPr>
      <t>유</t>
    </r>
    <r>
      <rPr>
        <sz val="11"/>
        <color theme="1"/>
        <rFont val="Arial Narrow"/>
        <family val="2"/>
      </rPr>
      <t xml:space="preserve">    </t>
    </r>
    <r>
      <rPr>
        <sz val="11"/>
        <color theme="1"/>
        <rFont val="바탕체"/>
        <family val="1"/>
        <charset val="129"/>
      </rPr>
      <t>족</t>
    </r>
    <r>
      <rPr>
        <sz val="11"/>
        <color theme="1"/>
        <rFont val="Arial Narrow"/>
        <family val="2"/>
      </rPr>
      <t xml:space="preserve"> </t>
    </r>
    <phoneticPr fontId="9" type="noConversion"/>
  </si>
  <si>
    <r>
      <t>연   별</t>
    </r>
    <r>
      <rPr>
        <sz val="10"/>
        <rFont val="Arial Narrow"/>
        <family val="2"/>
      </rPr>
      <t/>
    </r>
    <phoneticPr fontId="9" type="noConversion"/>
  </si>
  <si>
    <t>6·25 참전</t>
    <phoneticPr fontId="9" type="noConversion"/>
  </si>
  <si>
    <t>6·25 및 월남전</t>
    <phoneticPr fontId="9" type="noConversion"/>
  </si>
  <si>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r>
      <rPr>
        <sz val="10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</t>
    </r>
    <phoneticPr fontId="9" type="noConversion"/>
  </si>
  <si>
    <t>Residential Welfare Facilities for the Elderly</t>
    <phoneticPr fontId="5" type="noConversion"/>
  </si>
  <si>
    <r>
      <t xml:space="preserve"> </t>
    </r>
    <r>
      <rPr>
        <sz val="10"/>
        <rFont val="바탕체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체"/>
        <family val="1"/>
        <charset val="129"/>
      </rPr>
      <t>사회보장</t>
    </r>
    <phoneticPr fontId="9" type="noConversion"/>
  </si>
  <si>
    <t xml:space="preserve">Health and Social Security   </t>
  </si>
  <si>
    <t>재 가 노 인 복 지 시 설(속)</t>
    <phoneticPr fontId="9" type="noConversion"/>
  </si>
  <si>
    <t>Community Care Facilities for the Elderly(Cont'd)</t>
    <phoneticPr fontId="4" type="noConversion"/>
  </si>
  <si>
    <t>보건 및 사회보장</t>
    <phoneticPr fontId="3" type="noConversion"/>
  </si>
  <si>
    <t xml:space="preserve">여 성 복 지 시 설(속) </t>
    <phoneticPr fontId="9" type="noConversion"/>
  </si>
  <si>
    <t>Women's Welfare Facilities(Cont'd)</t>
    <phoneticPr fontId="5" type="noConversion"/>
  </si>
  <si>
    <t>여 성 폭 력 상 담(속)</t>
    <phoneticPr fontId="9" type="noConversion"/>
  </si>
  <si>
    <t>Counseling for Violence Against Women(Cont'd)</t>
    <phoneticPr fontId="9" type="noConversion"/>
  </si>
  <si>
    <t>기 타</t>
    <phoneticPr fontId="3" type="noConversion"/>
  </si>
  <si>
    <t>기 타</t>
    <phoneticPr fontId="3" type="noConversion"/>
  </si>
  <si>
    <t xml:space="preserve">장 애 인  등 록 현 황(속) </t>
    <phoneticPr fontId="6" type="noConversion"/>
  </si>
  <si>
    <t xml:space="preserve"> Registered Disabled Persons(Cont'd)</t>
    <phoneticPr fontId="6" type="noConversion"/>
  </si>
  <si>
    <t xml:space="preserve">Health and Social Security  </t>
    <phoneticPr fontId="3" type="noConversion"/>
  </si>
  <si>
    <t>연 별</t>
    <phoneticPr fontId="9" type="noConversion"/>
  </si>
  <si>
    <r>
      <rPr>
        <sz val="10"/>
        <rFont val="바탕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사회보장</t>
    </r>
    <phoneticPr fontId="3" type="noConversion"/>
  </si>
  <si>
    <r>
      <rPr>
        <sz val="9"/>
        <rFont val="돋움"/>
        <family val="3"/>
        <charset val="129"/>
      </rPr>
      <t>단위</t>
    </r>
    <r>
      <rPr>
        <sz val="9"/>
        <rFont val="Arial Narrow"/>
        <family val="2"/>
      </rPr>
      <t xml:space="preserve"> : </t>
    </r>
    <r>
      <rPr>
        <sz val="9"/>
        <rFont val="돋움"/>
        <family val="3"/>
        <charset val="129"/>
      </rPr>
      <t>개</t>
    </r>
    <phoneticPr fontId="3" type="noConversion"/>
  </si>
  <si>
    <t>6. 식 품 위 생 관 계 업 소
Food Establishments</t>
    <phoneticPr fontId="3" type="noConversion"/>
  </si>
  <si>
    <r>
      <rPr>
        <sz val="10"/>
        <rFont val="바탕"/>
        <family val="1"/>
        <charset val="129"/>
      </rPr>
      <t>보건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및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사회보장</t>
    </r>
    <phoneticPr fontId="9" type="noConversion"/>
  </si>
  <si>
    <t>결 핵 환 자 현 황(속)</t>
    <phoneticPr fontId="5" type="noConversion"/>
  </si>
  <si>
    <t xml:space="preserve">Tuberculosis Patients(Cont'd) </t>
    <phoneticPr fontId="3" type="noConversion"/>
  </si>
  <si>
    <t>건강생활</t>
    <phoneticPr fontId="9" type="noConversion"/>
  </si>
  <si>
    <t>지원센터</t>
    <phoneticPr fontId="3" type="noConversion"/>
  </si>
  <si>
    <t>Community</t>
    <phoneticPr fontId="3" type="noConversion"/>
  </si>
  <si>
    <t>Health</t>
    <phoneticPr fontId="3" type="noConversion"/>
  </si>
  <si>
    <t>Promotion Center</t>
    <phoneticPr fontId="3" type="noConversion"/>
  </si>
  <si>
    <t xml:space="preserve"> Physicians</t>
  </si>
  <si>
    <t>Technologists</t>
    <phoneticPr fontId="9" type="noConversion"/>
  </si>
  <si>
    <t>보건의료정보
관리사</t>
    <phoneticPr fontId="3" type="noConversion"/>
  </si>
  <si>
    <t>Heaith Information</t>
    <phoneticPr fontId="9" type="noConversion"/>
  </si>
  <si>
    <t>자립</t>
    <phoneticPr fontId="3" type="noConversion"/>
  </si>
  <si>
    <t xml:space="preserve">Self </t>
    <phoneticPr fontId="3" type="noConversion"/>
  </si>
  <si>
    <t>independence</t>
  </si>
  <si>
    <t>자료: 국민건강보험공단 「건강보험통계」</t>
    <phoneticPr fontId="3" type="noConversion"/>
  </si>
  <si>
    <r>
      <rPr>
        <sz val="10"/>
        <color theme="1"/>
        <rFont val="바탕체"/>
        <family val="1"/>
        <charset val="129"/>
      </rPr>
      <t>의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>사</t>
    </r>
    <r>
      <rPr>
        <sz val="10"/>
        <color theme="1"/>
        <rFont val="Arial Narrow"/>
        <family val="2"/>
      </rPr>
      <t xml:space="preserve">    </t>
    </r>
    <phoneticPr fontId="9" type="noConversion"/>
  </si>
  <si>
    <r>
      <t>약  사</t>
    </r>
    <r>
      <rPr>
        <vertAlign val="superscript"/>
        <sz val="10"/>
        <color theme="1"/>
        <rFont val="바탕체"/>
        <family val="1"/>
        <charset val="129"/>
      </rPr>
      <t>1)</t>
    </r>
    <phoneticPr fontId="9" type="noConversion"/>
  </si>
  <si>
    <t>작업
치료사
Occupational
therapists</t>
  </si>
  <si>
    <t>신종감염병증후군</t>
  </si>
  <si>
    <t>발  생</t>
  </si>
  <si>
    <t>사  망</t>
  </si>
  <si>
    <t>Cases</t>
  </si>
  <si>
    <t>Deaths</t>
  </si>
  <si>
    <t>에볼라
바이러스병</t>
    <phoneticPr fontId="3" type="noConversion"/>
  </si>
  <si>
    <t>마버그열</t>
  </si>
  <si>
    <t>라싸열</t>
  </si>
  <si>
    <t>크리미안
콩고출혈열</t>
    <phoneticPr fontId="3" type="noConversion"/>
  </si>
  <si>
    <t>Crimean-congo hemorrhagic fever</t>
    <phoneticPr fontId="3" type="noConversion"/>
  </si>
  <si>
    <t>Lassa fever</t>
    <phoneticPr fontId="3" type="noConversion"/>
  </si>
  <si>
    <t>Marburg fever</t>
    <phoneticPr fontId="3" type="noConversion"/>
  </si>
  <si>
    <t>Ebola virus</t>
    <phoneticPr fontId="3" type="noConversion"/>
  </si>
  <si>
    <t>남아메리카
출혈열</t>
    <phoneticPr fontId="3" type="noConversion"/>
  </si>
  <si>
    <t>South American hemorrhagic fever</t>
    <phoneticPr fontId="3" type="noConversion"/>
  </si>
  <si>
    <t>리프트
밸리열</t>
    <phoneticPr fontId="3" type="noConversion"/>
  </si>
  <si>
    <t>두창</t>
    <phoneticPr fontId="3" type="noConversion"/>
  </si>
  <si>
    <t>페스트</t>
    <phoneticPr fontId="3" type="noConversion"/>
  </si>
  <si>
    <t>탄저</t>
    <phoneticPr fontId="3" type="noConversion"/>
  </si>
  <si>
    <t>Rift valley fever</t>
    <phoneticPr fontId="3" type="noConversion"/>
  </si>
  <si>
    <t>Smallpox</t>
    <phoneticPr fontId="3" type="noConversion"/>
  </si>
  <si>
    <t>Plague</t>
    <phoneticPr fontId="3" type="noConversion"/>
  </si>
  <si>
    <t>Anthrax</t>
    <phoneticPr fontId="3" type="noConversion"/>
  </si>
  <si>
    <t>엠폭스</t>
    <phoneticPr fontId="3" type="noConversion"/>
  </si>
  <si>
    <t>…</t>
  </si>
  <si>
    <t>수용자</t>
    <phoneticPr fontId="9" type="noConversion"/>
  </si>
  <si>
    <t>보톨리눔
독소증</t>
    <phoneticPr fontId="3" type="noConversion"/>
  </si>
  <si>
    <t>공수병</t>
    <phoneticPr fontId="3" type="noConversion"/>
  </si>
  <si>
    <t>Rabies</t>
    <phoneticPr fontId="3" type="noConversion"/>
  </si>
  <si>
    <t xml:space="preserve">    - 보건의료정보관리사 추가(2023년부터)</t>
    <phoneticPr fontId="3" type="noConversion"/>
  </si>
  <si>
    <r>
      <rPr>
        <sz val="10"/>
        <color theme="1"/>
        <rFont val="바탕체"/>
        <family val="1"/>
        <charset val="129"/>
      </rPr>
      <t>지급건수</t>
    </r>
    <phoneticPr fontId="9" type="noConversion"/>
  </si>
  <si>
    <r>
      <rPr>
        <sz val="10"/>
        <color theme="1"/>
        <rFont val="바탕체"/>
        <family val="1"/>
        <charset val="129"/>
      </rPr>
      <t>진료비</t>
    </r>
    <phoneticPr fontId="9" type="noConversion"/>
  </si>
  <si>
    <r>
      <rPr>
        <sz val="10"/>
        <color theme="1"/>
        <rFont val="바탕체"/>
        <family val="1"/>
        <charset val="129"/>
      </rPr>
      <t>공단부담</t>
    </r>
    <phoneticPr fontId="9" type="noConversion"/>
  </si>
  <si>
    <r>
      <rPr>
        <sz val="10"/>
        <color theme="1"/>
        <rFont val="바탕체"/>
        <family val="1"/>
        <charset val="129"/>
      </rPr>
      <t>본인부담</t>
    </r>
    <phoneticPr fontId="9" type="noConversion"/>
  </si>
  <si>
    <r>
      <rPr>
        <sz val="11"/>
        <color theme="1"/>
        <rFont val="맑은 고딕"/>
        <family val="3"/>
        <charset val="129"/>
      </rPr>
      <t>입원</t>
    </r>
    <phoneticPr fontId="4" type="noConversion"/>
  </si>
  <si>
    <r>
      <rPr>
        <sz val="11"/>
        <color theme="1"/>
        <rFont val="맑은 고딕"/>
        <family val="3"/>
        <charset val="129"/>
      </rPr>
      <t>외래</t>
    </r>
    <phoneticPr fontId="4" type="noConversion"/>
  </si>
  <si>
    <r>
      <rPr>
        <sz val="11"/>
        <color theme="1"/>
        <rFont val="맑은 고딕"/>
        <family val="3"/>
        <charset val="129"/>
      </rPr>
      <t>약국</t>
    </r>
    <phoneticPr fontId="4" type="noConversion"/>
  </si>
  <si>
    <r>
      <t xml:space="preserve">   </t>
    </r>
    <r>
      <rPr>
        <sz val="10"/>
        <color theme="1"/>
        <rFont val="바탕"/>
        <family val="1"/>
        <charset val="129"/>
      </rPr>
      <t>보건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사회보장</t>
    </r>
    <phoneticPr fontId="9" type="noConversion"/>
  </si>
  <si>
    <r>
      <t xml:space="preserve">16. </t>
    </r>
    <r>
      <rPr>
        <b/>
        <sz val="20"/>
        <color theme="1"/>
        <rFont val="바탕체"/>
        <family val="1"/>
        <charset val="129"/>
      </rPr>
      <t>건강보험대상자</t>
    </r>
    <r>
      <rPr>
        <b/>
        <sz val="20"/>
        <color theme="1"/>
        <rFont val="Arial Narrow"/>
        <family val="2"/>
      </rPr>
      <t xml:space="preserve"> </t>
    </r>
    <r>
      <rPr>
        <b/>
        <sz val="20"/>
        <color theme="1"/>
        <rFont val="바탕체"/>
        <family val="1"/>
        <charset val="129"/>
      </rPr>
      <t>진료실적</t>
    </r>
    <phoneticPr fontId="9" type="noConversion"/>
  </si>
  <si>
    <r>
      <rPr>
        <sz val="10"/>
        <color theme="1"/>
        <rFont val="바탕체"/>
        <family val="1"/>
        <charset val="129"/>
      </rPr>
      <t>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수</t>
    </r>
    <phoneticPr fontId="9" type="noConversion"/>
  </si>
  <si>
    <r>
      <rPr>
        <sz val="10"/>
        <color theme="1"/>
        <rFont val="바탕체"/>
        <family val="1"/>
        <charset val="129"/>
      </rPr>
      <t>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별</t>
    </r>
    <phoneticPr fontId="9" type="noConversion"/>
  </si>
  <si>
    <r>
      <rPr>
        <sz val="10"/>
        <color theme="1"/>
        <rFont val="바탕체"/>
        <family val="1"/>
        <charset val="129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원</t>
    </r>
    <r>
      <rPr>
        <vertAlign val="superscript"/>
        <sz val="10"/>
        <color theme="1"/>
        <rFont val="Arial Narrow"/>
        <family val="2"/>
      </rPr>
      <t>1)</t>
    </r>
    <phoneticPr fontId="9" type="noConversion"/>
  </si>
  <si>
    <r>
      <rPr>
        <sz val="10"/>
        <color theme="1"/>
        <rFont val="바탕체"/>
        <family val="1"/>
        <charset val="129"/>
      </rPr>
      <t>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료</t>
    </r>
    <phoneticPr fontId="9" type="noConversion"/>
  </si>
  <si>
    <r>
      <t xml:space="preserve">  </t>
    </r>
    <r>
      <rPr>
        <sz val="9"/>
        <color theme="1"/>
        <rFont val="바탕체"/>
        <family val="1"/>
        <charset val="129"/>
      </rPr>
      <t>주</t>
    </r>
    <r>
      <rPr>
        <sz val="9"/>
        <color theme="1"/>
        <rFont val="Arial Narrow"/>
        <family val="2"/>
      </rPr>
      <t xml:space="preserve"> 1) </t>
    </r>
    <r>
      <rPr>
        <sz val="9"/>
        <color theme="1"/>
        <rFont val="바탕체"/>
        <family val="1"/>
        <charset val="129"/>
      </rPr>
      <t>지급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바탕체"/>
        <family val="1"/>
        <charset val="129"/>
      </rPr>
      <t>기준</t>
    </r>
    <r>
      <rPr>
        <sz val="9"/>
        <color theme="1"/>
        <rFont val="Arial Narrow"/>
        <family val="2"/>
      </rPr>
      <t>/</t>
    </r>
    <r>
      <rPr>
        <sz val="9"/>
        <color theme="1"/>
        <rFont val="바탕체"/>
        <family val="1"/>
        <charset val="129"/>
      </rPr>
      <t>약국의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바탕체"/>
        <family val="1"/>
        <charset val="129"/>
      </rPr>
      <t>처방조제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바탕체"/>
        <family val="1"/>
        <charset val="129"/>
      </rPr>
      <t>내원일수는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바탕체"/>
        <family val="1"/>
        <charset val="129"/>
      </rPr>
      <t>합계의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바탕체"/>
        <family val="1"/>
        <charset val="129"/>
      </rPr>
      <t>내원일수에서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바탕체"/>
        <family val="1"/>
        <charset val="129"/>
      </rPr>
      <t>제외함</t>
    </r>
    <phoneticPr fontId="3" type="noConversion"/>
  </si>
  <si>
    <r>
      <rPr>
        <sz val="9"/>
        <color theme="1"/>
        <rFont val="바탕체"/>
        <family val="1"/>
        <charset val="129"/>
      </rPr>
      <t>자료</t>
    </r>
    <r>
      <rPr>
        <sz val="9"/>
        <color theme="1"/>
        <rFont val="Arial Narrow"/>
        <family val="2"/>
      </rPr>
      <t xml:space="preserve"> : </t>
    </r>
    <r>
      <rPr>
        <sz val="9"/>
        <color theme="1"/>
        <rFont val="바탕체"/>
        <family val="1"/>
        <charset val="129"/>
      </rPr>
      <t>국민건강보험공단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바탕체"/>
        <family val="1"/>
        <charset val="129"/>
      </rPr>
      <t>「건강보험통계」</t>
    </r>
    <phoneticPr fontId="3" type="noConversion"/>
  </si>
  <si>
    <t>보건의료
정보관리사
Health care
information
manager</t>
    <phoneticPr fontId="3" type="noConversion"/>
  </si>
  <si>
    <t>보건의료
정보
관리사
Health care
information
manager</t>
    <phoneticPr fontId="3" type="noConversion"/>
  </si>
  <si>
    <t>MPOX</t>
    <phoneticPr fontId="3" type="noConversion"/>
  </si>
  <si>
    <t>지   역</t>
    <phoneticPr fontId="9" type="noConversion"/>
  </si>
  <si>
    <t>inmates as</t>
  </si>
  <si>
    <t>of year-end</t>
  </si>
  <si>
    <t>계</t>
    <phoneticPr fontId="3" type="noConversion"/>
  </si>
  <si>
    <t>Total</t>
    <phoneticPr fontId="3" type="noConversion"/>
  </si>
  <si>
    <t xml:space="preserve">  </t>
    <phoneticPr fontId="3" type="noConversion"/>
  </si>
  <si>
    <r>
      <rPr>
        <sz val="10"/>
        <rFont val="돋움"/>
        <family val="3"/>
        <charset val="129"/>
      </rPr>
      <t xml:space="preserve">코로나
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바이러스
감염증</t>
    </r>
    <r>
      <rPr>
        <sz val="10"/>
        <rFont val="Arial Narrow"/>
        <family val="2"/>
      </rPr>
      <t>-19</t>
    </r>
    <phoneticPr fontId="3" type="noConversion"/>
  </si>
  <si>
    <t>COVID-19</t>
    <phoneticPr fontId="3" type="noConversion"/>
  </si>
  <si>
    <r>
      <rPr>
        <sz val="10"/>
        <color theme="1"/>
        <rFont val="돋움"/>
        <family val="3"/>
        <charset val="129"/>
      </rPr>
      <t>제</t>
    </r>
    <r>
      <rPr>
        <sz val="10"/>
        <color theme="1"/>
        <rFont val="Arial Narrow"/>
        <family val="2"/>
      </rPr>
      <t xml:space="preserve"> 4  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돋움"/>
        <family val="3"/>
        <charset val="129"/>
      </rPr>
      <t>감염병</t>
    </r>
    <phoneticPr fontId="3" type="noConversion"/>
  </si>
  <si>
    <r>
      <t xml:space="preserve">Class </t>
    </r>
    <r>
      <rPr>
        <sz val="10"/>
        <color theme="1"/>
        <rFont val="바탕체"/>
        <family val="1"/>
        <charset val="129"/>
      </rPr>
      <t>Ⅳ</t>
    </r>
    <phoneticPr fontId="3" type="noConversion"/>
  </si>
  <si>
    <r>
      <rPr>
        <sz val="10"/>
        <color theme="1"/>
        <rFont val="돋움"/>
        <family val="3"/>
        <charset val="129"/>
      </rPr>
      <t>제</t>
    </r>
    <r>
      <rPr>
        <sz val="10"/>
        <color theme="1"/>
        <rFont val="Arial Narrow"/>
        <family val="2"/>
      </rPr>
      <t xml:space="preserve"> 3 </t>
    </r>
    <r>
      <rPr>
        <sz val="10"/>
        <color theme="1"/>
        <rFont val="돋움"/>
        <family val="3"/>
        <charset val="129"/>
      </rPr>
      <t>급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돋움"/>
        <family val="3"/>
        <charset val="129"/>
      </rPr>
      <t>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염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돋움"/>
        <family val="3"/>
        <charset val="129"/>
      </rPr>
      <t>병</t>
    </r>
    <r>
      <rPr>
        <sz val="10"/>
        <color theme="1"/>
        <rFont val="Arial Narrow"/>
        <family val="2"/>
      </rPr>
      <t xml:space="preserve">       </t>
    </r>
    <phoneticPr fontId="3" type="noConversion"/>
  </si>
  <si>
    <r>
      <rPr>
        <sz val="10"/>
        <color theme="1"/>
        <rFont val="굴림"/>
        <family val="3"/>
        <charset val="129"/>
      </rPr>
      <t xml:space="preserve">
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굴림"/>
        <family val="3"/>
        <charset val="129"/>
      </rPr>
      <t>별</t>
    </r>
    <phoneticPr fontId="3" type="noConversion"/>
  </si>
  <si>
    <r>
      <rPr>
        <sz val="10"/>
        <color theme="1"/>
        <rFont val="바탕체"/>
        <family val="1"/>
        <charset val="129"/>
      </rPr>
      <t>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계
</t>
    </r>
    <r>
      <rPr>
        <sz val="10"/>
        <color theme="1"/>
        <rFont val="Arial Narrow"/>
        <family val="2"/>
      </rPr>
      <t>Total</t>
    </r>
    <phoneticPr fontId="3" type="noConversion"/>
  </si>
  <si>
    <r>
      <rPr>
        <sz val="10"/>
        <color theme="1"/>
        <rFont val="바탕체"/>
        <family val="1"/>
        <charset val="129"/>
      </rPr>
      <t xml:space="preserve">소장
</t>
    </r>
    <r>
      <rPr>
        <sz val="10"/>
        <color theme="1"/>
        <rFont val="Arial Narrow"/>
        <family val="2"/>
      </rPr>
      <t xml:space="preserve">Directors </t>
    </r>
    <phoneticPr fontId="199" type="noConversion"/>
  </si>
  <si>
    <r>
      <rPr>
        <sz val="10"/>
        <color theme="1"/>
        <rFont val="바탕체"/>
        <family val="1"/>
        <charset val="129"/>
      </rPr>
      <t>의사</t>
    </r>
    <r>
      <rPr>
        <sz val="10"/>
        <color theme="1"/>
        <rFont val="Arial Narrow"/>
        <family val="2"/>
      </rPr>
      <t xml:space="preserve"> 
Physicians</t>
    </r>
    <phoneticPr fontId="3" type="noConversion"/>
  </si>
  <si>
    <r>
      <rPr>
        <sz val="10"/>
        <color theme="1"/>
        <rFont val="바탕체"/>
        <family val="1"/>
        <charset val="129"/>
      </rPr>
      <t xml:space="preserve">치과의사
</t>
    </r>
    <r>
      <rPr>
        <sz val="10"/>
        <color theme="1"/>
        <rFont val="Arial Narrow"/>
        <family val="2"/>
      </rPr>
      <t xml:space="preserve">Dental officers 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</si>
  <si>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한의사
</t>
    </r>
    <r>
      <rPr>
        <sz val="10"/>
        <color theme="1"/>
        <rFont val="Arial Narrow"/>
        <family val="2"/>
      </rPr>
      <t>Oriental medical officers</t>
    </r>
    <phoneticPr fontId="199" type="noConversion"/>
  </si>
  <si>
    <r>
      <rPr>
        <sz val="10"/>
        <color theme="1"/>
        <rFont val="바탕체"/>
        <family val="1"/>
        <charset val="129"/>
      </rPr>
      <t>약사</t>
    </r>
    <r>
      <rPr>
        <sz val="10"/>
        <color theme="1"/>
        <rFont val="Arial Narrow"/>
        <family val="2"/>
      </rPr>
      <t xml:space="preserve"> 
Pharmacists</t>
    </r>
    <phoneticPr fontId="3" type="noConversion"/>
  </si>
  <si>
    <r>
      <rPr>
        <sz val="10"/>
        <color theme="1"/>
        <rFont val="바탕체"/>
        <family val="1"/>
        <charset val="129"/>
      </rPr>
      <t xml:space="preserve">간호사
</t>
    </r>
    <r>
      <rPr>
        <sz val="10"/>
        <color theme="1"/>
        <rFont val="Arial Narrow"/>
        <family val="2"/>
      </rPr>
      <t xml:space="preserve">Nurses
</t>
    </r>
    <phoneticPr fontId="3" type="noConversion"/>
  </si>
  <si>
    <r>
      <rPr>
        <sz val="10"/>
        <color theme="1"/>
        <rFont val="바탕체"/>
        <family val="1"/>
        <charset val="129"/>
      </rPr>
      <t xml:space="preserve">영양사
</t>
    </r>
    <r>
      <rPr>
        <sz val="10"/>
        <color theme="1"/>
        <rFont val="Arial Narrow"/>
        <family val="2"/>
      </rPr>
      <t xml:space="preserve">Dietitians
</t>
    </r>
    <phoneticPr fontId="3" type="noConversion"/>
  </si>
  <si>
    <r>
      <rPr>
        <sz val="10"/>
        <color theme="1"/>
        <rFont val="돋움"/>
        <family val="3"/>
        <charset val="129"/>
      </rPr>
      <t xml:space="preserve">보건
교육사
</t>
    </r>
    <r>
      <rPr>
        <sz val="10"/>
        <color theme="1"/>
        <rFont val="Arial Narrow"/>
        <family val="2"/>
      </rPr>
      <t>Health education specialist</t>
    </r>
    <phoneticPr fontId="3" type="noConversion"/>
  </si>
  <si>
    <r>
      <rPr>
        <sz val="10"/>
        <color theme="1"/>
        <rFont val="바탕체"/>
        <family val="1"/>
        <charset val="129"/>
      </rPr>
      <t>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사
</t>
    </r>
    <r>
      <rPr>
        <sz val="10"/>
        <color theme="1"/>
        <rFont val="Arial Narrow"/>
        <family val="2"/>
      </rPr>
      <t>Medical technicians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</si>
  <si>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의사
</t>
    </r>
    <r>
      <rPr>
        <sz val="10"/>
        <color theme="1"/>
        <rFont val="Arial Narrow"/>
        <family val="2"/>
      </rPr>
      <t xml:space="preserve">Physician </t>
    </r>
    <phoneticPr fontId="199" type="noConversion"/>
  </si>
  <si>
    <r>
      <rPr>
        <sz val="10"/>
        <color theme="1"/>
        <rFont val="바탕체"/>
        <family val="1"/>
        <charset val="129"/>
      </rPr>
      <t>의사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외
</t>
    </r>
    <r>
      <rPr>
        <sz val="10"/>
        <color theme="1"/>
        <rFont val="Arial Narrow"/>
        <family val="2"/>
      </rPr>
      <t>Non-physician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</si>
  <si>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의무직
</t>
    </r>
    <r>
      <rPr>
        <sz val="10"/>
        <color theme="1"/>
        <rFont val="Arial Narrow"/>
        <family val="2"/>
      </rPr>
      <t xml:space="preserve">Medical officers 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</si>
  <si>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계약직
</t>
    </r>
    <r>
      <rPr>
        <sz val="10"/>
        <color theme="1"/>
        <rFont val="Arial Narrow"/>
        <family val="2"/>
      </rPr>
      <t>Temporary medical officers</t>
    </r>
    <phoneticPr fontId="199" type="noConversion"/>
  </si>
  <si>
    <r>
      <rPr>
        <sz val="10"/>
        <color theme="1"/>
        <rFont val="바탕체"/>
        <family val="1"/>
        <charset val="129"/>
      </rPr>
      <t>공중</t>
    </r>
    <r>
      <rPr>
        <sz val="10"/>
        <color theme="1"/>
        <rFont val="Arial Narrow"/>
        <family val="2"/>
      </rPr>
      <t xml:space="preserve"> 
</t>
    </r>
    <r>
      <rPr>
        <sz val="10"/>
        <color theme="1"/>
        <rFont val="바탕체"/>
        <family val="1"/>
        <charset val="129"/>
      </rPr>
      <t xml:space="preserve">보건의
</t>
    </r>
    <r>
      <rPr>
        <sz val="10"/>
        <color theme="1"/>
        <rFont val="Arial Narrow"/>
        <family val="2"/>
      </rPr>
      <t>Public health doctors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</si>
  <si>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일반
</t>
    </r>
    <r>
      <rPr>
        <sz val="10"/>
        <color theme="1"/>
        <rFont val="Arial Narrow"/>
        <family val="2"/>
      </rPr>
      <t xml:space="preserve">Dental officer
</t>
    </r>
    <phoneticPr fontId="3" type="noConversion"/>
  </si>
  <si>
    <r>
      <rPr>
        <sz val="10"/>
        <color theme="1"/>
        <rFont val="바탕체"/>
        <family val="1"/>
        <charset val="129"/>
      </rPr>
      <t xml:space="preserve">공중
보건의
</t>
    </r>
    <r>
      <rPr>
        <sz val="10"/>
        <color theme="1"/>
        <rFont val="Arial Narrow"/>
        <family val="2"/>
      </rPr>
      <t>Public health dentist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</si>
  <si>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일반
</t>
    </r>
    <r>
      <rPr>
        <sz val="10"/>
        <color theme="1"/>
        <rFont val="Arial Narrow"/>
        <family val="2"/>
      </rPr>
      <t>Oriental medical officer</t>
    </r>
    <phoneticPr fontId="3" type="noConversion"/>
  </si>
  <si>
    <r>
      <rPr>
        <sz val="10"/>
        <color theme="1"/>
        <rFont val="바탕체"/>
        <family val="1"/>
        <charset val="129"/>
      </rPr>
      <t xml:space="preserve">공중
보건의
</t>
    </r>
    <r>
      <rPr>
        <sz val="10"/>
        <color theme="1"/>
        <rFont val="Arial Narrow"/>
        <family val="2"/>
      </rPr>
      <t>Public health OMDs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</si>
  <si>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방사선사
</t>
    </r>
    <r>
      <rPr>
        <sz val="10"/>
        <color theme="1"/>
        <rFont val="Arial Narrow"/>
        <family val="2"/>
      </rPr>
      <t>Radiological 
technicians</t>
    </r>
    <phoneticPr fontId="3" type="noConversion"/>
  </si>
  <si>
    <r>
      <rPr>
        <sz val="10"/>
        <color theme="1"/>
        <rFont val="바탕체"/>
        <family val="1"/>
        <charset val="129"/>
      </rPr>
      <t>임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상
병리사</t>
    </r>
    <r>
      <rPr>
        <sz val="10"/>
        <color theme="1"/>
        <rFont val="Arial Narrow"/>
        <family val="2"/>
      </rPr>
      <t xml:space="preserve"> 
Clinical pathologists</t>
    </r>
    <phoneticPr fontId="3" type="noConversion"/>
  </si>
  <si>
    <r>
      <rPr>
        <sz val="10"/>
        <color theme="1"/>
        <rFont val="바탕체"/>
        <family val="1"/>
        <charset val="129"/>
      </rPr>
      <t>치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 xml:space="preserve">과
위생사
</t>
    </r>
    <r>
      <rPr>
        <sz val="10"/>
        <color theme="1"/>
        <rFont val="Arial Narrow"/>
        <family val="2"/>
      </rPr>
      <t xml:space="preserve"> 
 Dental hygienists </t>
    </r>
    <phoneticPr fontId="3" type="noConversion"/>
  </si>
  <si>
    <r>
      <rPr>
        <sz val="10"/>
        <color theme="1"/>
        <rFont val="바탕체"/>
        <family val="1"/>
        <charset val="129"/>
      </rPr>
      <t>물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 xml:space="preserve">리
치료사
</t>
    </r>
    <r>
      <rPr>
        <sz val="10"/>
        <color theme="1"/>
        <rFont val="Arial Narrow"/>
        <family val="2"/>
      </rPr>
      <t>Physical therapists</t>
    </r>
    <phoneticPr fontId="3" type="noConversion"/>
  </si>
  <si>
    <r>
      <rPr>
        <sz val="10"/>
        <color theme="1"/>
        <rFont val="바탕체"/>
        <family val="1"/>
        <charset val="129"/>
      </rPr>
      <t>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사
</t>
    </r>
    <r>
      <rPr>
        <sz val="10"/>
        <color theme="1"/>
        <rFont val="Arial Narrow"/>
        <family val="2"/>
      </rPr>
      <t>Medical Technicians</t>
    </r>
    <phoneticPr fontId="3" type="noConversion"/>
  </si>
  <si>
    <r>
      <rPr>
        <sz val="10"/>
        <color theme="1"/>
        <rFont val="바탕체"/>
        <family val="1"/>
        <charset val="129"/>
      </rPr>
      <t xml:space="preserve">방사선사
</t>
    </r>
    <r>
      <rPr>
        <sz val="10"/>
        <color theme="1"/>
        <rFont val="Arial Narrow"/>
        <family val="2"/>
      </rPr>
      <t>Radiological 
technicians</t>
    </r>
  </si>
  <si>
    <r>
      <rPr>
        <sz val="10"/>
        <color theme="1"/>
        <rFont val="바탕체"/>
        <family val="1"/>
        <charset val="129"/>
      </rPr>
      <t>임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>상
병리사</t>
    </r>
    <r>
      <rPr>
        <sz val="10"/>
        <color theme="1"/>
        <rFont val="Arial Narrow"/>
        <family val="2"/>
      </rPr>
      <t xml:space="preserve"> 
Clinical pathologists</t>
    </r>
  </si>
  <si>
    <r>
      <rPr>
        <sz val="10"/>
        <color theme="1"/>
        <rFont val="바탕체"/>
        <family val="1"/>
        <charset val="129"/>
      </rPr>
      <t>치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 xml:space="preserve">과
위생사
</t>
    </r>
    <r>
      <rPr>
        <sz val="10"/>
        <color theme="1"/>
        <rFont val="Arial Narrow"/>
        <family val="2"/>
      </rPr>
      <t xml:space="preserve"> 
 Dental hygienists </t>
    </r>
  </si>
  <si>
    <r>
      <rPr>
        <sz val="10"/>
        <color theme="1"/>
        <rFont val="바탕체"/>
        <family val="1"/>
        <charset val="129"/>
      </rPr>
      <t>물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 xml:space="preserve">리
치료사
</t>
    </r>
    <r>
      <rPr>
        <sz val="10"/>
        <color theme="1"/>
        <rFont val="Arial Narrow"/>
        <family val="2"/>
      </rPr>
      <t>Physical therapists</t>
    </r>
  </si>
  <si>
    <r>
      <rPr>
        <sz val="10"/>
        <color theme="1"/>
        <rFont val="돋움"/>
        <family val="3"/>
        <charset val="129"/>
      </rPr>
      <t xml:space="preserve">작업
치료사
</t>
    </r>
    <r>
      <rPr>
        <sz val="10"/>
        <color theme="1"/>
        <rFont val="Arial Narrow"/>
        <family val="2"/>
      </rPr>
      <t>Occupational
therapists</t>
    </r>
    <phoneticPr fontId="3" type="noConversion"/>
  </si>
  <si>
    <t>…</t>
    <phoneticPr fontId="3" type="noConversion"/>
  </si>
  <si>
    <t>자료: 보건운영과, 강원통계연보「감염병관리과」</t>
    <phoneticPr fontId="3" type="noConversion"/>
  </si>
  <si>
    <t xml:space="preserve"> 자료: 보건운영과, 강원통계연보「감염병관리과」  </t>
    <phoneticPr fontId="199" type="noConversion"/>
  </si>
  <si>
    <t>자료: 국민연금공단</t>
    <phoneticPr fontId="9" type="noConversion"/>
  </si>
  <si>
    <t>자료: 강원서부보훈지청</t>
    <phoneticPr fontId="3" type="noConversion"/>
  </si>
  <si>
    <t xml:space="preserve">  주: 2019년부터 서식변경</t>
    <phoneticPr fontId="3" type="noConversion"/>
  </si>
  <si>
    <t>자료: 대한적십자사 강원특별자치도지사</t>
    <phoneticPr fontId="9" type="noConversion"/>
  </si>
  <si>
    <t xml:space="preserve"> 자료: 고령사회정책과</t>
    <phoneticPr fontId="3" type="noConversion"/>
  </si>
  <si>
    <t xml:space="preserve">자료: 복지정책과, 강원통계연보「복지정책과」 </t>
    <phoneticPr fontId="9" type="noConversion"/>
  </si>
  <si>
    <t>자료: 고령사회정책과</t>
    <phoneticPr fontId="3" type="noConversion"/>
  </si>
  <si>
    <t xml:space="preserve"> 자료: 아동정책과</t>
    <phoneticPr fontId="3" type="noConversion"/>
  </si>
  <si>
    <t xml:space="preserve"> 자료: 장애인복지과</t>
    <phoneticPr fontId="3" type="noConversion"/>
  </si>
  <si>
    <t>자료: 장애인복지과</t>
    <phoneticPr fontId="9" type="noConversion"/>
  </si>
  <si>
    <t>자료: 아동정책과</t>
    <phoneticPr fontId="9" type="noConversion"/>
  </si>
  <si>
    <t xml:space="preserve"> 주: 정원기준 / 2020년부터 서식변경</t>
    <phoneticPr fontId="203" type="noConversion"/>
  </si>
  <si>
    <t xml:space="preserve">   - 보건의료정보관리사 추가(2023년부터)</t>
    <phoneticPr fontId="3" type="noConversion"/>
  </si>
  <si>
    <t>단위: 개소</t>
    <phoneticPr fontId="3" type="noConversion"/>
  </si>
  <si>
    <t>Unit: establishment</t>
    <phoneticPr fontId="3" type="noConversion"/>
  </si>
  <si>
    <t xml:space="preserve">  주: 1) 관광호텔 포함       </t>
    <phoneticPr fontId="9" type="noConversion"/>
  </si>
  <si>
    <t xml:space="preserve">  주: 사람유두종바이러스 2016년부터 추가</t>
    <phoneticPr fontId="9" type="noConversion"/>
  </si>
  <si>
    <t xml:space="preserve">      1) B.C.G.는 국가필수예방접종인 피내용 백신에 한함. 2017년은 임시예방접종에 따른 경피용백신 포함</t>
    <phoneticPr fontId="3" type="noConversion"/>
  </si>
  <si>
    <t xml:space="preserve">  주: 2020년 기준부터 감염병 분류체계 변경에 따라 감염병 분류명 및 항목 변경</t>
    <phoneticPr fontId="9" type="noConversion"/>
  </si>
  <si>
    <t xml:space="preserve">      (제1군~제4군 감염병 → 제1급~제4급 감염병)</t>
    <phoneticPr fontId="3" type="noConversion"/>
  </si>
  <si>
    <t xml:space="preserve">       - 신종감염병증후군 2급 감염병  → 1급 감염병으로 이동(2023년부터)</t>
    <phoneticPr fontId="3" type="noConversion"/>
  </si>
  <si>
    <t xml:space="preserve">       - 2020 보톨리눔 독소증(1) 외 2020~2021년 발생/사망 건수는 긴종감염병증후군(코로나19) 수치임</t>
    <phoneticPr fontId="3" type="noConversion"/>
  </si>
  <si>
    <t xml:space="preserve">       - 결핵 삭제(2021년부터), 원숭이두창 삭제(2023년부터)</t>
    <phoneticPr fontId="3" type="noConversion"/>
  </si>
  <si>
    <t xml:space="preserve">       - 코로나바이러스감염증-19: 제 4급 감염병으로 하향(2023.8.31.)</t>
    <phoneticPr fontId="3" type="noConversion"/>
  </si>
  <si>
    <t xml:space="preserve">  주: 1) 2014년 기준부터 한센병보건소 등록 → 한센사업대상자 현황으로 변경</t>
    <phoneticPr fontId="5" type="noConversion"/>
  </si>
  <si>
    <t xml:space="preserve">      2) 2014년 기준부터 한센사업대상자 거주지별, 한센사업대상자 서비스 지역별, 양성, </t>
    <phoneticPr fontId="3" type="noConversion"/>
  </si>
  <si>
    <t xml:space="preserve">         신규대상자 및 한센서비스대상자 재발관리 항목 추가</t>
    <phoneticPr fontId="5" type="noConversion"/>
  </si>
  <si>
    <t xml:space="preserve">   주: 1) 당해연도 신규 등록자 수임. </t>
    <phoneticPr fontId="4" type="noConversion"/>
  </si>
  <si>
    <t>주: 2021년부터 항목 변경, 직장은 근로자, 공무원, 사립학교 교직원 포함</t>
    <phoneticPr fontId="3" type="noConversion"/>
  </si>
  <si>
    <t>단위: 개소, 명</t>
    <phoneticPr fontId="9" type="noConversion"/>
  </si>
  <si>
    <t xml:space="preserve">  주: 2018년부터 차세대 시스템 개편으로 지역별 현황은 남녀구분이 되지않음</t>
    <phoneticPr fontId="3" type="noConversion"/>
  </si>
  <si>
    <t xml:space="preserve">      또한 유공자 본인과 유족만 구분하기 때문에 기존의 기타대상자 인원 분류가 불가능</t>
    <phoneticPr fontId="3" type="noConversion"/>
  </si>
  <si>
    <t>2023. 4. 1.</t>
    <phoneticPr fontId="3" type="noConversion"/>
  </si>
  <si>
    <t>2019. 4. 1.</t>
    <phoneticPr fontId="3" type="noConversion"/>
  </si>
  <si>
    <t xml:space="preserve">2020. 4. 1. </t>
    <phoneticPr fontId="3" type="noConversion"/>
  </si>
  <si>
    <t>2021. 4. 1.</t>
    <phoneticPr fontId="3" type="noConversion"/>
  </si>
  <si>
    <t>2022. 4. 1.</t>
    <phoneticPr fontId="3" type="noConversion"/>
  </si>
  <si>
    <t xml:space="preserve">2024. 4. 1. </t>
    <phoneticPr fontId="3" type="noConversion"/>
  </si>
  <si>
    <t>단위: 개소, 명</t>
    <phoneticPr fontId="3" type="noConversion"/>
  </si>
  <si>
    <t xml:space="preserve">  주: 1) 시설수 제외</t>
    <phoneticPr fontId="9" type="noConversion"/>
  </si>
  <si>
    <t xml:space="preserve">      2)2020년 부터 남녀 항목 추가</t>
    <phoneticPr fontId="3" type="noConversion"/>
  </si>
  <si>
    <t xml:space="preserve">  주: 1) 성폭력과 성매매피해의 상담소없는 상담건수는 가정폭력상담소와 통합운영한 실적임(2020년 항목추가)</t>
    <phoneticPr fontId="9" type="noConversion"/>
  </si>
  <si>
    <t xml:space="preserve">      2) 2021년부터  서식 변경</t>
    <phoneticPr fontId="3" type="noConversion"/>
  </si>
  <si>
    <t xml:space="preserve">   주: 2014년 통계부터 장애종류 분류 개편(지체 → 지체 및 뇌병변, 정신지체 → 지적 및 자폐)</t>
    <phoneticPr fontId="3" type="noConversion"/>
  </si>
  <si>
    <t xml:space="preserve">       - 2021년 통계표명 변경(기존 : 장애인복지 생활시설)</t>
    <phoneticPr fontId="3" type="noConversion"/>
  </si>
  <si>
    <t xml:space="preserve">  주: 1) 장애등급제(1~6급) 폐지되고 장애의 정도가 심한장애인(기존 1~3급), 심하지않은 장애인(기존 4~6급)으로 구분(시행 2019.7.1)</t>
    <phoneticPr fontId="9" type="noConversion"/>
  </si>
  <si>
    <t xml:space="preserve">  주: 1) 보건소 이하 제외</t>
    <phoneticPr fontId="3" type="noConversion"/>
  </si>
  <si>
    <t xml:space="preserve">      2) 군인병원 제외</t>
    <phoneticPr fontId="3" type="noConversion"/>
  </si>
  <si>
    <t>자료: 식품의약과</t>
    <phoneticPr fontId="3" type="noConversion"/>
  </si>
  <si>
    <t>자료: 식품의약과</t>
    <phoneticPr fontId="199" type="noConversion"/>
  </si>
  <si>
    <r>
      <t xml:space="preserve">      1) 2021</t>
    </r>
    <r>
      <rPr>
        <sz val="10"/>
        <rFont val="돋움"/>
        <family val="3"/>
        <charset val="129"/>
      </rPr>
      <t>년부터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통계표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항목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변경</t>
    </r>
    <r>
      <rPr>
        <sz val="10"/>
        <rFont val="Arial Narrow"/>
        <family val="2"/>
      </rPr>
      <t xml:space="preserve">: </t>
    </r>
    <r>
      <rPr>
        <sz val="10"/>
        <rFont val="돋움"/>
        <family val="3"/>
        <charset val="129"/>
      </rPr>
      <t>직장은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근로자</t>
    </r>
    <r>
      <rPr>
        <sz val="10"/>
        <rFont val="Arial Narrow"/>
        <family val="2"/>
      </rPr>
      <t xml:space="preserve">, </t>
    </r>
    <r>
      <rPr>
        <sz val="10"/>
        <rFont val="돋움"/>
        <family val="3"/>
        <charset val="129"/>
      </rPr>
      <t>공무원</t>
    </r>
    <r>
      <rPr>
        <sz val="10"/>
        <rFont val="Arial Narrow"/>
        <family val="2"/>
      </rPr>
      <t>(</t>
    </r>
    <r>
      <rPr>
        <sz val="10"/>
        <rFont val="돋움"/>
        <family val="3"/>
        <charset val="129"/>
      </rPr>
      <t>군인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포함</t>
    </r>
    <r>
      <rPr>
        <sz val="10"/>
        <rFont val="Arial Narrow"/>
        <family val="2"/>
      </rPr>
      <t xml:space="preserve">),  </t>
    </r>
    <r>
      <rPr>
        <sz val="10"/>
        <rFont val="돋움"/>
        <family val="3"/>
        <charset val="129"/>
      </rPr>
      <t>사립학교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교직원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포함</t>
    </r>
    <r>
      <rPr>
        <sz val="10"/>
        <rFont val="Arial Narrow"/>
        <family val="2"/>
      </rPr>
      <t>.</t>
    </r>
    <phoneticPr fontId="3" type="noConversion"/>
  </si>
  <si>
    <t>자료: 국민건강보험공단 「건강보험통계」</t>
    <phoneticPr fontId="9" type="noConversion"/>
  </si>
  <si>
    <t xml:space="preserve"> 자료: 고령사회정책과, 강원통계연보 「노인복지과」 </t>
    <phoneticPr fontId="3" type="noConversion"/>
  </si>
  <si>
    <t xml:space="preserve">  주: 1) 한부모가족지원법 상 한부모가족시설을 수록하되 여성관련 시설만 수록(부자가족복지시설 등은 제외)</t>
    <phoneticPr fontId="3" type="noConversion"/>
  </si>
  <si>
    <t>출산지원시설</t>
    <phoneticPr fontId="199" type="noConversion"/>
  </si>
  <si>
    <t>양육지원시설</t>
    <phoneticPr fontId="199" type="noConversion"/>
  </si>
  <si>
    <t>일시지원시설</t>
    <phoneticPr fontId="4" type="noConversion"/>
  </si>
  <si>
    <t>자료: 식품의약과</t>
    <phoneticPr fontId="204" type="noConversion"/>
  </si>
  <si>
    <t>Syphilis</t>
    <phoneticPr fontId="5" type="noConversion"/>
  </si>
  <si>
    <t>매독(선천성)</t>
    <phoneticPr fontId="5" type="noConversion"/>
  </si>
  <si>
    <t>매독</t>
    <phoneticPr fontId="5" type="noConversion"/>
  </si>
  <si>
    <t>…</t>
    <phoneticPr fontId="3" type="noConversion"/>
  </si>
  <si>
    <t>자료: 보건운영과, 강원통계연보「감염병관리과」</t>
    <phoneticPr fontId="199" type="noConversion"/>
  </si>
  <si>
    <t>자료: 보건운영과</t>
    <phoneticPr fontId="3" type="noConversion"/>
  </si>
  <si>
    <t>자료: 여성가족과</t>
    <phoneticPr fontId="9" type="noConversion"/>
  </si>
  <si>
    <t>-</t>
    <phoneticPr fontId="3" type="noConversion"/>
  </si>
  <si>
    <t>5. 의약품 등 제조업소 및 판매업소
Manufacturers and Dealers of Drugs, Medical Devices, Cosmetics, Etc.</t>
    <phoneticPr fontId="3" type="noConversion"/>
  </si>
  <si>
    <t>9-2. 주요 법정감염병 발생 및 사망(제3, 4급)</t>
    <phoneticPr fontId="9" type="noConversion"/>
  </si>
  <si>
    <t>35. 노숙인 생활시설 수 및 생활인원 현황</t>
    <phoneticPr fontId="9" type="noConversion"/>
  </si>
  <si>
    <t xml:space="preserve">  주: 1) 개인약국 약사 제외함</t>
    <phoneticPr fontId="204" type="noConversion"/>
  </si>
  <si>
    <t xml:space="preserve"> </t>
    <phoneticPr fontId="4" type="noConversion"/>
  </si>
  <si>
    <t xml:space="preserve">      3) 정신병원, 결핵병원, 한센병원 포함</t>
    <phoneticPr fontId="3" type="noConversion"/>
  </si>
  <si>
    <t>자료: 식품의약과/ 의약품안전나라(의약품 등 정보)/의료기기정보포털</t>
    <phoneticPr fontId="9" type="noConversion"/>
  </si>
  <si>
    <t xml:space="preserve">      2) 공중위생관리법(2016. 2. 3.)에 따라 기존 위생관리용역업이 건물위생관리업으로 변경됨</t>
    <phoneticPr fontId="3" type="noConversion"/>
  </si>
  <si>
    <r>
      <rPr>
        <sz val="10"/>
        <color theme="1"/>
        <rFont val="HY중고딕"/>
        <family val="1"/>
        <charset val="129"/>
      </rPr>
      <t>단위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HY중고딕"/>
        <family val="1"/>
        <charset val="129"/>
      </rPr>
      <t>건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HY중고딕"/>
        <family val="1"/>
        <charset val="129"/>
      </rPr>
      <t>일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HY중고딕"/>
        <family val="1"/>
        <charset val="129"/>
      </rPr>
      <t>천 원</t>
    </r>
    <phoneticPr fontId="9" type="noConversion"/>
  </si>
  <si>
    <t>단위 : 명, 천 원</t>
    <phoneticPr fontId="4" type="noConversion"/>
  </si>
  <si>
    <t>단위 : 세대, 명, 천 원</t>
    <phoneticPr fontId="9" type="noConversion"/>
  </si>
  <si>
    <t>Unit : household, person, thousand won</t>
    <phoneticPr fontId="3" type="noConversion"/>
  </si>
  <si>
    <t>.</t>
    <phoneticPr fontId="3" type="noConversion"/>
  </si>
  <si>
    <t>단위 : 건, 천 원</t>
    <phoneticPr fontId="9" type="noConversion"/>
  </si>
  <si>
    <t>Unit : case, thousand won</t>
    <phoneticPr fontId="3" type="noConversion"/>
  </si>
  <si>
    <t>단위 : 개소, 1,000㎡</t>
    <phoneticPr fontId="3" type="noConversion"/>
  </si>
  <si>
    <t>Unit : number, 1,000㎡</t>
    <phoneticPr fontId="3" type="noConversion"/>
  </si>
  <si>
    <t xml:space="preserve">  주 : 1) 결핵예방법 시행규칙 개정(2014. 7. 29.)에 따라 기존 신환자, 과거치료자(재발자, 초치료실패자, 중단후 재등록자, </t>
    <phoneticPr fontId="9" type="noConversion"/>
  </si>
  <si>
    <t>…</t>
    <phoneticPr fontId="3" type="noConversion"/>
  </si>
  <si>
    <r>
      <t xml:space="preserve">   </t>
    </r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203" type="noConversion"/>
  </si>
  <si>
    <r>
      <rPr>
        <sz val="10"/>
        <color theme="1"/>
        <rFont val="바탕체"/>
        <family val="1"/>
        <charset val="129"/>
      </rPr>
      <t>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호
조무사
</t>
    </r>
    <r>
      <rPr>
        <sz val="10"/>
        <color theme="1"/>
        <rFont val="Arial Narrow"/>
        <family val="2"/>
      </rPr>
      <t xml:space="preserve">
Nursing
aides
</t>
    </r>
    <phoneticPr fontId="3" type="noConversion"/>
  </si>
  <si>
    <r>
      <rPr>
        <sz val="10"/>
        <color theme="1"/>
        <rFont val="바탕체"/>
        <family val="1"/>
        <charset val="129"/>
      </rPr>
      <t xml:space="preserve">행정직
</t>
    </r>
    <r>
      <rPr>
        <sz val="10"/>
        <color theme="1"/>
        <rFont val="Arial Narrow"/>
        <family val="2"/>
      </rPr>
      <t>Public Administrators</t>
    </r>
    <phoneticPr fontId="3" type="noConversion"/>
  </si>
  <si>
    <r>
      <rPr>
        <sz val="10"/>
        <color theme="1"/>
        <rFont val="바탕체"/>
        <family val="1"/>
        <charset val="129"/>
      </rPr>
      <t xml:space="preserve">보건직
</t>
    </r>
    <r>
      <rPr>
        <sz val="10"/>
        <color theme="1"/>
        <rFont val="Arial Narrow"/>
        <family val="2"/>
      </rPr>
      <t>Pubic Health workers</t>
    </r>
    <phoneticPr fontId="3" type="noConversion"/>
  </si>
  <si>
    <r>
      <rPr>
        <sz val="10"/>
        <color theme="1"/>
        <rFont val="바탕체"/>
        <family val="1"/>
        <charset val="129"/>
      </rPr>
      <t>기능직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등
</t>
    </r>
    <r>
      <rPr>
        <sz val="10"/>
        <color theme="1"/>
        <rFont val="Arial Narrow"/>
        <family val="2"/>
      </rPr>
      <t xml:space="preserve">
Others
</t>
    </r>
    <phoneticPr fontId="3" type="noConversion"/>
  </si>
  <si>
    <t>자료:  보건운영과, 강원통계연보「보건식품안전과」</t>
    <phoneticPr fontId="199" type="noConversion"/>
  </si>
  <si>
    <r>
      <t xml:space="preserve"> </t>
    </r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204" type="noConversion"/>
  </si>
  <si>
    <r>
      <rPr>
        <sz val="10"/>
        <color theme="1"/>
        <rFont val="바탕체"/>
        <family val="1"/>
        <charset val="129"/>
      </rPr>
      <t>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계
</t>
    </r>
    <r>
      <rPr>
        <sz val="10"/>
        <color theme="1"/>
        <rFont val="Arial Narrow"/>
        <family val="2"/>
      </rPr>
      <t>Total</t>
    </r>
  </si>
  <si>
    <r>
      <rPr>
        <sz val="10"/>
        <color theme="1"/>
        <rFont val="바탕체"/>
        <family val="1"/>
        <charset val="129"/>
      </rPr>
      <t>의사</t>
    </r>
    <r>
      <rPr>
        <sz val="10"/>
        <color theme="1"/>
        <rFont val="Arial Narrow"/>
        <family val="2"/>
      </rPr>
      <t xml:space="preserve"> 
Physicians</t>
    </r>
    <phoneticPr fontId="3" type="noConversion"/>
  </si>
  <si>
    <r>
      <rPr>
        <sz val="10"/>
        <color theme="1"/>
        <rFont val="바탕체"/>
        <family val="1"/>
        <charset val="129"/>
      </rPr>
      <t xml:space="preserve">치과의사
</t>
    </r>
    <r>
      <rPr>
        <sz val="10"/>
        <color theme="1"/>
        <rFont val="Arial Narrow"/>
        <family val="2"/>
      </rPr>
      <t>Dentists</t>
    </r>
    <phoneticPr fontId="3" type="noConversion"/>
  </si>
  <si>
    <r>
      <rPr>
        <sz val="10"/>
        <color theme="1"/>
        <rFont val="바탕체"/>
        <family val="1"/>
        <charset val="129"/>
      </rPr>
      <t xml:space="preserve">한의사
</t>
    </r>
    <r>
      <rPr>
        <sz val="10"/>
        <color theme="1"/>
        <rFont val="Arial Narrow"/>
        <family val="2"/>
      </rPr>
      <t>Oriental Medical Doctors</t>
    </r>
  </si>
  <si>
    <r>
      <rPr>
        <sz val="10"/>
        <color theme="1"/>
        <rFont val="바탕체"/>
        <family val="1"/>
        <charset val="129"/>
      </rPr>
      <t>약사</t>
    </r>
    <r>
      <rPr>
        <sz val="10"/>
        <color theme="1"/>
        <rFont val="Arial Narrow"/>
        <family val="2"/>
      </rPr>
      <t xml:space="preserve"> 
Pharma-
cists</t>
    </r>
    <phoneticPr fontId="3" type="noConversion"/>
  </si>
  <si>
    <r>
      <rPr>
        <sz val="10"/>
        <color theme="1"/>
        <rFont val="바탕체"/>
        <family val="1"/>
        <charset val="129"/>
      </rPr>
      <t xml:space="preserve">간호사
</t>
    </r>
    <r>
      <rPr>
        <sz val="10"/>
        <color theme="1"/>
        <rFont val="Arial Narrow"/>
        <family val="2"/>
      </rPr>
      <t xml:space="preserve">Nurses
</t>
    </r>
  </si>
  <si>
    <r>
      <rPr>
        <sz val="10"/>
        <color theme="1"/>
        <rFont val="바탕체"/>
        <family val="1"/>
        <charset val="129"/>
      </rPr>
      <t xml:space="preserve">영양사
</t>
    </r>
    <r>
      <rPr>
        <sz val="10"/>
        <color theme="1"/>
        <rFont val="Arial Narrow"/>
        <family val="2"/>
      </rPr>
      <t xml:space="preserve">Dietitians
</t>
    </r>
  </si>
  <si>
    <r>
      <rPr>
        <sz val="10"/>
        <color theme="1"/>
        <rFont val="바탕체"/>
        <family val="1"/>
        <charset val="129"/>
      </rPr>
      <t>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호
조무사
</t>
    </r>
    <r>
      <rPr>
        <sz val="10"/>
        <color theme="1"/>
        <rFont val="Arial Narrow"/>
        <family val="2"/>
      </rPr>
      <t xml:space="preserve">Nursing
aides
</t>
    </r>
  </si>
  <si>
    <r>
      <rPr>
        <sz val="10"/>
        <color theme="1"/>
        <rFont val="바탕체"/>
        <family val="1"/>
        <charset val="129"/>
      </rPr>
      <t xml:space="preserve">행정직
</t>
    </r>
    <r>
      <rPr>
        <sz val="10"/>
        <color theme="1"/>
        <rFont val="Arial Narrow"/>
        <family val="2"/>
      </rPr>
      <t>Public Administrators</t>
    </r>
  </si>
  <si>
    <r>
      <rPr>
        <sz val="10"/>
        <color theme="1"/>
        <rFont val="바탕체"/>
        <family val="1"/>
        <charset val="129"/>
      </rPr>
      <t xml:space="preserve">보건직
</t>
    </r>
    <r>
      <rPr>
        <sz val="10"/>
        <color theme="1"/>
        <rFont val="Arial Narrow"/>
        <family val="2"/>
      </rPr>
      <t>Pubic Health workers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</si>
  <si>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기능직등
</t>
    </r>
    <r>
      <rPr>
        <sz val="10"/>
        <color theme="1"/>
        <rFont val="Arial Narrow"/>
        <family val="2"/>
      </rPr>
      <t xml:space="preserve">Others
</t>
    </r>
  </si>
  <si>
    <r>
      <rPr>
        <sz val="10"/>
        <color theme="1"/>
        <rFont val="바탕체"/>
        <family val="1"/>
        <charset val="129"/>
      </rPr>
      <t xml:space="preserve">의무직
</t>
    </r>
    <r>
      <rPr>
        <sz val="10"/>
        <color theme="1"/>
        <rFont val="Arial Narrow"/>
        <family val="2"/>
      </rPr>
      <t xml:space="preserve">Medical officers 
</t>
    </r>
    <phoneticPr fontId="199" type="noConversion"/>
  </si>
  <si>
    <r>
      <rPr>
        <sz val="10"/>
        <color theme="1"/>
        <rFont val="바탕체"/>
        <family val="1"/>
        <charset val="129"/>
      </rPr>
      <t>공중</t>
    </r>
    <r>
      <rPr>
        <sz val="10"/>
        <color theme="1"/>
        <rFont val="Arial Narrow"/>
        <family val="2"/>
      </rPr>
      <t xml:space="preserve">      </t>
    </r>
    <r>
      <rPr>
        <sz val="10"/>
        <color theme="1"/>
        <rFont val="바탕체"/>
        <family val="1"/>
        <charset val="129"/>
      </rPr>
      <t xml:space="preserve">보건의
</t>
    </r>
    <r>
      <rPr>
        <sz val="10"/>
        <color theme="1"/>
        <rFont val="Arial Narrow"/>
        <family val="2"/>
      </rPr>
      <t xml:space="preserve">Public health doctors 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</si>
  <si>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일반
</t>
    </r>
    <r>
      <rPr>
        <sz val="10"/>
        <color theme="1"/>
        <rFont val="Arial Narrow"/>
        <family val="2"/>
      </rPr>
      <t>Dental officers</t>
    </r>
    <phoneticPr fontId="199" type="noConversion"/>
  </si>
  <si>
    <r>
      <rPr>
        <sz val="10"/>
        <color theme="1"/>
        <rFont val="바탕체"/>
        <family val="1"/>
        <charset val="129"/>
      </rPr>
      <t xml:space="preserve">일반
</t>
    </r>
    <r>
      <rPr>
        <sz val="10"/>
        <color theme="1"/>
        <rFont val="Arial Narrow"/>
        <family val="2"/>
      </rPr>
      <t>Oriental medical officers</t>
    </r>
    <phoneticPr fontId="199" type="noConversion"/>
  </si>
  <si>
    <r>
      <rPr>
        <sz val="10"/>
        <color theme="1"/>
        <rFont val="바탕체"/>
        <family val="1"/>
        <charset val="129"/>
      </rPr>
      <t>공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 xml:space="preserve">중
보건의
</t>
    </r>
    <r>
      <rPr>
        <sz val="10"/>
        <color theme="1"/>
        <rFont val="Arial Narrow"/>
        <family val="2"/>
      </rPr>
      <t xml:space="preserve"> Public health OMDs</t>
    </r>
    <phoneticPr fontId="199" type="noConversion"/>
  </si>
  <si>
    <t>자료: 보건운영과, 강원통계연보「보건식품안전과」</t>
    <phoneticPr fontId="204" type="noConversion"/>
  </si>
  <si>
    <r>
      <t xml:space="preserve">  </t>
    </r>
    <r>
      <rPr>
        <sz val="10"/>
        <color theme="1"/>
        <rFont val="바탕체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체"/>
        <family val="1"/>
        <charset val="129"/>
      </rPr>
      <t>사회보장</t>
    </r>
    <phoneticPr fontId="4" type="noConversion"/>
  </si>
  <si>
    <r>
      <t xml:space="preserve">식품위생 관련업체   </t>
    </r>
    <r>
      <rPr>
        <sz val="10"/>
        <color theme="1"/>
        <rFont val="Arial Narrow"/>
        <family val="2"/>
      </rPr>
      <t>Food Establishments</t>
    </r>
    <phoneticPr fontId="3" type="noConversion"/>
  </si>
  <si>
    <r>
      <t xml:space="preserve">건강기능식품 관련업체
</t>
    </r>
    <r>
      <rPr>
        <sz val="10"/>
        <color theme="1"/>
        <rFont val="Arial Narrow"/>
        <family val="2"/>
      </rPr>
      <t>Health functional food establishments</t>
    </r>
    <phoneticPr fontId="3" type="noConversion"/>
  </si>
  <si>
    <r>
      <t>연</t>
    </r>
    <r>
      <rPr>
        <sz val="10"/>
        <color theme="1"/>
        <rFont val="Arial Narrow"/>
        <family val="2"/>
      </rPr>
      <t xml:space="preserve">      </t>
    </r>
    <r>
      <rPr>
        <sz val="10"/>
        <color theme="1"/>
        <rFont val="바탕체"/>
        <family val="1"/>
        <charset val="129"/>
      </rPr>
      <t>별</t>
    </r>
    <r>
      <rPr>
        <sz val="10"/>
        <rFont val="Arial Narrow"/>
        <family val="2"/>
      </rPr>
      <t/>
    </r>
    <phoneticPr fontId="4" type="noConversion"/>
  </si>
  <si>
    <r>
      <t>합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계</t>
    </r>
  </si>
  <si>
    <r>
      <t>식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>품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>접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>객</t>
    </r>
    <r>
      <rPr>
        <sz val="10"/>
        <color theme="1"/>
        <rFont val="Arial Narrow"/>
        <family val="2"/>
      </rPr>
      <t xml:space="preserve">   </t>
    </r>
    <r>
      <rPr>
        <sz val="10"/>
        <color theme="1"/>
        <rFont val="바탕체"/>
        <family val="1"/>
        <charset val="129"/>
      </rPr>
      <t>업</t>
    </r>
    <r>
      <rPr>
        <sz val="10"/>
        <color theme="1"/>
        <rFont val="Arial Narrow"/>
        <family val="2"/>
      </rPr>
      <t xml:space="preserve">              Food  service</t>
    </r>
    <phoneticPr fontId="9" type="noConversion"/>
  </si>
  <si>
    <r>
      <t>집</t>
    </r>
    <r>
      <rPr>
        <sz val="10"/>
        <color theme="1"/>
        <rFont val="Arial Narrow"/>
        <family val="2"/>
      </rPr>
      <t xml:space="preserve">       </t>
    </r>
    <r>
      <rPr>
        <sz val="10"/>
        <color theme="1"/>
        <rFont val="바탕체"/>
        <family val="1"/>
        <charset val="129"/>
      </rPr>
      <t>단</t>
    </r>
    <phoneticPr fontId="9" type="noConversion"/>
  </si>
  <si>
    <r>
      <t>식품제조업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"/>
        <family val="1"/>
        <charset val="129"/>
      </rPr>
      <t xml:space="preserve">가공업
</t>
    </r>
    <r>
      <rPr>
        <sz val="10"/>
        <color theme="1"/>
        <rFont val="Arial Narrow"/>
        <family val="2"/>
      </rPr>
      <t xml:space="preserve"> Food manufacturing and processing</t>
    </r>
    <phoneticPr fontId="9" type="noConversion"/>
  </si>
  <si>
    <r>
      <t>식품판매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바탕"/>
        <family val="1"/>
        <charset val="129"/>
      </rPr>
      <t>운반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바탕"/>
        <family val="1"/>
        <charset val="129"/>
      </rPr>
      <t xml:space="preserve">기타업
</t>
    </r>
    <r>
      <rPr>
        <sz val="10"/>
        <color theme="1"/>
        <rFont val="Arial Narrow"/>
        <family val="2"/>
      </rPr>
      <t xml:space="preserve"> Food sales, transportation, others</t>
    </r>
    <phoneticPr fontId="9" type="noConversion"/>
  </si>
  <si>
    <r>
      <rPr>
        <sz val="10"/>
        <color theme="1"/>
        <rFont val="바탕체"/>
        <family val="1"/>
        <charset val="129"/>
      </rPr>
      <t>건강기능식품 제조·
수입·판매업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 Narrow"/>
        <family val="2"/>
      </rPr>
      <t xml:space="preserve">Health functional food manufacturing·importing·sales </t>
    </r>
    <phoneticPr fontId="9" type="noConversion"/>
  </si>
  <si>
    <r>
      <t>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소</t>
    </r>
  </si>
  <si>
    <r>
      <t xml:space="preserve"> </t>
    </r>
    <r>
      <rPr>
        <sz val="10"/>
        <color theme="1"/>
        <rFont val="바탕체"/>
        <family val="1"/>
        <charset val="129"/>
      </rPr>
      <t>식품제조</t>
    </r>
  </si>
  <si>
    <r>
      <t>식</t>
    </r>
    <r>
      <rPr>
        <sz val="10"/>
        <color theme="1"/>
        <rFont val="Arial Narrow"/>
        <family val="2"/>
      </rPr>
      <t xml:space="preserve">     </t>
    </r>
    <r>
      <rPr>
        <sz val="10"/>
        <color theme="1"/>
        <rFont val="바탕체"/>
        <family val="1"/>
        <charset val="129"/>
      </rPr>
      <t>품</t>
    </r>
    <phoneticPr fontId="9" type="noConversion"/>
  </si>
  <si>
    <r>
      <t>가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공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업</t>
    </r>
    <phoneticPr fontId="9" type="noConversion"/>
  </si>
  <si>
    <r>
      <t xml:space="preserve"> </t>
    </r>
    <r>
      <rPr>
        <sz val="10"/>
        <color theme="1"/>
        <rFont val="바탕"/>
        <family val="1"/>
        <charset val="129"/>
      </rPr>
      <t>보건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"/>
        <family val="1"/>
        <charset val="129"/>
      </rPr>
      <t>및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바탕"/>
        <family val="1"/>
        <charset val="129"/>
      </rPr>
      <t>사회보장</t>
    </r>
    <phoneticPr fontId="9" type="noConversion"/>
  </si>
  <si>
    <r>
      <t xml:space="preserve">Incidence and Mortality for Major National Infectious Diseases, Class </t>
    </r>
    <r>
      <rPr>
        <b/>
        <sz val="20"/>
        <color theme="1"/>
        <rFont val="돋움"/>
        <family val="3"/>
        <charset val="129"/>
      </rPr>
      <t>Ⅲ</t>
    </r>
    <r>
      <rPr>
        <b/>
        <sz val="20"/>
        <color theme="1"/>
        <rFont val="Arial Narrow"/>
        <family val="2"/>
      </rPr>
      <t xml:space="preserve">, </t>
    </r>
    <r>
      <rPr>
        <b/>
        <sz val="20"/>
        <color theme="1"/>
        <rFont val="돋움"/>
        <family val="3"/>
        <charset val="129"/>
      </rPr>
      <t>Ⅳ</t>
    </r>
    <phoneticPr fontId="5" type="noConversion"/>
  </si>
  <si>
    <r>
      <rPr>
        <sz val="10"/>
        <color theme="1"/>
        <rFont val="바탕체"/>
        <family val="1"/>
        <charset val="129"/>
      </rPr>
      <t>제</t>
    </r>
    <r>
      <rPr>
        <sz val="10"/>
        <color theme="1"/>
        <rFont val="Arial Narrow"/>
        <family val="2"/>
      </rPr>
      <t xml:space="preserve"> 3 </t>
    </r>
    <r>
      <rPr>
        <sz val="10"/>
        <color theme="1"/>
        <rFont val="바탕체"/>
        <family val="1"/>
        <charset val="129"/>
      </rPr>
      <t>급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염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>병</t>
    </r>
    <r>
      <rPr>
        <sz val="10"/>
        <color theme="1"/>
        <rFont val="Arial Narrow"/>
        <family val="2"/>
      </rPr>
      <t xml:space="preserve">       </t>
    </r>
    <phoneticPr fontId="9" type="noConversion"/>
  </si>
  <si>
    <r>
      <t xml:space="preserve">Infectious  diseases, Class </t>
    </r>
    <r>
      <rPr>
        <sz val="10"/>
        <color theme="1"/>
        <rFont val="바탕체"/>
        <family val="1"/>
        <charset val="129"/>
      </rPr>
      <t>Ⅲ</t>
    </r>
    <phoneticPr fontId="3" type="noConversion"/>
  </si>
  <si>
    <t xml:space="preserve">       - 엠폭스 추가(2023년부터)/매독, 매독(선천성) 2024년부터 추가(4급에서 3급으로 상향 조정)</t>
    <phoneticPr fontId="3" type="noConversion"/>
  </si>
  <si>
    <t>자료: 보건운영과, 강원통계연보「감염병관리과」</t>
    <phoneticPr fontId="9" type="noConversion"/>
  </si>
  <si>
    <t xml:space="preserve"> 자료: 건강관리과, 강원통계연보「보건식품안전과」</t>
    <phoneticPr fontId="9" type="noConversion"/>
  </si>
  <si>
    <r>
      <rPr>
        <sz val="10"/>
        <color theme="1"/>
        <rFont val="돋움"/>
        <family val="3"/>
        <charset val="129"/>
      </rPr>
      <t>보건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사회보장</t>
    </r>
    <phoneticPr fontId="3" type="noConversion"/>
  </si>
  <si>
    <t xml:space="preserve"> 자료: 건강관리과, 강원통계연보「공공의료과」</t>
    <phoneticPr fontId="4" type="noConversion"/>
  </si>
  <si>
    <r>
      <rPr>
        <sz val="10"/>
        <color theme="1"/>
        <rFont val="바탕체"/>
        <family val="1"/>
        <charset val="129"/>
      </rPr>
      <t>연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별</t>
    </r>
    <phoneticPr fontId="199" type="noConversion"/>
  </si>
  <si>
    <r>
      <rPr>
        <sz val="10"/>
        <color theme="1"/>
        <rFont val="바탕체"/>
        <family val="1"/>
        <charset val="129"/>
      </rPr>
      <t>합</t>
    </r>
    <r>
      <rPr>
        <sz val="10"/>
        <color theme="1"/>
        <rFont val="Arial Narrow"/>
        <family val="2"/>
      </rPr>
      <t xml:space="preserve">        </t>
    </r>
    <r>
      <rPr>
        <sz val="10"/>
        <color theme="1"/>
        <rFont val="바탕체"/>
        <family val="1"/>
        <charset val="129"/>
      </rPr>
      <t>계</t>
    </r>
  </si>
  <si>
    <r>
      <rPr>
        <sz val="10"/>
        <color theme="1"/>
        <rFont val="바탕체"/>
        <family val="1"/>
        <charset val="129"/>
      </rPr>
      <t>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설</t>
    </r>
    <r>
      <rPr>
        <sz val="10"/>
        <color theme="1"/>
        <rFont val="Arial Narrow"/>
        <family val="2"/>
      </rPr>
      <t xml:space="preserve"> </t>
    </r>
    <r>
      <rPr>
        <vertAlign val="superscript"/>
        <sz val="10"/>
        <color theme="1"/>
        <rFont val="Arial Narrow"/>
        <family val="2"/>
      </rPr>
      <t>1)</t>
    </r>
    <phoneticPr fontId="199" type="noConversion"/>
  </si>
  <si>
    <r>
      <rPr>
        <sz val="10"/>
        <color theme="1"/>
        <rFont val="바탕체"/>
        <family val="1"/>
        <charset val="129"/>
      </rPr>
      <t>성폭력피해자보호시설</t>
    </r>
    <phoneticPr fontId="9" type="noConversion"/>
  </si>
  <si>
    <r>
      <rPr>
        <sz val="10"/>
        <color theme="1"/>
        <rFont val="바탕체"/>
        <family val="1"/>
        <charset val="129"/>
      </rPr>
      <t>가정폭력피해자보호시설</t>
    </r>
    <phoneticPr fontId="9" type="noConversion"/>
  </si>
  <si>
    <r>
      <rPr>
        <sz val="10"/>
        <color theme="1"/>
        <rFont val="바탕체"/>
        <family val="1"/>
        <charset val="129"/>
      </rPr>
      <t>성매매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피해자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지원시설</t>
    </r>
    <phoneticPr fontId="199" type="noConversion"/>
  </si>
  <si>
    <t>자료: 여성가족과, 강원통계연보「여성청소년가족과」</t>
    <phoneticPr fontId="3" type="noConversion"/>
  </si>
  <si>
    <r>
      <t xml:space="preserve">자료: 복지정책과, </t>
    </r>
    <r>
      <rPr>
        <b/>
        <sz val="9"/>
        <color theme="1"/>
        <rFont val="바탕체"/>
        <family val="1"/>
        <charset val="129"/>
      </rPr>
      <t>강원통계연보「복지정책과」</t>
    </r>
    <phoneticPr fontId="3" type="noConversion"/>
  </si>
  <si>
    <r>
      <t xml:space="preserve">자료: 여성가족과, 복지정책과, </t>
    </r>
    <r>
      <rPr>
        <b/>
        <sz val="9"/>
        <color theme="1"/>
        <rFont val="바탕체"/>
        <family val="1"/>
        <charset val="129"/>
      </rPr>
      <t>강원통계연보「복지정책과, 여성청소년가족과」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</si>
</sst>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_ ;_ * \-#,##0.0_ ;_ * &quot;-&quot;??_ ;_ @_ "/>
    <numFmt numFmtId="178" formatCode="#,##0_ "/>
    <numFmt numFmtId="179" formatCode="&quot;₩&quot;#,##0.00;[Red]&quot;₩&quot;\-#,##0.00"/>
    <numFmt numFmtId="180" formatCode="_ &quot;₩&quot;* #,##0_ ;_ &quot;₩&quot;* \-#,##0_ ;_ &quot;₩&quot;* &quot;-&quot;_ ;_ @_ "/>
    <numFmt numFmtId="181" formatCode="&quot;$&quot;#,##0_);[Red]\(&quot;$&quot;#,##0\)"/>
    <numFmt numFmtId="182" formatCode="&quot;₩&quot;#,##0;[Red]&quot;₩&quot;\-#,##0"/>
    <numFmt numFmtId="183" formatCode="_ &quot;₩&quot;* #,##0.00_ ;_ &quot;₩&quot;* \-#,##0.00_ ;_ &quot;₩&quot;* &quot;-&quot;??_ ;_ @_ "/>
    <numFmt numFmtId="184" formatCode="&quot;$&quot;#,##0.00_);[Red]\(&quot;$&quot;#,##0.00\)"/>
    <numFmt numFmtId="185" formatCode="#,##0;[Red]&quot;-&quot;#,##0"/>
    <numFmt numFmtId="186" formatCode="#,##0.00;[Red]&quot;-&quot;#,##0.00"/>
    <numFmt numFmtId="187" formatCode="_ * #,##0.00_ ;_ * \-#,##0.00_ ;_ * &quot;-&quot;??_ ;_ @_ "/>
    <numFmt numFmtId="188" formatCode="#,##0;&quot;₩&quot;&quot;₩&quot;&quot;₩&quot;&quot;₩&quot;\(#,##0&quot;₩&quot;&quot;₩&quot;&quot;₩&quot;&quot;₩&quot;\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92" formatCode="_-* #,##0\ _D_M_-;\-* #,##0\ _D_M_-;_-* &quot;-&quot;\ _D_M_-;_-@_-"/>
    <numFmt numFmtId="193" formatCode="_-* #,##0.00\ _D_M_-;\-* #,##0.00\ _D_M_-;_-* &quot;-&quot;??\ _D_M_-;_-@_-"/>
    <numFmt numFmtId="194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95" formatCode="_(* #,##0_);_(* \(#,##0\);_(* &quot;-&quot;_);_(@_)"/>
    <numFmt numFmtId="196" formatCode="_(* #,##0.00_);_(* \(#,##0.00\);_(* &quot;-&quot;??_);_(@_)"/>
    <numFmt numFmtId="197" formatCode="#,##0.000_);&quot;₩&quot;&quot;₩&quot;&quot;₩&quot;&quot;₩&quot;\(#,##0.000&quot;₩&quot;&quot;₩&quot;&quot;₩&quot;&quot;₩&quot;\)"/>
    <numFmt numFmtId="198" formatCode="_-* #,##0\ &quot;DM&quot;_-;\-* #,##0\ &quot;DM&quot;_-;_-* &quot;-&quot;\ &quot;DM&quot;_-;_-@_-"/>
    <numFmt numFmtId="199" formatCode="_-* #,##0.00\ &quot;DM&quot;_-;\-* #,##0.00\ &quot;DM&quot;_-;_-* &quot;-&quot;??\ &quot;DM&quot;_-;_-@_-"/>
    <numFmt numFmtId="200" formatCode="_-* #,##0.0_-;\-* #,##0.0_-;_-* &quot;-&quot;?_-;_-@_-"/>
    <numFmt numFmtId="201" formatCode="_ * #,##0.0_ ;_ * \-#,##0.0_ ;_ * &quot;-&quot;_ ;_ @_ "/>
    <numFmt numFmtId="202" formatCode="#,##0.0"/>
    <numFmt numFmtId="203" formatCode="_ * #,##0.00_ ;_ * \-#,##0.00_ ;_ * &quot;-&quot;_ ;_ @_ "/>
    <numFmt numFmtId="204" formatCode="_-* #,##0.00_-;\-* #,##0.00_-;_-* &quot;-&quot;?_-;_-@_-"/>
    <numFmt numFmtId="205" formatCode="0.00000"/>
    <numFmt numFmtId="206" formatCode="0.000000"/>
    <numFmt numFmtId="207" formatCode="_-* #,##0.0_-;\-* #,##0.0_-;_-* &quot;-&quot;_-;_-@_-"/>
    <numFmt numFmtId="208" formatCode="0.0_);[Red]\(0.0\)"/>
    <numFmt numFmtId="209" formatCode="0_);[Red]\(0\)"/>
    <numFmt numFmtId="210" formatCode="\-"/>
  </numFmts>
  <fonts count="28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sz val="8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0"/>
      <color theme="1"/>
      <name val="Arial Narrow"/>
      <family val="2"/>
    </font>
    <font>
      <sz val="8"/>
      <name val="돋움"/>
      <family val="2"/>
      <charset val="129"/>
    </font>
    <font>
      <sz val="8"/>
      <name val="바탕"/>
      <family val="1"/>
      <charset val="129"/>
    </font>
    <font>
      <sz val="12"/>
      <color rgb="FF000000"/>
      <name val="바탕체"/>
      <family val="1"/>
      <charset val="129"/>
    </font>
    <font>
      <sz val="12"/>
      <name val="???"/>
      <family val="1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9"/>
      <color rgb="FFFFFFFF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12"/>
      <name val="¸íÁ¶"/>
      <family val="3"/>
      <charset val="129"/>
    </font>
    <font>
      <sz val="12"/>
      <name val="¸iA¶"/>
      <family val="3"/>
      <charset val="129"/>
    </font>
    <font>
      <sz val="11"/>
      <name val="µ¸¿ò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color rgb="FF000000"/>
      <name val="한컴바탕"/>
      <family val="1"/>
      <charset val="129"/>
    </font>
    <font>
      <sz val="10"/>
      <name val="Geneva"/>
      <family val="2"/>
    </font>
    <font>
      <sz val="10"/>
      <color rgb="FF000000"/>
      <name val="한컴바탕"/>
      <family val="1"/>
      <charset val="129"/>
    </font>
    <font>
      <sz val="11"/>
      <color indexed="20"/>
      <name val="맑은 고딕"/>
      <family val="3"/>
    </font>
    <font>
      <sz val="11"/>
      <color indexed="2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name val="μ¸¿o"/>
      <family val="3"/>
      <charset val="129"/>
    </font>
    <font>
      <sz val="11"/>
      <color rgb="FF000000"/>
      <name val="한컴바탕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indexed="52"/>
      <name val="맑은 고딕"/>
      <family val="3"/>
    </font>
    <font>
      <b/>
      <sz val="11"/>
      <color indexed="52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b/>
      <sz val="10"/>
      <name val="Helv"/>
      <family val="2"/>
    </font>
    <font>
      <b/>
      <sz val="10"/>
      <color rgb="FF000000"/>
      <name val="한컴바탕"/>
      <family val="1"/>
      <charset val="129"/>
    </font>
    <font>
      <b/>
      <sz val="11"/>
      <color indexed="9"/>
      <name val="맑은 고딕"/>
      <family val="3"/>
    </font>
    <font>
      <b/>
      <sz val="11"/>
      <color indexed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name val="MS Serif"/>
      <family val="1"/>
    </font>
    <font>
      <sz val="12"/>
      <name val="Arial"/>
      <family val="2"/>
    </font>
    <font>
      <sz val="12"/>
      <color rgb="FF000000"/>
      <name val="Arial"/>
      <family val="2"/>
    </font>
    <font>
      <sz val="10"/>
      <color indexed="16"/>
      <name val="MS Serif"/>
      <family val="1"/>
    </font>
    <font>
      <sz val="10"/>
      <color rgb="FF800000"/>
      <name val="한컴바탕"/>
      <family val="1"/>
      <charset val="129"/>
    </font>
    <font>
      <i/>
      <sz val="11"/>
      <color indexed="23"/>
      <name val="맑은 고딕"/>
      <family val="3"/>
    </font>
    <font>
      <i/>
      <sz val="11"/>
      <color indexed="23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sz val="11"/>
      <color indexed="17"/>
      <name val="맑은 고딕"/>
      <family val="3"/>
    </font>
    <font>
      <sz val="11"/>
      <color indexed="17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8"/>
      <name val="Arial"/>
      <family val="2"/>
    </font>
    <font>
      <sz val="8"/>
      <color rgb="FF000000"/>
      <name val="Arial"/>
      <family val="2"/>
    </font>
    <font>
      <b/>
      <sz val="12"/>
      <name val="Helv"/>
      <family val="2"/>
    </font>
    <font>
      <b/>
      <sz val="12"/>
      <color rgb="FF000000"/>
      <name val="한컴바탕"/>
      <family val="1"/>
      <charset val="129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5"/>
      <color indexed="56"/>
      <name val="맑은 고딕"/>
      <family val="3"/>
    </font>
    <font>
      <b/>
      <sz val="15"/>
      <color indexed="5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indexed="56"/>
      <name val="맑은 고딕"/>
      <family val="3"/>
    </font>
    <font>
      <b/>
      <sz val="13"/>
      <color indexed="5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indexed="56"/>
      <name val="맑은 고딕"/>
      <family val="3"/>
    </font>
    <font>
      <b/>
      <sz val="11"/>
      <color indexed="5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name val="Arial"/>
      <family val="2"/>
    </font>
    <font>
      <b/>
      <sz val="18"/>
      <color rgb="FF000000"/>
      <name val="Arial"/>
      <family val="2"/>
    </font>
    <font>
      <sz val="11"/>
      <color indexed="62"/>
      <name val="맑은 고딕"/>
      <family val="3"/>
    </font>
    <font>
      <sz val="11"/>
      <color indexed="62"/>
      <name val="맑은 고딕"/>
      <family val="3"/>
      <charset val="129"/>
    </font>
    <font>
      <sz val="11"/>
      <color rgb="FF333399"/>
      <name val="맑은 고딕"/>
      <family val="3"/>
      <charset val="129"/>
    </font>
    <font>
      <sz val="11"/>
      <color indexed="52"/>
      <name val="맑은 고딕"/>
      <family val="3"/>
    </font>
    <font>
      <sz val="11"/>
      <color indexed="52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name val="Helv"/>
      <family val="2"/>
    </font>
    <font>
      <b/>
      <sz val="11"/>
      <color rgb="FF000000"/>
      <name val="한컴바탕"/>
      <family val="1"/>
      <charset val="129"/>
    </font>
    <font>
      <sz val="11"/>
      <color indexed="60"/>
      <name val="맑은 고딕"/>
      <family val="3"/>
    </font>
    <font>
      <sz val="11"/>
      <color indexed="60"/>
      <name val="맑은 고딕"/>
      <family val="3"/>
      <charset val="129"/>
    </font>
    <font>
      <sz val="11"/>
      <color rgb="FF993300"/>
      <name val="맑은 고딕"/>
      <family val="3"/>
      <charset val="129"/>
    </font>
    <font>
      <b/>
      <sz val="11"/>
      <color indexed="63"/>
      <name val="맑은 고딕"/>
      <family val="3"/>
    </font>
    <font>
      <b/>
      <sz val="11"/>
      <color indexed="63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0"/>
      <color rgb="FF000000"/>
      <name val="Arial"/>
      <family val="2"/>
    </font>
    <font>
      <b/>
      <sz val="18"/>
      <color indexed="56"/>
      <name val="맑은 고딕"/>
      <family val="3"/>
    </font>
    <font>
      <b/>
      <sz val="18"/>
      <color indexed="5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1"/>
      <color indexed="8"/>
      <name val="맑은 고딕"/>
      <family val="3"/>
    </font>
    <font>
      <b/>
      <sz val="11"/>
      <color indexed="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9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b/>
      <sz val="1"/>
      <color indexed="8"/>
      <name val="Courier"/>
      <family val="3"/>
    </font>
    <font>
      <b/>
      <sz val="1"/>
      <color rgb="FF000000"/>
      <name val="한컴바탕"/>
      <family val="1"/>
      <charset val="129"/>
    </font>
    <font>
      <sz val="11"/>
      <name val="HY신명조"/>
      <family val="1"/>
      <charset val="129"/>
    </font>
    <font>
      <sz val="9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"/>
      <color indexed="8"/>
      <name val="Courier"/>
      <family val="3"/>
    </font>
    <font>
      <sz val="1"/>
      <color rgb="FF000000"/>
      <name val="한컴바탕"/>
      <family val="1"/>
      <charset val="129"/>
    </font>
    <font>
      <sz val="10"/>
      <color rgb="FF000000"/>
      <name val="바탕체"/>
      <family val="1"/>
      <charset val="129"/>
    </font>
    <font>
      <sz val="9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</font>
    <font>
      <sz val="9"/>
      <color indexed="19"/>
      <name val="맑은 고딕"/>
      <family val="3"/>
      <charset val="129"/>
    </font>
    <font>
      <sz val="11"/>
      <name val="뼻뮝"/>
      <family val="3"/>
      <charset val="129"/>
    </font>
    <font>
      <i/>
      <sz val="9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돋움"/>
      <family val="2"/>
      <charset val="129"/>
    </font>
    <font>
      <sz val="11"/>
      <color theme="1"/>
      <name val="돋움"/>
      <family val="3"/>
      <charset val="129"/>
    </font>
    <font>
      <sz val="9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rgb="FF1F497D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rgb="FF1F497D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rgb="FF1F497D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9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</font>
    <font>
      <sz val="9"/>
      <color indexed="17"/>
      <name val="맑은 고딕"/>
      <family val="3"/>
      <charset val="129"/>
    </font>
    <font>
      <sz val="13"/>
      <name val="견고딕"/>
      <family val="1"/>
      <charset val="129"/>
    </font>
    <font>
      <sz val="13"/>
      <color rgb="FF000000"/>
      <name val="한컴바탕"/>
      <family val="1"/>
      <charset val="129"/>
    </font>
    <font>
      <b/>
      <sz val="9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12"/>
      <color rgb="FF000000"/>
      <name val="굴림체"/>
      <family val="3"/>
      <charset val="129"/>
    </font>
    <font>
      <sz val="1"/>
      <color theme="1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sz val="11"/>
      <color indexed="8"/>
      <name val="맑은 고딕"/>
      <family val="2"/>
      <scheme val="minor"/>
    </font>
    <font>
      <sz val="10"/>
      <name val="Arial Narrow"/>
      <family val="2"/>
    </font>
    <font>
      <u/>
      <sz val="11"/>
      <color theme="10"/>
      <name val="맑은 고딕"/>
      <family val="3"/>
      <charset val="129"/>
      <scheme val="minor"/>
    </font>
    <font>
      <sz val="9"/>
      <color indexed="81"/>
      <name val="Tahoma"/>
      <family val="2"/>
    </font>
    <font>
      <sz val="8"/>
      <name val="굴림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8"/>
      <name val="MS Serif"/>
      <family val="1"/>
    </font>
    <font>
      <sz val="6"/>
      <name val="바탕체"/>
      <family val="1"/>
      <charset val="129"/>
    </font>
    <font>
      <sz val="9"/>
      <name val="바탕체"/>
      <family val="1"/>
      <charset val="129"/>
    </font>
    <font>
      <sz val="9"/>
      <name val="Arial Narrow"/>
      <family val="2"/>
    </font>
    <font>
      <b/>
      <sz val="10"/>
      <name val="Arial Narrow"/>
      <family val="2"/>
    </font>
    <font>
      <sz val="10"/>
      <color theme="1"/>
      <name val="바탕체"/>
      <family val="1"/>
      <charset val="129"/>
    </font>
    <font>
      <b/>
      <sz val="10"/>
      <color indexed="10"/>
      <name val="Tahoma"/>
      <family val="2"/>
    </font>
    <font>
      <b/>
      <sz val="10"/>
      <color indexed="10"/>
      <name val="맑은 고딕"/>
      <family val="3"/>
      <charset val="129"/>
    </font>
    <font>
      <b/>
      <sz val="9"/>
      <color indexed="12"/>
      <name val="맑은 고딕"/>
      <family val="3"/>
      <charset val="129"/>
    </font>
    <font>
      <b/>
      <sz val="9"/>
      <color indexed="39"/>
      <name val="맑은 고딕"/>
      <family val="3"/>
      <charset val="129"/>
    </font>
    <font>
      <b/>
      <sz val="20"/>
      <name val="바탕체"/>
      <family val="1"/>
      <charset val="129"/>
    </font>
    <font>
      <b/>
      <sz val="20"/>
      <name val="Arial Narrow"/>
      <family val="2"/>
    </font>
    <font>
      <sz val="20"/>
      <name val="Arial Narrow"/>
      <family val="2"/>
    </font>
    <font>
      <sz val="10"/>
      <color theme="1"/>
      <name val="Times New Roman"/>
      <family val="1"/>
    </font>
    <font>
      <b/>
      <sz val="20"/>
      <color theme="1"/>
      <name val="바탕체"/>
      <family val="1"/>
      <charset val="129"/>
    </font>
    <font>
      <b/>
      <sz val="2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바탕체"/>
      <family val="1"/>
      <charset val="129"/>
    </font>
    <font>
      <sz val="9"/>
      <color theme="1"/>
      <name val="Arial Narrow"/>
      <family val="2"/>
    </font>
    <font>
      <sz val="10"/>
      <color theme="1"/>
      <name val="바탕"/>
      <family val="1"/>
      <charset val="129"/>
    </font>
    <font>
      <vertAlign val="superscript"/>
      <sz val="10"/>
      <color theme="1"/>
      <name val="바탕체"/>
      <family val="1"/>
      <charset val="129"/>
    </font>
    <font>
      <sz val="10"/>
      <color theme="1"/>
      <name val="돋움"/>
      <family val="3"/>
      <charset val="129"/>
    </font>
    <font>
      <sz val="10"/>
      <name val="HY중고딕"/>
      <family val="1"/>
      <charset val="129"/>
    </font>
    <font>
      <sz val="20"/>
      <color theme="1"/>
      <name val="바탕체"/>
      <family val="1"/>
      <charset val="129"/>
    </font>
    <font>
      <sz val="20"/>
      <color theme="1"/>
      <name val="Arial Narrow"/>
      <family val="2"/>
    </font>
    <font>
      <sz val="10"/>
      <color theme="1"/>
      <name val="HY중고딕"/>
      <family val="1"/>
      <charset val="129"/>
    </font>
    <font>
      <b/>
      <sz val="18"/>
      <color theme="1"/>
      <name val="Arial Narrow"/>
      <family val="2"/>
    </font>
    <font>
      <sz val="12"/>
      <color theme="1"/>
      <name val="바탕체"/>
      <family val="1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vertAlign val="superscript"/>
      <sz val="20"/>
      <color theme="1"/>
      <name val="바탕체"/>
      <family val="1"/>
      <charset val="129"/>
    </font>
    <font>
      <sz val="12"/>
      <color theme="1"/>
      <name val="Times New Roman"/>
      <family val="1"/>
    </font>
    <font>
      <sz val="10"/>
      <color theme="1"/>
      <name val="Times"/>
      <family val="1"/>
    </font>
    <font>
      <sz val="16"/>
      <color theme="1"/>
      <name val="바탕체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rgb="FFFF0000"/>
      <name val="Arial Narrow"/>
      <family val="2"/>
    </font>
    <font>
      <sz val="9"/>
      <color rgb="FFFF0000"/>
      <name val="Arial Narrow"/>
      <family val="2"/>
    </font>
    <font>
      <sz val="12"/>
      <name val="Arial Narrow"/>
      <family val="2"/>
    </font>
    <font>
      <sz val="20"/>
      <name val="바탕체"/>
      <family val="1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vertAlign val="superscript"/>
      <sz val="10"/>
      <name val="바탕체"/>
      <family val="1"/>
      <charset val="129"/>
    </font>
    <font>
      <sz val="9"/>
      <name val="굴림"/>
      <family val="3"/>
      <charset val="129"/>
    </font>
    <font>
      <sz val="10"/>
      <name val="바탕"/>
      <family val="1"/>
      <charset val="129"/>
    </font>
    <font>
      <b/>
      <sz val="18"/>
      <name val="Arial Narrow"/>
      <family val="2"/>
    </font>
    <font>
      <sz val="11"/>
      <name val="맑은 고딕"/>
      <family val="2"/>
      <charset val="129"/>
      <scheme val="minor"/>
    </font>
    <font>
      <b/>
      <sz val="20"/>
      <name val="바탕"/>
      <family val="1"/>
      <charset val="129"/>
    </font>
    <font>
      <vertAlign val="superscript"/>
      <sz val="10"/>
      <name val="Arial Narrow"/>
      <family val="2"/>
    </font>
    <font>
      <sz val="11"/>
      <name val="Arial Narrow"/>
      <family val="2"/>
    </font>
    <font>
      <sz val="9"/>
      <name val="돋움"/>
      <family val="3"/>
      <charset val="129"/>
    </font>
    <font>
      <b/>
      <sz val="11"/>
      <name val="Arial Narrow"/>
      <family val="2"/>
    </font>
    <font>
      <sz val="12"/>
      <name val="Times New Roman"/>
      <family val="1"/>
    </font>
    <font>
      <b/>
      <vertAlign val="superscript"/>
      <sz val="20"/>
      <name val="바탕체"/>
      <family val="1"/>
      <charset val="129"/>
    </font>
    <font>
      <sz val="9"/>
      <name val="맑은 고딕"/>
      <family val="2"/>
      <charset val="129"/>
      <scheme val="minor"/>
    </font>
    <font>
      <sz val="9"/>
      <name val="바탕"/>
      <family val="1"/>
      <charset val="129"/>
    </font>
    <font>
      <sz val="11"/>
      <color theme="1"/>
      <name val="맑은 고딕"/>
      <family val="3"/>
      <charset val="129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바탕체"/>
      <family val="1"/>
      <charset val="129"/>
    </font>
    <font>
      <sz val="9"/>
      <color rgb="FFFF0000"/>
      <name val="바탕체"/>
      <family val="1"/>
      <charset val="129"/>
    </font>
    <font>
      <b/>
      <sz val="10"/>
      <color rgb="FFFF0000"/>
      <name val="Times New Roman"/>
      <family val="1"/>
    </font>
    <font>
      <b/>
      <sz val="10"/>
      <color rgb="FFFF0000"/>
      <name val="바탕"/>
      <family val="1"/>
      <charset val="129"/>
    </font>
    <font>
      <vertAlign val="superscript"/>
      <sz val="10"/>
      <color theme="1"/>
      <name val="Arial Narrow"/>
      <family val="2"/>
    </font>
    <font>
      <sz val="9"/>
      <color indexed="81"/>
      <name val="돋움"/>
      <family val="3"/>
      <charset val="129"/>
    </font>
    <font>
      <sz val="7"/>
      <color theme="1"/>
      <name val="Arial Narrow"/>
      <family val="2"/>
    </font>
    <font>
      <sz val="8"/>
      <color theme="1"/>
      <name val="돋움"/>
      <family val="3"/>
      <charset val="129"/>
    </font>
    <font>
      <sz val="10"/>
      <color theme="1"/>
      <name val="굴림"/>
      <family val="3"/>
      <charset val="129"/>
    </font>
    <font>
      <b/>
      <sz val="10"/>
      <name val="맑은 고딕"/>
      <family val="2"/>
      <charset val="129"/>
      <scheme val="minor"/>
    </font>
    <font>
      <sz val="10"/>
      <color theme="1"/>
      <name val="Times New Roman"/>
      <family val="1"/>
      <charset val="129"/>
    </font>
    <font>
      <b/>
      <sz val="9"/>
      <color theme="1"/>
      <name val="Arial Narrow"/>
      <family val="2"/>
    </font>
    <font>
      <b/>
      <sz val="10"/>
      <color theme="1"/>
      <name val="HY중고딕"/>
      <family val="1"/>
      <charset val="129"/>
    </font>
    <font>
      <b/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9"/>
      <color theme="1"/>
      <name val="바탕체"/>
      <family val="1"/>
      <charset val="129"/>
    </font>
    <font>
      <b/>
      <sz val="9"/>
      <color theme="1"/>
      <name val="바탕체"/>
      <family val="3"/>
      <charset val="129"/>
    </font>
    <font>
      <sz val="10"/>
      <color theme="1"/>
      <name val="Arial Narrow"/>
      <family val="1"/>
      <charset val="129"/>
    </font>
    <font>
      <sz val="11"/>
      <color theme="1"/>
      <name val="arianal "/>
    </font>
    <font>
      <b/>
      <sz val="20"/>
      <color theme="1"/>
      <name val="돋움"/>
      <family val="3"/>
      <charset val="129"/>
    </font>
    <font>
      <b/>
      <sz val="16"/>
      <color theme="1"/>
      <name val="Arial Narrow"/>
      <family val="2"/>
    </font>
    <font>
      <sz val="9"/>
      <color theme="1"/>
      <name val="돋움"/>
      <family val="3"/>
      <charset val="129"/>
    </font>
  </fonts>
  <fills count="1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rgb="FFCCCCFF"/>
        <bgColor indexed="64"/>
      </patternFill>
    </fill>
    <fill>
      <patternFill patternType="solid">
        <fgColor indexed="45"/>
      </patternFill>
    </fill>
    <fill>
      <patternFill patternType="solid">
        <fgColor rgb="FFFF99CC"/>
        <bgColor indexed="64"/>
      </patternFill>
    </fill>
    <fill>
      <patternFill patternType="solid">
        <fgColor indexed="42"/>
      </patternFill>
    </fill>
    <fill>
      <patternFill patternType="solid">
        <fgColor rgb="FFCCFFCC"/>
        <bgColor indexed="64"/>
      </patternFill>
    </fill>
    <fill>
      <patternFill patternType="solid">
        <fgColor indexed="46"/>
      </patternFill>
    </fill>
    <fill>
      <patternFill patternType="solid">
        <fgColor rgb="FFCC99FF"/>
        <bgColor indexed="64"/>
      </patternFill>
    </fill>
    <fill>
      <patternFill patternType="solid">
        <fgColor indexed="27"/>
      </patternFill>
    </fill>
    <fill>
      <patternFill patternType="solid">
        <fgColor rgb="FFCCFFFF"/>
        <bgColor indexed="64"/>
      </patternFill>
    </fill>
    <fill>
      <patternFill patternType="solid">
        <fgColor indexed="47"/>
      </patternFill>
    </fill>
    <fill>
      <patternFill patternType="solid">
        <fgColor rgb="FFFFCC99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</patternFill>
    </fill>
    <fill>
      <patternFill patternType="solid">
        <fgColor rgb="FFF3DCDB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</patternFill>
    </fill>
    <fill>
      <patternFill patternType="solid">
        <fgColor rgb="FFEBF1D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rgb="FFE6E0ED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11"/>
      </patternFill>
    </fill>
    <fill>
      <patternFill patternType="solid">
        <fgColor rgb="FF00FF00"/>
        <bgColor indexed="64"/>
      </patternFill>
    </fill>
    <fill>
      <patternFill patternType="solid">
        <fgColor indexed="51"/>
      </patternFill>
    </fill>
    <fill>
      <patternFill patternType="solid">
        <fgColor rgb="FFFFCC00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rgb="FF0066CC"/>
        <bgColor indexed="64"/>
      </patternFill>
    </fill>
    <fill>
      <patternFill patternType="solid">
        <fgColor indexed="36"/>
      </patternFill>
    </fill>
    <fill>
      <patternFill patternType="solid">
        <fgColor rgb="FF800080"/>
        <bgColor indexed="64"/>
      </patternFill>
    </fill>
    <fill>
      <patternFill patternType="solid">
        <fgColor indexed="49"/>
      </patternFill>
    </fill>
    <fill>
      <patternFill patternType="solid">
        <fgColor rgb="FF33CCCC"/>
        <bgColor indexed="64"/>
      </patternFill>
    </fill>
    <fill>
      <patternFill patternType="solid">
        <fgColor indexed="52"/>
      </patternFill>
    </fill>
    <fill>
      <patternFill patternType="solid">
        <fgColor rgb="FFFF9900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indexed="53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rgb="FF333399"/>
        <bgColor indexed="64"/>
      </patternFill>
    </fill>
    <fill>
      <patternFill patternType="solid">
        <fgColor indexed="10"/>
      </patternFill>
    </fill>
    <fill>
      <patternFill patternType="solid">
        <fgColor rgb="FFFF0000"/>
        <bgColor indexed="64"/>
      </patternFill>
    </fill>
    <fill>
      <patternFill patternType="solid">
        <fgColor indexed="57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22"/>
      </patternFill>
    </fill>
    <fill>
      <patternFill patternType="solid">
        <fgColor rgb="FFC0C0C0"/>
        <bgColor indexed="64"/>
      </patternFill>
    </fill>
    <fill>
      <patternFill patternType="solid">
        <fgColor indexed="55"/>
      </patternFill>
    </fill>
    <fill>
      <patternFill patternType="solid">
        <fgColor rgb="FF96969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</patternFill>
    </fill>
    <fill>
      <patternFill patternType="solid">
        <fgColor rgb="FFC0504D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indexed="5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9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DAF1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rgb="FF96B3D7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4912">
    <xf numFmtId="0" fontId="0" fillId="0" borderId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0" fillId="0" borderId="0"/>
    <xf numFmtId="0" fontId="11" fillId="0" borderId="0"/>
    <xf numFmtId="0" fontId="1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4" borderId="0">
      <alignment vertical="center"/>
    </xf>
    <xf numFmtId="0" fontId="14" fillId="34" borderId="0">
      <alignment vertical="center"/>
    </xf>
    <xf numFmtId="0" fontId="13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36" borderId="0">
      <alignment vertical="center"/>
    </xf>
    <xf numFmtId="0" fontId="14" fillId="36" borderId="0">
      <alignment vertical="center"/>
    </xf>
    <xf numFmtId="0" fontId="13" fillId="35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38" borderId="0">
      <alignment vertical="center"/>
    </xf>
    <xf numFmtId="0" fontId="14" fillId="38" borderId="0">
      <alignment vertical="center"/>
    </xf>
    <xf numFmtId="0" fontId="13" fillId="37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3" fillId="3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4" fillId="42" borderId="0">
      <alignment vertical="center"/>
    </xf>
    <xf numFmtId="0" fontId="14" fillId="42" borderId="0">
      <alignment vertical="center"/>
    </xf>
    <xf numFmtId="0" fontId="13" fillId="41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4" fillId="44" borderId="0">
      <alignment vertical="center"/>
    </xf>
    <xf numFmtId="0" fontId="14" fillId="44" borderId="0">
      <alignment vertical="center"/>
    </xf>
    <xf numFmtId="0" fontId="13" fillId="4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45" borderId="0">
      <alignment vertical="center"/>
    </xf>
    <xf numFmtId="0" fontId="14" fillId="34" borderId="0">
      <alignment vertical="center"/>
    </xf>
    <xf numFmtId="0" fontId="17" fillId="45" borderId="0">
      <alignment vertical="center"/>
    </xf>
    <xf numFmtId="0" fontId="13" fillId="46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45" borderId="0">
      <alignment vertical="center"/>
    </xf>
    <xf numFmtId="0" fontId="14" fillId="34" borderId="0">
      <alignment vertical="center"/>
    </xf>
    <xf numFmtId="0" fontId="13" fillId="46" borderId="0">
      <alignment vertical="center"/>
    </xf>
    <xf numFmtId="0" fontId="1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34" borderId="0">
      <alignment vertical="center"/>
    </xf>
    <xf numFmtId="0" fontId="13" fillId="3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48" borderId="0">
      <alignment vertical="center"/>
    </xf>
    <xf numFmtId="0" fontId="14" fillId="36" borderId="0">
      <alignment vertical="center"/>
    </xf>
    <xf numFmtId="0" fontId="17" fillId="48" borderId="0">
      <alignment vertical="center"/>
    </xf>
    <xf numFmtId="0" fontId="13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48" borderId="0">
      <alignment vertical="center"/>
    </xf>
    <xf numFmtId="0" fontId="14" fillId="36" borderId="0">
      <alignment vertical="center"/>
    </xf>
    <xf numFmtId="0" fontId="13" fillId="49" borderId="0">
      <alignment vertical="center"/>
    </xf>
    <xf numFmtId="0" fontId="1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36" borderId="0">
      <alignment vertical="center"/>
    </xf>
    <xf numFmtId="0" fontId="13" fillId="3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51" borderId="0">
      <alignment vertical="center"/>
    </xf>
    <xf numFmtId="0" fontId="14" fillId="38" borderId="0">
      <alignment vertical="center"/>
    </xf>
    <xf numFmtId="0" fontId="17" fillId="51" borderId="0">
      <alignment vertical="center"/>
    </xf>
    <xf numFmtId="0" fontId="13" fillId="52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51" borderId="0">
      <alignment vertical="center"/>
    </xf>
    <xf numFmtId="0" fontId="14" fillId="38" borderId="0">
      <alignment vertical="center"/>
    </xf>
    <xf numFmtId="0" fontId="13" fillId="52" borderId="0">
      <alignment vertical="center"/>
    </xf>
    <xf numFmtId="0" fontId="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38" borderId="0">
      <alignment vertical="center"/>
    </xf>
    <xf numFmtId="0" fontId="13" fillId="3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4" fillId="54" borderId="0">
      <alignment vertical="center"/>
    </xf>
    <xf numFmtId="0" fontId="14" fillId="40" borderId="0">
      <alignment vertical="center"/>
    </xf>
    <xf numFmtId="0" fontId="17" fillId="54" borderId="0">
      <alignment vertical="center"/>
    </xf>
    <xf numFmtId="0" fontId="13" fillId="55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4" fillId="54" borderId="0">
      <alignment vertical="center"/>
    </xf>
    <xf numFmtId="0" fontId="14" fillId="40" borderId="0">
      <alignment vertical="center"/>
    </xf>
    <xf numFmtId="0" fontId="13" fillId="55" borderId="0">
      <alignment vertical="center"/>
    </xf>
    <xf numFmtId="0" fontId="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4" fillId="40" borderId="0">
      <alignment vertical="center"/>
    </xf>
    <xf numFmtId="0" fontId="13" fillId="3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56" borderId="0">
      <alignment vertical="center"/>
    </xf>
    <xf numFmtId="0" fontId="14" fillId="42" borderId="0">
      <alignment vertical="center"/>
    </xf>
    <xf numFmtId="0" fontId="17" fillId="56" borderId="0">
      <alignment vertical="center"/>
    </xf>
    <xf numFmtId="0" fontId="13" fillId="57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56" borderId="0">
      <alignment vertical="center"/>
    </xf>
    <xf numFmtId="0" fontId="14" fillId="42" borderId="0">
      <alignment vertical="center"/>
    </xf>
    <xf numFmtId="0" fontId="13" fillId="57" borderId="0">
      <alignment vertical="center"/>
    </xf>
    <xf numFmtId="0" fontId="1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42" borderId="0">
      <alignment vertical="center"/>
    </xf>
    <xf numFmtId="0" fontId="13" fillId="4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58" borderId="0">
      <alignment vertical="center"/>
    </xf>
    <xf numFmtId="0" fontId="14" fillId="44" borderId="0">
      <alignment vertical="center"/>
    </xf>
    <xf numFmtId="0" fontId="17" fillId="58" borderId="0">
      <alignment vertical="center"/>
    </xf>
    <xf numFmtId="0" fontId="13" fillId="59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58" borderId="0">
      <alignment vertical="center"/>
    </xf>
    <xf numFmtId="0" fontId="14" fillId="44" borderId="0">
      <alignment vertical="center"/>
    </xf>
    <xf numFmtId="0" fontId="13" fillId="59" borderId="0">
      <alignment vertical="center"/>
    </xf>
    <xf numFmtId="0" fontId="1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44" borderId="0">
      <alignment vertical="center"/>
    </xf>
    <xf numFmtId="0" fontId="13" fillId="4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4" fillId="60" borderId="0">
      <alignment vertical="center"/>
    </xf>
    <xf numFmtId="0" fontId="14" fillId="60" borderId="0">
      <alignment vertical="center"/>
    </xf>
    <xf numFmtId="0" fontId="13" fillId="47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4" fillId="61" borderId="0">
      <alignment vertical="center"/>
    </xf>
    <xf numFmtId="0" fontId="14" fillId="61" borderId="0">
      <alignment vertical="center"/>
    </xf>
    <xf numFmtId="0" fontId="13" fillId="50" borderId="0" applyNumberFormat="0" applyBorder="0" applyAlignment="0" applyProtection="0">
      <alignment vertical="center"/>
    </xf>
    <xf numFmtId="0" fontId="12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4" fillId="63" borderId="0">
      <alignment vertical="center"/>
    </xf>
    <xf numFmtId="0" fontId="14" fillId="63" borderId="0">
      <alignment vertical="center"/>
    </xf>
    <xf numFmtId="0" fontId="13" fillId="62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4" fillId="40" borderId="0">
      <alignment vertical="center"/>
    </xf>
    <xf numFmtId="0" fontId="14" fillId="40" borderId="0">
      <alignment vertical="center"/>
    </xf>
    <xf numFmtId="0" fontId="13" fillId="39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4" fillId="60" borderId="0">
      <alignment vertical="center"/>
    </xf>
    <xf numFmtId="0" fontId="14" fillId="60" borderId="0">
      <alignment vertical="center"/>
    </xf>
    <xf numFmtId="0" fontId="13" fillId="47" borderId="0" applyNumberFormat="0" applyBorder="0" applyAlignment="0" applyProtection="0">
      <alignment vertical="center"/>
    </xf>
    <xf numFmtId="0" fontId="12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4" fillId="65" borderId="0">
      <alignment vertical="center"/>
    </xf>
    <xf numFmtId="0" fontId="14" fillId="65" borderId="0">
      <alignment vertical="center"/>
    </xf>
    <xf numFmtId="0" fontId="13" fillId="64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66" borderId="0">
      <alignment vertical="center"/>
    </xf>
    <xf numFmtId="0" fontId="14" fillId="60" borderId="0">
      <alignment vertical="center"/>
    </xf>
    <xf numFmtId="0" fontId="17" fillId="66" borderId="0">
      <alignment vertical="center"/>
    </xf>
    <xf numFmtId="0" fontId="13" fillId="67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66" borderId="0">
      <alignment vertical="center"/>
    </xf>
    <xf numFmtId="0" fontId="14" fillId="60" borderId="0">
      <alignment vertical="center"/>
    </xf>
    <xf numFmtId="0" fontId="13" fillId="67" borderId="0">
      <alignment vertical="center"/>
    </xf>
    <xf numFmtId="0" fontId="1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60" borderId="0">
      <alignment vertical="center"/>
    </xf>
    <xf numFmtId="0" fontId="13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68" borderId="0">
      <alignment vertical="center"/>
    </xf>
    <xf numFmtId="0" fontId="14" fillId="61" borderId="0">
      <alignment vertical="center"/>
    </xf>
    <xf numFmtId="0" fontId="17" fillId="68" borderId="0">
      <alignment vertical="center"/>
    </xf>
    <xf numFmtId="0" fontId="13" fillId="6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68" borderId="0">
      <alignment vertical="center"/>
    </xf>
    <xf numFmtId="0" fontId="14" fillId="61" borderId="0">
      <alignment vertical="center"/>
    </xf>
    <xf numFmtId="0" fontId="13" fillId="69" borderId="0">
      <alignment vertical="center"/>
    </xf>
    <xf numFmtId="0" fontId="16" fillId="15" borderId="0" applyNumberFormat="0" applyBorder="0" applyAlignment="0" applyProtection="0">
      <alignment vertical="center"/>
    </xf>
    <xf numFmtId="0" fontId="14" fillId="61" borderId="0">
      <alignment vertical="center"/>
    </xf>
    <xf numFmtId="0" fontId="13" fillId="5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70" borderId="0">
      <alignment vertical="center"/>
    </xf>
    <xf numFmtId="0" fontId="14" fillId="63" borderId="0">
      <alignment vertical="center"/>
    </xf>
    <xf numFmtId="0" fontId="17" fillId="70" borderId="0">
      <alignment vertical="center"/>
    </xf>
    <xf numFmtId="0" fontId="13" fillId="71" borderId="0" applyNumberFormat="0" applyBorder="0" applyAlignment="0" applyProtection="0">
      <alignment vertical="center"/>
    </xf>
    <xf numFmtId="0" fontId="18" fillId="7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70" borderId="0">
      <alignment vertical="center"/>
    </xf>
    <xf numFmtId="0" fontId="14" fillId="63" borderId="0">
      <alignment vertical="center"/>
    </xf>
    <xf numFmtId="0" fontId="13" fillId="71" borderId="0">
      <alignment vertical="center"/>
    </xf>
    <xf numFmtId="0" fontId="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63" borderId="0">
      <alignment vertical="center"/>
    </xf>
    <xf numFmtId="0" fontId="13" fillId="6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73" borderId="0">
      <alignment vertical="center"/>
    </xf>
    <xf numFmtId="0" fontId="14" fillId="40" borderId="0">
      <alignment vertical="center"/>
    </xf>
    <xf numFmtId="0" fontId="17" fillId="73" borderId="0">
      <alignment vertical="center"/>
    </xf>
    <xf numFmtId="0" fontId="13" fillId="5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73" borderId="0">
      <alignment vertical="center"/>
    </xf>
    <xf numFmtId="0" fontId="14" fillId="40" borderId="0">
      <alignment vertical="center"/>
    </xf>
    <xf numFmtId="0" fontId="13" fillId="55" borderId="0">
      <alignment vertical="center"/>
    </xf>
    <xf numFmtId="0" fontId="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40" borderId="0">
      <alignment vertical="center"/>
    </xf>
    <xf numFmtId="0" fontId="13" fillId="3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74" borderId="0">
      <alignment vertical="center"/>
    </xf>
    <xf numFmtId="0" fontId="14" fillId="60" borderId="0">
      <alignment vertical="center"/>
    </xf>
    <xf numFmtId="0" fontId="17" fillId="74" borderId="0">
      <alignment vertical="center"/>
    </xf>
    <xf numFmtId="0" fontId="13" fillId="67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74" borderId="0">
      <alignment vertical="center"/>
    </xf>
    <xf numFmtId="0" fontId="14" fillId="60" borderId="0">
      <alignment vertical="center"/>
    </xf>
    <xf numFmtId="0" fontId="13" fillId="67" borderId="0">
      <alignment vertical="center"/>
    </xf>
    <xf numFmtId="0" fontId="1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60" borderId="0">
      <alignment vertical="center"/>
    </xf>
    <xf numFmtId="0" fontId="13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75" borderId="0">
      <alignment vertical="center"/>
    </xf>
    <xf numFmtId="0" fontId="14" fillId="65" borderId="0">
      <alignment vertical="center"/>
    </xf>
    <xf numFmtId="0" fontId="17" fillId="75" borderId="0">
      <alignment vertical="center"/>
    </xf>
    <xf numFmtId="0" fontId="13" fillId="76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75" borderId="0">
      <alignment vertical="center"/>
    </xf>
    <xf numFmtId="0" fontId="14" fillId="65" borderId="0">
      <alignment vertical="center"/>
    </xf>
    <xf numFmtId="0" fontId="13" fillId="76" borderId="0">
      <alignment vertical="center"/>
    </xf>
    <xf numFmtId="0" fontId="1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65" borderId="0">
      <alignment vertical="center"/>
    </xf>
    <xf numFmtId="0" fontId="13" fillId="6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7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9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1" fillId="78" borderId="0">
      <alignment vertical="center"/>
    </xf>
    <xf numFmtId="0" fontId="21" fillId="78" borderId="0">
      <alignment vertical="center"/>
    </xf>
    <xf numFmtId="0" fontId="20" fillId="7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1" fillId="61" borderId="0">
      <alignment vertical="center"/>
    </xf>
    <xf numFmtId="0" fontId="21" fillId="61" borderId="0">
      <alignment vertical="center"/>
    </xf>
    <xf numFmtId="0" fontId="20" fillId="50" borderId="0" applyNumberFormat="0" applyBorder="0" applyAlignment="0" applyProtection="0">
      <alignment vertical="center"/>
    </xf>
    <xf numFmtId="0" fontId="19" fillId="62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21" fillId="63" borderId="0">
      <alignment vertical="center"/>
    </xf>
    <xf numFmtId="0" fontId="21" fillId="63" borderId="0">
      <alignment vertical="center"/>
    </xf>
    <xf numFmtId="0" fontId="20" fillId="62" borderId="0" applyNumberFormat="0" applyBorder="0" applyAlignment="0" applyProtection="0">
      <alignment vertical="center"/>
    </xf>
    <xf numFmtId="0" fontId="19" fillId="79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1" fillId="80" borderId="0">
      <alignment vertical="center"/>
    </xf>
    <xf numFmtId="0" fontId="21" fillId="80" borderId="0">
      <alignment vertical="center"/>
    </xf>
    <xf numFmtId="0" fontId="20" fillId="79" borderId="0" applyNumberFormat="0" applyBorder="0" applyAlignment="0" applyProtection="0">
      <alignment vertical="center"/>
    </xf>
    <xf numFmtId="0" fontId="19" fillId="81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21" fillId="82" borderId="0">
      <alignment vertical="center"/>
    </xf>
    <xf numFmtId="0" fontId="21" fillId="82" borderId="0">
      <alignment vertical="center"/>
    </xf>
    <xf numFmtId="0" fontId="20" fillId="81" borderId="0" applyNumberFormat="0" applyBorder="0" applyAlignment="0" applyProtection="0">
      <alignment vertical="center"/>
    </xf>
    <xf numFmtId="0" fontId="19" fillId="83" borderId="0" applyNumberFormat="0" applyBorder="0" applyAlignment="0" applyProtection="0">
      <alignment vertical="center"/>
    </xf>
    <xf numFmtId="0" fontId="20" fillId="83" borderId="0" applyNumberFormat="0" applyBorder="0" applyAlignment="0" applyProtection="0">
      <alignment vertical="center"/>
    </xf>
    <xf numFmtId="0" fontId="21" fillId="84" borderId="0">
      <alignment vertical="center"/>
    </xf>
    <xf numFmtId="0" fontId="21" fillId="84" borderId="0">
      <alignment vertical="center"/>
    </xf>
    <xf numFmtId="0" fontId="20" fillId="83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1" fillId="85" borderId="0">
      <alignment vertical="center"/>
    </xf>
    <xf numFmtId="0" fontId="21" fillId="78" borderId="0">
      <alignment vertical="center"/>
    </xf>
    <xf numFmtId="0" fontId="24" fillId="85" borderId="0">
      <alignment vertical="center"/>
    </xf>
    <xf numFmtId="0" fontId="20" fillId="8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1" fillId="85" borderId="0">
      <alignment vertical="center"/>
    </xf>
    <xf numFmtId="0" fontId="21" fillId="78" borderId="0">
      <alignment vertical="center"/>
    </xf>
    <xf numFmtId="0" fontId="20" fillId="86" borderId="0">
      <alignment vertical="center"/>
    </xf>
    <xf numFmtId="0" fontId="23" fillId="12" borderId="0" applyNumberFormat="0" applyBorder="0" applyAlignment="0" applyProtection="0">
      <alignment vertical="center"/>
    </xf>
    <xf numFmtId="0" fontId="21" fillId="78" borderId="0">
      <alignment vertical="center"/>
    </xf>
    <xf numFmtId="0" fontId="20" fillId="7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0" fillId="8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87" borderId="0">
      <alignment vertical="center"/>
    </xf>
    <xf numFmtId="0" fontId="21" fillId="61" borderId="0">
      <alignment vertical="center"/>
    </xf>
    <xf numFmtId="0" fontId="24" fillId="87" borderId="0">
      <alignment vertical="center"/>
    </xf>
    <xf numFmtId="0" fontId="20" fillId="69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87" borderId="0">
      <alignment vertical="center"/>
    </xf>
    <xf numFmtId="0" fontId="21" fillId="61" borderId="0">
      <alignment vertical="center"/>
    </xf>
    <xf numFmtId="0" fontId="20" fillId="69" borderId="0">
      <alignment vertical="center"/>
    </xf>
    <xf numFmtId="0" fontId="23" fillId="16" borderId="0" applyNumberFormat="0" applyBorder="0" applyAlignment="0" applyProtection="0">
      <alignment vertical="center"/>
    </xf>
    <xf numFmtId="0" fontId="21" fillId="61" borderId="0">
      <alignment vertical="center"/>
    </xf>
    <xf numFmtId="0" fontId="20" fillId="5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0" fillId="69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1" fillId="89" borderId="0">
      <alignment vertical="center"/>
    </xf>
    <xf numFmtId="0" fontId="21" fillId="63" borderId="0">
      <alignment vertical="center"/>
    </xf>
    <xf numFmtId="0" fontId="24" fillId="89" borderId="0">
      <alignment vertical="center"/>
    </xf>
    <xf numFmtId="0" fontId="20" fillId="71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1" fillId="89" borderId="0">
      <alignment vertical="center"/>
    </xf>
    <xf numFmtId="0" fontId="21" fillId="63" borderId="0">
      <alignment vertical="center"/>
    </xf>
    <xf numFmtId="0" fontId="20" fillId="71" borderId="0">
      <alignment vertical="center"/>
    </xf>
    <xf numFmtId="0" fontId="23" fillId="20" borderId="0" applyNumberFormat="0" applyBorder="0" applyAlignment="0" applyProtection="0">
      <alignment vertical="center"/>
    </xf>
    <xf numFmtId="0" fontId="21" fillId="63" borderId="0">
      <alignment vertical="center"/>
    </xf>
    <xf numFmtId="0" fontId="20" fillId="6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0" fillId="7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90" borderId="0">
      <alignment vertical="center"/>
    </xf>
    <xf numFmtId="0" fontId="21" fillId="80" borderId="0">
      <alignment vertical="center"/>
    </xf>
    <xf numFmtId="0" fontId="24" fillId="90" borderId="0">
      <alignment vertical="center"/>
    </xf>
    <xf numFmtId="0" fontId="20" fillId="9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90" borderId="0">
      <alignment vertical="center"/>
    </xf>
    <xf numFmtId="0" fontId="21" fillId="80" borderId="0">
      <alignment vertical="center"/>
    </xf>
    <xf numFmtId="0" fontId="20" fillId="91" borderId="0">
      <alignment vertical="center"/>
    </xf>
    <xf numFmtId="0" fontId="23" fillId="24" borderId="0" applyNumberFormat="0" applyBorder="0" applyAlignment="0" applyProtection="0">
      <alignment vertical="center"/>
    </xf>
    <xf numFmtId="0" fontId="21" fillId="80" borderId="0">
      <alignment vertical="center"/>
    </xf>
    <xf numFmtId="0" fontId="20" fillId="7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0" fillId="9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1" fillId="92" borderId="0">
      <alignment vertical="center"/>
    </xf>
    <xf numFmtId="0" fontId="21" fillId="82" borderId="0">
      <alignment vertical="center"/>
    </xf>
    <xf numFmtId="0" fontId="24" fillId="92" borderId="0">
      <alignment vertical="center"/>
    </xf>
    <xf numFmtId="0" fontId="20" fillId="9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1" fillId="92" borderId="0">
      <alignment vertical="center"/>
    </xf>
    <xf numFmtId="0" fontId="21" fillId="82" borderId="0">
      <alignment vertical="center"/>
    </xf>
    <xf numFmtId="0" fontId="20" fillId="93" borderId="0">
      <alignment vertical="center"/>
    </xf>
    <xf numFmtId="0" fontId="23" fillId="28" borderId="0" applyNumberFormat="0" applyBorder="0" applyAlignment="0" applyProtection="0">
      <alignment vertical="center"/>
    </xf>
    <xf numFmtId="0" fontId="21" fillId="82" borderId="0">
      <alignment vertical="center"/>
    </xf>
    <xf numFmtId="0" fontId="20" fillId="81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0" fillId="9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20" fillId="8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1" fillId="94" borderId="0">
      <alignment vertical="center"/>
    </xf>
    <xf numFmtId="0" fontId="21" fillId="84" borderId="0">
      <alignment vertical="center"/>
    </xf>
    <xf numFmtId="0" fontId="24" fillId="94" borderId="0">
      <alignment vertical="center"/>
    </xf>
    <xf numFmtId="0" fontId="20" fillId="95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1" fillId="94" borderId="0">
      <alignment vertical="center"/>
    </xf>
    <xf numFmtId="0" fontId="21" fillId="84" borderId="0">
      <alignment vertical="center"/>
    </xf>
    <xf numFmtId="0" fontId="20" fillId="95" borderId="0">
      <alignment vertical="center"/>
    </xf>
    <xf numFmtId="0" fontId="23" fillId="32" borderId="0" applyNumberFormat="0" applyBorder="0" applyAlignment="0" applyProtection="0">
      <alignment vertical="center"/>
    </xf>
    <xf numFmtId="0" fontId="21" fillId="84" borderId="0">
      <alignment vertical="center"/>
    </xf>
    <xf numFmtId="0" fontId="20" fillId="8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0" fillId="95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0" fillId="83" borderId="0" applyNumberFormat="0" applyBorder="0" applyAlignment="0" applyProtection="0">
      <alignment vertical="center"/>
    </xf>
    <xf numFmtId="0" fontId="20" fillId="83" borderId="0" applyNumberFormat="0" applyBorder="0" applyAlignment="0" applyProtection="0">
      <alignment vertical="center"/>
    </xf>
    <xf numFmtId="0" fontId="20" fillId="83" borderId="0" applyNumberFormat="0" applyBorder="0" applyAlignment="0" applyProtection="0">
      <alignment vertical="center"/>
    </xf>
    <xf numFmtId="0" fontId="19" fillId="96" borderId="0" applyNumberFormat="0" applyBorder="0" applyAlignment="0" applyProtection="0">
      <alignment vertical="center"/>
    </xf>
    <xf numFmtId="0" fontId="20" fillId="96" borderId="0" applyNumberFormat="0" applyBorder="0" applyAlignment="0" applyProtection="0">
      <alignment vertical="center"/>
    </xf>
    <xf numFmtId="0" fontId="21" fillId="97" borderId="0">
      <alignment vertical="center"/>
    </xf>
    <xf numFmtId="0" fontId="21" fillId="97" borderId="0">
      <alignment vertical="center"/>
    </xf>
    <xf numFmtId="0" fontId="20" fillId="96" borderId="0" applyNumberFormat="0" applyBorder="0" applyAlignment="0" applyProtection="0">
      <alignment vertical="center"/>
    </xf>
    <xf numFmtId="0" fontId="19" fillId="98" borderId="0" applyNumberFormat="0" applyBorder="0" applyAlignment="0" applyProtection="0">
      <alignment vertical="center"/>
    </xf>
    <xf numFmtId="0" fontId="20" fillId="98" borderId="0" applyNumberFormat="0" applyBorder="0" applyAlignment="0" applyProtection="0">
      <alignment vertical="center"/>
    </xf>
    <xf numFmtId="0" fontId="21" fillId="99" borderId="0">
      <alignment vertical="center"/>
    </xf>
    <xf numFmtId="0" fontId="21" fillId="99" borderId="0">
      <alignment vertical="center"/>
    </xf>
    <xf numFmtId="0" fontId="20" fillId="98" borderId="0" applyNumberFormat="0" applyBorder="0" applyAlignment="0" applyProtection="0">
      <alignment vertical="center"/>
    </xf>
    <xf numFmtId="0" fontId="19" fillId="100" borderId="0" applyNumberFormat="0" applyBorder="0" applyAlignment="0" applyProtection="0">
      <alignment vertical="center"/>
    </xf>
    <xf numFmtId="0" fontId="20" fillId="100" borderId="0" applyNumberFormat="0" applyBorder="0" applyAlignment="0" applyProtection="0">
      <alignment vertical="center"/>
    </xf>
    <xf numFmtId="0" fontId="21" fillId="101" borderId="0">
      <alignment vertical="center"/>
    </xf>
    <xf numFmtId="0" fontId="21" fillId="101" borderId="0">
      <alignment vertical="center"/>
    </xf>
    <xf numFmtId="0" fontId="20" fillId="100" borderId="0" applyNumberFormat="0" applyBorder="0" applyAlignment="0" applyProtection="0">
      <alignment vertical="center"/>
    </xf>
    <xf numFmtId="0" fontId="19" fillId="79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1" fillId="80" borderId="0">
      <alignment vertical="center"/>
    </xf>
    <xf numFmtId="0" fontId="21" fillId="80" borderId="0">
      <alignment vertical="center"/>
    </xf>
    <xf numFmtId="0" fontId="20" fillId="79" borderId="0" applyNumberFormat="0" applyBorder="0" applyAlignment="0" applyProtection="0">
      <alignment vertical="center"/>
    </xf>
    <xf numFmtId="0" fontId="19" fillId="81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21" fillId="82" borderId="0">
      <alignment vertical="center"/>
    </xf>
    <xf numFmtId="0" fontId="21" fillId="82" borderId="0">
      <alignment vertical="center"/>
    </xf>
    <xf numFmtId="0" fontId="20" fillId="81" borderId="0" applyNumberFormat="0" applyBorder="0" applyAlignment="0" applyProtection="0">
      <alignment vertical="center"/>
    </xf>
    <xf numFmtId="0" fontId="19" fillId="88" borderId="0" applyNumberFormat="0" applyBorder="0" applyAlignment="0" applyProtection="0">
      <alignment vertical="center"/>
    </xf>
    <xf numFmtId="0" fontId="20" fillId="88" borderId="0" applyNumberFormat="0" applyBorder="0" applyAlignment="0" applyProtection="0">
      <alignment vertical="center"/>
    </xf>
    <xf numFmtId="0" fontId="21" fillId="102" borderId="0">
      <alignment vertical="center"/>
    </xf>
    <xf numFmtId="0" fontId="21" fillId="102" borderId="0">
      <alignment vertical="center"/>
    </xf>
    <xf numFmtId="0" fontId="20" fillId="88" borderId="0" applyNumberFormat="0" applyBorder="0" applyAlignment="0" applyProtection="0">
      <alignment vertical="center"/>
    </xf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8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8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31" fillId="0" borderId="0"/>
    <xf numFmtId="179" fontId="31" fillId="0" borderId="0"/>
    <xf numFmtId="179" fontId="31" fillId="0" borderId="0"/>
    <xf numFmtId="179" fontId="31" fillId="0" borderId="0"/>
    <xf numFmtId="181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181" fontId="33" fillId="0" borderId="0"/>
    <xf numFmtId="181" fontId="33" fillId="0" borderId="0"/>
    <xf numFmtId="181" fontId="33" fillId="0" borderId="0"/>
    <xf numFmtId="181" fontId="33" fillId="0" borderId="0"/>
    <xf numFmtId="181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181" fontId="33" fillId="0" borderId="0"/>
    <xf numFmtId="181" fontId="33" fillId="0" borderId="0"/>
    <xf numFmtId="181" fontId="33" fillId="0" borderId="0"/>
    <xf numFmtId="181" fontId="33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80" fontId="29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1" fillId="0" borderId="0"/>
    <xf numFmtId="180" fontId="31" fillId="0" borderId="0"/>
    <xf numFmtId="180" fontId="31" fillId="0" borderId="0"/>
    <xf numFmtId="180" fontId="31" fillId="0" borderId="0"/>
    <xf numFmtId="182" fontId="26" fillId="0" borderId="0" applyFont="0" applyFill="0" applyBorder="0" applyAlignment="0" applyProtection="0"/>
    <xf numFmtId="182" fontId="27" fillId="0" borderId="0" applyFont="0" applyFill="0" applyBorder="0" applyAlignment="0" applyProtection="0"/>
    <xf numFmtId="183" fontId="28" fillId="0" borderId="0" applyFont="0" applyFill="0" applyBorder="0" applyAlignment="0" applyProtection="0"/>
    <xf numFmtId="182" fontId="27" fillId="0" borderId="0" applyFont="0" applyFill="0" applyBorder="0" applyAlignment="0" applyProtection="0"/>
    <xf numFmtId="183" fontId="28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30" fillId="0" borderId="0" applyFont="0" applyFill="0" applyBorder="0" applyAlignment="0" applyProtection="0"/>
    <xf numFmtId="182" fontId="31" fillId="0" borderId="0"/>
    <xf numFmtId="182" fontId="31" fillId="0" borderId="0"/>
    <xf numFmtId="182" fontId="31" fillId="0" borderId="0"/>
    <xf numFmtId="182" fontId="31" fillId="0" borderId="0"/>
    <xf numFmtId="184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/>
    <xf numFmtId="184" fontId="33" fillId="0" borderId="0"/>
    <xf numFmtId="184" fontId="33" fillId="0" borderId="0"/>
    <xf numFmtId="184" fontId="33" fillId="0" borderId="0"/>
    <xf numFmtId="184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/>
    <xf numFmtId="184" fontId="33" fillId="0" borderId="0"/>
    <xf numFmtId="184" fontId="33" fillId="0" borderId="0"/>
    <xf numFmtId="184" fontId="33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83" fontId="2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1" fillId="0" borderId="0"/>
    <xf numFmtId="183" fontId="31" fillId="0" borderId="0"/>
    <xf numFmtId="183" fontId="31" fillId="0" borderId="0"/>
    <xf numFmtId="183" fontId="31" fillId="0" borderId="0"/>
    <xf numFmtId="183" fontId="29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31" fillId="0" borderId="0"/>
    <xf numFmtId="183" fontId="31" fillId="0" borderId="0"/>
    <xf numFmtId="183" fontId="31" fillId="0" borderId="0"/>
    <xf numFmtId="183" fontId="31" fillId="0" borderId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185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176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76" fontId="28" fillId="0" borderId="0" applyFont="0" applyFill="0" applyBorder="0" applyAlignment="0" applyProtection="0"/>
    <xf numFmtId="38" fontId="29" fillId="0" borderId="0" applyFont="0" applyFill="0" applyBorder="0" applyAlignment="0" applyProtection="0"/>
    <xf numFmtId="38" fontId="30" fillId="0" borderId="0" applyFont="0" applyFill="0" applyBorder="0" applyAlignment="0" applyProtection="0"/>
    <xf numFmtId="38" fontId="31" fillId="0" borderId="0"/>
    <xf numFmtId="38" fontId="31" fillId="0" borderId="0"/>
    <xf numFmtId="38" fontId="31" fillId="0" borderId="0"/>
    <xf numFmtId="38" fontId="31" fillId="0" borderId="0"/>
    <xf numFmtId="176" fontId="2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1" fillId="0" borderId="0"/>
    <xf numFmtId="176" fontId="31" fillId="0" borderId="0"/>
    <xf numFmtId="176" fontId="31" fillId="0" borderId="0"/>
    <xf numFmtId="176" fontId="31" fillId="0" borderId="0"/>
    <xf numFmtId="186" fontId="26" fillId="0" borderId="0" applyFont="0" applyFill="0" applyBorder="0" applyAlignment="0" applyProtection="0"/>
    <xf numFmtId="186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40" fontId="29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1" fillId="0" borderId="0"/>
    <xf numFmtId="40" fontId="31" fillId="0" borderId="0"/>
    <xf numFmtId="40" fontId="31" fillId="0" borderId="0"/>
    <xf numFmtId="40" fontId="31" fillId="0" borderId="0"/>
    <xf numFmtId="187" fontId="29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31" fillId="0" borderId="0"/>
    <xf numFmtId="187" fontId="31" fillId="0" borderId="0"/>
    <xf numFmtId="187" fontId="31" fillId="0" borderId="0"/>
    <xf numFmtId="187" fontId="31" fillId="0" borderId="0"/>
    <xf numFmtId="187" fontId="29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31" fillId="0" borderId="0"/>
    <xf numFmtId="187" fontId="31" fillId="0" borderId="0"/>
    <xf numFmtId="187" fontId="31" fillId="0" borderId="0"/>
    <xf numFmtId="187" fontId="31" fillId="0" borderId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>
      <alignment vertical="center"/>
    </xf>
    <xf numFmtId="0" fontId="36" fillId="36" borderId="0">
      <alignment vertical="center"/>
    </xf>
    <xf numFmtId="0" fontId="35" fillId="35" borderId="0" applyNumberFormat="0" applyBorder="0" applyAlignment="0" applyProtection="0">
      <alignment vertical="center"/>
    </xf>
    <xf numFmtId="0" fontId="29" fillId="0" borderId="0"/>
    <xf numFmtId="0" fontId="26" fillId="0" borderId="0"/>
    <xf numFmtId="0" fontId="27" fillId="0" borderId="0"/>
    <xf numFmtId="0" fontId="28" fillId="0" borderId="0"/>
    <xf numFmtId="0" fontId="27" fillId="0" borderId="0"/>
    <xf numFmtId="0" fontId="30" fillId="0" borderId="0"/>
    <xf numFmtId="0" fontId="37" fillId="0" borderId="0"/>
    <xf numFmtId="0" fontId="2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9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2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ill="0" applyBorder="0" applyAlignment="0"/>
    <xf numFmtId="0" fontId="42" fillId="0" borderId="0"/>
    <xf numFmtId="0" fontId="43" fillId="103" borderId="24" applyNumberFormat="0" applyAlignment="0" applyProtection="0">
      <alignment vertical="center"/>
    </xf>
    <xf numFmtId="0" fontId="44" fillId="103" borderId="24" applyNumberFormat="0" applyAlignment="0" applyProtection="0">
      <alignment vertical="center"/>
    </xf>
    <xf numFmtId="0" fontId="45" fillId="104" borderId="25">
      <alignment vertical="center"/>
    </xf>
    <xf numFmtId="0" fontId="45" fillId="104" borderId="25">
      <alignment vertical="center"/>
    </xf>
    <xf numFmtId="0" fontId="44" fillId="103" borderId="24" applyNumberFormat="0" applyAlignment="0" applyProtection="0">
      <alignment vertical="center"/>
    </xf>
    <xf numFmtId="0" fontId="46" fillId="0" borderId="0"/>
    <xf numFmtId="0" fontId="47" fillId="0" borderId="0"/>
    <xf numFmtId="0" fontId="48" fillId="105" borderId="26" applyNumberFormat="0" applyAlignment="0" applyProtection="0">
      <alignment vertical="center"/>
    </xf>
    <xf numFmtId="0" fontId="49" fillId="105" borderId="26" applyNumberFormat="0" applyAlignment="0" applyProtection="0">
      <alignment vertical="center"/>
    </xf>
    <xf numFmtId="0" fontId="50" fillId="106" borderId="27">
      <alignment vertical="center"/>
    </xf>
    <xf numFmtId="0" fontId="50" fillId="106" borderId="27">
      <alignment vertical="center"/>
    </xf>
    <xf numFmtId="0" fontId="49" fillId="105" borderId="26" applyNumberFormat="0" applyAlignment="0" applyProtection="0">
      <alignment vertical="center"/>
    </xf>
    <xf numFmtId="176" fontId="51" fillId="0" borderId="0" applyFont="0" applyFill="0" applyBorder="0" applyAlignment="0" applyProtection="0"/>
    <xf numFmtId="188" fontId="52" fillId="0" borderId="0"/>
    <xf numFmtId="188" fontId="53" fillId="0" borderId="0"/>
    <xf numFmtId="187" fontId="51" fillId="0" borderId="0" applyFont="0" applyFill="0" applyBorder="0" applyAlignment="0" applyProtection="0"/>
    <xf numFmtId="0" fontId="54" fillId="0" borderId="0" applyNumberFormat="0" applyAlignment="0">
      <alignment horizontal="left"/>
    </xf>
    <xf numFmtId="0" fontId="33" fillId="0" borderId="0">
      <alignment horizontal="left"/>
    </xf>
    <xf numFmtId="189" fontId="51" fillId="0" borderId="0" applyFont="0" applyFill="0" applyBorder="0" applyAlignment="0" applyProtection="0"/>
    <xf numFmtId="190" fontId="51" fillId="0" borderId="0" applyFont="0" applyFill="0" applyBorder="0" applyAlignment="0" applyProtection="0"/>
    <xf numFmtId="191" fontId="52" fillId="0" borderId="0"/>
    <xf numFmtId="191" fontId="53" fillId="0" borderId="0"/>
    <xf numFmtId="0" fontId="55" fillId="0" borderId="0" applyFill="0" applyBorder="0" applyAlignment="0" applyProtection="0"/>
    <xf numFmtId="0" fontId="56" fillId="0" borderId="0"/>
    <xf numFmtId="192" fontId="51" fillId="0" borderId="0" applyFont="0" applyFill="0" applyBorder="0" applyAlignment="0" applyProtection="0"/>
    <xf numFmtId="193" fontId="51" fillId="0" borderId="0" applyFont="0" applyFill="0" applyBorder="0" applyAlignment="0" applyProtection="0"/>
    <xf numFmtId="194" fontId="52" fillId="0" borderId="0"/>
    <xf numFmtId="194" fontId="53" fillId="0" borderId="0"/>
    <xf numFmtId="0" fontId="57" fillId="0" borderId="0" applyNumberFormat="0" applyAlignment="0">
      <alignment horizontal="left"/>
    </xf>
    <xf numFmtId="0" fontId="58" fillId="0" borderId="0">
      <alignment horizontal="left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2" fontId="55" fillId="0" borderId="0" applyFill="0" applyBorder="0" applyAlignment="0" applyProtection="0"/>
    <xf numFmtId="2" fontId="56" fillId="0" borderId="0"/>
    <xf numFmtId="0" fontId="62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3" fillId="37" borderId="0" applyNumberFormat="0" applyBorder="0" applyAlignment="0" applyProtection="0">
      <alignment vertical="center"/>
    </xf>
    <xf numFmtId="38" fontId="65" fillId="107" borderId="0" applyNumberFormat="0" applyBorder="0" applyAlignment="0" applyProtection="0"/>
    <xf numFmtId="38" fontId="66" fillId="104" borderId="0"/>
    <xf numFmtId="0" fontId="67" fillId="0" borderId="0">
      <alignment horizontal="left"/>
    </xf>
    <xf numFmtId="0" fontId="68" fillId="0" borderId="0">
      <alignment horizontal="left"/>
    </xf>
    <xf numFmtId="0" fontId="69" fillId="0" borderId="28" applyNumberFormat="0" applyAlignment="0" applyProtection="0">
      <alignment horizontal="left" vertical="center"/>
    </xf>
    <xf numFmtId="0" fontId="70" fillId="0" borderId="28">
      <alignment horizontal="left" vertical="center"/>
    </xf>
    <xf numFmtId="0" fontId="69" fillId="0" borderId="29">
      <alignment horizontal="left" vertical="center"/>
    </xf>
    <xf numFmtId="0" fontId="70" fillId="0" borderId="29">
      <alignment horizontal="left" vertical="center"/>
    </xf>
    <xf numFmtId="0" fontId="71" fillId="0" borderId="30" applyNumberFormat="0" applyFill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73" fillId="0" borderId="31">
      <alignment vertical="center"/>
    </xf>
    <xf numFmtId="0" fontId="73" fillId="0" borderId="31">
      <alignment vertical="center"/>
    </xf>
    <xf numFmtId="0" fontId="72" fillId="0" borderId="30" applyNumberFormat="0" applyFill="0" applyAlignment="0" applyProtection="0">
      <alignment vertical="center"/>
    </xf>
    <xf numFmtId="0" fontId="74" fillId="0" borderId="32" applyNumberFormat="0" applyFill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6" fillId="0" borderId="33">
      <alignment vertical="center"/>
    </xf>
    <xf numFmtId="0" fontId="76" fillId="0" borderId="33">
      <alignment vertical="center"/>
    </xf>
    <xf numFmtId="0" fontId="75" fillId="0" borderId="32" applyNumberFormat="0" applyFill="0" applyAlignment="0" applyProtection="0">
      <alignment vertical="center"/>
    </xf>
    <xf numFmtId="0" fontId="77" fillId="0" borderId="34" applyNumberFormat="0" applyFill="0" applyAlignment="0" applyProtection="0">
      <alignment vertical="center"/>
    </xf>
    <xf numFmtId="0" fontId="78" fillId="0" borderId="34" applyNumberFormat="0" applyFill="0" applyAlignment="0" applyProtection="0">
      <alignment vertical="center"/>
    </xf>
    <xf numFmtId="0" fontId="79" fillId="0" borderId="35">
      <alignment vertical="center"/>
    </xf>
    <xf numFmtId="0" fontId="79" fillId="0" borderId="35">
      <alignment vertical="center"/>
    </xf>
    <xf numFmtId="0" fontId="78" fillId="0" borderId="34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0"/>
    <xf numFmtId="0" fontId="69" fillId="0" borderId="0" applyNumberFormat="0" applyFill="0" applyBorder="0" applyAlignment="0" applyProtection="0"/>
    <xf numFmtId="0" fontId="70" fillId="0" borderId="0"/>
    <xf numFmtId="0" fontId="82" fillId="43" borderId="24" applyNumberFormat="0" applyAlignment="0" applyProtection="0">
      <alignment vertical="center"/>
    </xf>
    <xf numFmtId="10" fontId="65" fillId="108" borderId="36" applyNumberFormat="0" applyBorder="0" applyAlignment="0" applyProtection="0"/>
    <xf numFmtId="10" fontId="66" fillId="109" borderId="36"/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3" fillId="43" borderId="24" applyNumberFormat="0" applyAlignment="0" applyProtection="0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85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7" fillId="0" borderId="38">
      <alignment vertical="center"/>
    </xf>
    <xf numFmtId="0" fontId="87" fillId="0" borderId="38">
      <alignment vertical="center"/>
    </xf>
    <xf numFmtId="0" fontId="86" fillId="0" borderId="37" applyNumberFormat="0" applyFill="0" applyAlignment="0" applyProtection="0">
      <alignment vertical="center"/>
    </xf>
    <xf numFmtId="195" fontId="51" fillId="0" borderId="0" applyFont="0" applyFill="0" applyBorder="0" applyAlignment="0" applyProtection="0"/>
    <xf numFmtId="196" fontId="51" fillId="0" borderId="0" applyFont="0" applyFill="0" applyBorder="0" applyAlignment="0" applyProtection="0"/>
    <xf numFmtId="0" fontId="88" fillId="0" borderId="39"/>
    <xf numFmtId="0" fontId="89" fillId="0" borderId="39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0" fillId="72" borderId="0" applyNumberFormat="0" applyBorder="0" applyAlignment="0" applyProtection="0">
      <alignment vertical="center"/>
    </xf>
    <xf numFmtId="0" fontId="91" fillId="72" borderId="0" applyNumberFormat="0" applyBorder="0" applyAlignment="0" applyProtection="0">
      <alignment vertical="center"/>
    </xf>
    <xf numFmtId="0" fontId="92" fillId="110" borderId="0">
      <alignment vertical="center"/>
    </xf>
    <xf numFmtId="0" fontId="92" fillId="110" borderId="0">
      <alignment vertical="center"/>
    </xf>
    <xf numFmtId="0" fontId="91" fillId="72" borderId="0" applyNumberFormat="0" applyBorder="0" applyAlignment="0" applyProtection="0">
      <alignment vertical="center"/>
    </xf>
    <xf numFmtId="197" fontId="41" fillId="0" borderId="0"/>
    <xf numFmtId="197" fontId="42" fillId="0" borderId="0"/>
    <xf numFmtId="0" fontId="51" fillId="0" borderId="0"/>
    <xf numFmtId="0" fontId="41" fillId="53" borderId="40" applyNumberFormat="0" applyFont="0" applyAlignment="0" applyProtection="0">
      <alignment vertical="center"/>
    </xf>
    <xf numFmtId="0" fontId="42" fillId="109" borderId="41">
      <alignment vertical="center"/>
    </xf>
    <xf numFmtId="0" fontId="93" fillId="103" borderId="42" applyNumberFormat="0" applyAlignment="0" applyProtection="0">
      <alignment vertical="center"/>
    </xf>
    <xf numFmtId="0" fontId="94" fillId="103" borderId="42" applyNumberFormat="0" applyAlignment="0" applyProtection="0">
      <alignment vertical="center"/>
    </xf>
    <xf numFmtId="0" fontId="95" fillId="104" borderId="43">
      <alignment vertical="center"/>
    </xf>
    <xf numFmtId="0" fontId="95" fillId="104" borderId="43">
      <alignment vertical="center"/>
    </xf>
    <xf numFmtId="0" fontId="94" fillId="103" borderId="42" applyNumberFormat="0" applyAlignment="0" applyProtection="0">
      <alignment vertical="center"/>
    </xf>
    <xf numFmtId="10" fontId="51" fillId="0" borderId="0" applyFont="0" applyFill="0" applyBorder="0" applyAlignment="0" applyProtection="0"/>
    <xf numFmtId="10" fontId="96" fillId="0" borderId="0"/>
    <xf numFmtId="0" fontId="51" fillId="0" borderId="0"/>
    <xf numFmtId="0" fontId="88" fillId="0" borderId="0"/>
    <xf numFmtId="0" fontId="89" fillId="0" borderId="0"/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100" fillId="0" borderId="44" applyNumberFormat="0" applyFill="0" applyAlignment="0" applyProtection="0">
      <alignment vertical="center"/>
    </xf>
    <xf numFmtId="0" fontId="101" fillId="0" borderId="44" applyNumberFormat="0" applyFill="0" applyAlignment="0" applyProtection="0">
      <alignment vertical="center"/>
    </xf>
    <xf numFmtId="0" fontId="102" fillId="0" borderId="45">
      <alignment vertical="center"/>
    </xf>
    <xf numFmtId="0" fontId="102" fillId="0" borderId="45">
      <alignment vertical="center"/>
    </xf>
    <xf numFmtId="0" fontId="101" fillId="0" borderId="44" applyNumberFormat="0" applyFill="0" applyAlignment="0" applyProtection="0">
      <alignment vertical="center"/>
    </xf>
    <xf numFmtId="198" fontId="51" fillId="0" borderId="0" applyFont="0" applyFill="0" applyBorder="0" applyAlignment="0" applyProtection="0"/>
    <xf numFmtId="199" fontId="51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0" fillId="9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1" fillId="111" borderId="0">
      <alignment vertical="center"/>
    </xf>
    <xf numFmtId="0" fontId="21" fillId="97" borderId="0">
      <alignment vertical="center"/>
    </xf>
    <xf numFmtId="0" fontId="24" fillId="111" borderId="0">
      <alignment vertical="center"/>
    </xf>
    <xf numFmtId="0" fontId="20" fillId="112" borderId="0" applyNumberFormat="0" applyBorder="0" applyAlignment="0" applyProtection="0">
      <alignment vertical="center"/>
    </xf>
    <xf numFmtId="0" fontId="25" fillId="11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1" fillId="111" borderId="0">
      <alignment vertical="center"/>
    </xf>
    <xf numFmtId="0" fontId="21" fillId="97" borderId="0">
      <alignment vertical="center"/>
    </xf>
    <xf numFmtId="0" fontId="20" fillId="112" borderId="0">
      <alignment vertical="center"/>
    </xf>
    <xf numFmtId="0" fontId="23" fillId="9" borderId="0" applyNumberFormat="0" applyBorder="0" applyAlignment="0" applyProtection="0">
      <alignment vertical="center"/>
    </xf>
    <xf numFmtId="0" fontId="21" fillId="97" borderId="0">
      <alignment vertical="center"/>
    </xf>
    <xf numFmtId="0" fontId="20" fillId="96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0" fillId="1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0" fillId="96" borderId="0" applyNumberFormat="0" applyBorder="0" applyAlignment="0" applyProtection="0">
      <alignment vertical="center"/>
    </xf>
    <xf numFmtId="0" fontId="20" fillId="96" borderId="0" applyNumberFormat="0" applyBorder="0" applyAlignment="0" applyProtection="0">
      <alignment vertical="center"/>
    </xf>
    <xf numFmtId="0" fontId="20" fillId="96" borderId="0" applyNumberFormat="0" applyBorder="0" applyAlignment="0" applyProtection="0">
      <alignment vertical="center"/>
    </xf>
    <xf numFmtId="0" fontId="20" fillId="9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1" fillId="114" borderId="0">
      <alignment vertical="center"/>
    </xf>
    <xf numFmtId="0" fontId="21" fillId="99" borderId="0">
      <alignment vertical="center"/>
    </xf>
    <xf numFmtId="0" fontId="24" fillId="114" borderId="0">
      <alignment vertical="center"/>
    </xf>
    <xf numFmtId="0" fontId="20" fillId="115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1" fillId="114" borderId="0">
      <alignment vertical="center"/>
    </xf>
    <xf numFmtId="0" fontId="21" fillId="99" borderId="0">
      <alignment vertical="center"/>
    </xf>
    <xf numFmtId="0" fontId="20" fillId="115" borderId="0">
      <alignment vertical="center"/>
    </xf>
    <xf numFmtId="0" fontId="23" fillId="13" borderId="0" applyNumberFormat="0" applyBorder="0" applyAlignment="0" applyProtection="0">
      <alignment vertical="center"/>
    </xf>
    <xf numFmtId="0" fontId="21" fillId="99" borderId="0">
      <alignment vertical="center"/>
    </xf>
    <xf numFmtId="0" fontId="20" fillId="9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0" fillId="1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0" fillId="98" borderId="0" applyNumberFormat="0" applyBorder="0" applyAlignment="0" applyProtection="0">
      <alignment vertical="center"/>
    </xf>
    <xf numFmtId="0" fontId="20" fillId="98" borderId="0" applyNumberFormat="0" applyBorder="0" applyAlignment="0" applyProtection="0">
      <alignment vertical="center"/>
    </xf>
    <xf numFmtId="0" fontId="20" fillId="98" borderId="0" applyNumberFormat="0" applyBorder="0" applyAlignment="0" applyProtection="0">
      <alignment vertical="center"/>
    </xf>
    <xf numFmtId="0" fontId="20" fillId="100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1" fillId="116" borderId="0">
      <alignment vertical="center"/>
    </xf>
    <xf numFmtId="0" fontId="21" fillId="101" borderId="0">
      <alignment vertical="center"/>
    </xf>
    <xf numFmtId="0" fontId="24" fillId="116" borderId="0">
      <alignment vertical="center"/>
    </xf>
    <xf numFmtId="0" fontId="20" fillId="117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1" fillId="116" borderId="0">
      <alignment vertical="center"/>
    </xf>
    <xf numFmtId="0" fontId="21" fillId="101" borderId="0">
      <alignment vertical="center"/>
    </xf>
    <xf numFmtId="0" fontId="20" fillId="117" borderId="0">
      <alignment vertical="center"/>
    </xf>
    <xf numFmtId="0" fontId="23" fillId="17" borderId="0" applyNumberFormat="0" applyBorder="0" applyAlignment="0" applyProtection="0">
      <alignment vertical="center"/>
    </xf>
    <xf numFmtId="0" fontId="21" fillId="101" borderId="0">
      <alignment vertical="center"/>
    </xf>
    <xf numFmtId="0" fontId="20" fillId="100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0" fillId="1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0" fillId="100" borderId="0" applyNumberFormat="0" applyBorder="0" applyAlignment="0" applyProtection="0">
      <alignment vertical="center"/>
    </xf>
    <xf numFmtId="0" fontId="20" fillId="100" borderId="0" applyNumberFormat="0" applyBorder="0" applyAlignment="0" applyProtection="0">
      <alignment vertical="center"/>
    </xf>
    <xf numFmtId="0" fontId="20" fillId="100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1" fillId="118" borderId="0">
      <alignment vertical="center"/>
    </xf>
    <xf numFmtId="0" fontId="21" fillId="80" borderId="0">
      <alignment vertical="center"/>
    </xf>
    <xf numFmtId="0" fontId="24" fillId="118" borderId="0">
      <alignment vertical="center"/>
    </xf>
    <xf numFmtId="0" fontId="20" fillId="91" borderId="0" applyNumberFormat="0" applyBorder="0" applyAlignment="0" applyProtection="0">
      <alignment vertical="center"/>
    </xf>
    <xf numFmtId="0" fontId="25" fillId="1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1" fillId="118" borderId="0">
      <alignment vertical="center"/>
    </xf>
    <xf numFmtId="0" fontId="21" fillId="80" borderId="0">
      <alignment vertical="center"/>
    </xf>
    <xf numFmtId="0" fontId="20" fillId="91" borderId="0">
      <alignment vertical="center"/>
    </xf>
    <xf numFmtId="0" fontId="23" fillId="21" borderId="0" applyNumberFormat="0" applyBorder="0" applyAlignment="0" applyProtection="0">
      <alignment vertical="center"/>
    </xf>
    <xf numFmtId="0" fontId="21" fillId="80" borderId="0">
      <alignment vertical="center"/>
    </xf>
    <xf numFmtId="0" fontId="20" fillId="7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0" fillId="9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1" fillId="120" borderId="0">
      <alignment vertical="center"/>
    </xf>
    <xf numFmtId="0" fontId="21" fillId="82" borderId="0">
      <alignment vertical="center"/>
    </xf>
    <xf numFmtId="0" fontId="24" fillId="120" borderId="0">
      <alignment vertical="center"/>
    </xf>
    <xf numFmtId="0" fontId="20" fillId="9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1" fillId="120" borderId="0">
      <alignment vertical="center"/>
    </xf>
    <xf numFmtId="0" fontId="21" fillId="82" borderId="0">
      <alignment vertical="center"/>
    </xf>
    <xf numFmtId="0" fontId="20" fillId="93" borderId="0">
      <alignment vertical="center"/>
    </xf>
    <xf numFmtId="0" fontId="23" fillId="25" borderId="0" applyNumberFormat="0" applyBorder="0" applyAlignment="0" applyProtection="0">
      <alignment vertical="center"/>
    </xf>
    <xf numFmtId="0" fontId="21" fillId="82" borderId="0">
      <alignment vertical="center"/>
    </xf>
    <xf numFmtId="0" fontId="20" fillId="8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9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20" fillId="8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1" fillId="121" borderId="0">
      <alignment vertical="center"/>
    </xf>
    <xf numFmtId="0" fontId="21" fillId="102" borderId="0">
      <alignment vertical="center"/>
    </xf>
    <xf numFmtId="0" fontId="24" fillId="121" borderId="0">
      <alignment vertical="center"/>
    </xf>
    <xf numFmtId="0" fontId="20" fillId="122" borderId="0" applyNumberFormat="0" applyBorder="0" applyAlignment="0" applyProtection="0">
      <alignment vertical="center"/>
    </xf>
    <xf numFmtId="0" fontId="25" fillId="9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1" fillId="121" borderId="0">
      <alignment vertical="center"/>
    </xf>
    <xf numFmtId="0" fontId="21" fillId="102" borderId="0">
      <alignment vertical="center"/>
    </xf>
    <xf numFmtId="0" fontId="20" fillId="122" borderId="0">
      <alignment vertical="center"/>
    </xf>
    <xf numFmtId="0" fontId="23" fillId="29" borderId="0" applyNumberFormat="0" applyBorder="0" applyAlignment="0" applyProtection="0">
      <alignment vertical="center"/>
    </xf>
    <xf numFmtId="0" fontId="21" fillId="102" borderId="0">
      <alignment vertical="center"/>
    </xf>
    <xf numFmtId="0" fontId="20" fillId="8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122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88" borderId="0" applyNumberFormat="0" applyBorder="0" applyAlignment="0" applyProtection="0">
      <alignment vertical="center"/>
    </xf>
    <xf numFmtId="0" fontId="20" fillId="88" borderId="0" applyNumberFormat="0" applyBorder="0" applyAlignment="0" applyProtection="0">
      <alignment vertical="center"/>
    </xf>
    <xf numFmtId="0" fontId="20" fillId="88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06" fillId="0" borderId="0">
      <alignment vertical="center"/>
    </xf>
    <xf numFmtId="0" fontId="104" fillId="0" borderId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4" fillId="103" borderId="24" applyNumberFormat="0" applyAlignment="0" applyProtection="0">
      <alignment vertical="center"/>
    </xf>
    <xf numFmtId="0" fontId="108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10" fillId="123" borderId="4">
      <alignment vertical="center"/>
    </xf>
    <xf numFmtId="0" fontId="45" fillId="104" borderId="25">
      <alignment vertical="center"/>
    </xf>
    <xf numFmtId="0" fontId="108" fillId="123" borderId="4">
      <alignment vertical="center"/>
    </xf>
    <xf numFmtId="0" fontId="44" fillId="107" borderId="24" applyNumberFormat="0" applyAlignment="0" applyProtection="0">
      <alignment vertical="center"/>
    </xf>
    <xf numFmtId="0" fontId="111" fillId="124" borderId="2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10" fillId="123" borderId="4">
      <alignment vertical="center"/>
    </xf>
    <xf numFmtId="0" fontId="45" fillId="104" borderId="25">
      <alignment vertical="center"/>
    </xf>
    <xf numFmtId="0" fontId="44" fillId="107" borderId="24">
      <alignment vertical="center"/>
    </xf>
    <xf numFmtId="0" fontId="109" fillId="6" borderId="4" applyNumberFormat="0" applyAlignment="0" applyProtection="0">
      <alignment vertical="center"/>
    </xf>
    <xf numFmtId="0" fontId="45" fillId="104" borderId="25">
      <alignment vertical="center"/>
    </xf>
    <xf numFmtId="0" fontId="44" fillId="103" borderId="2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44" fillId="107" borderId="2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44" fillId="103" borderId="24" applyNumberFormat="0" applyAlignment="0" applyProtection="0">
      <alignment vertical="center"/>
    </xf>
    <xf numFmtId="0" fontId="44" fillId="103" borderId="24" applyNumberFormat="0" applyAlignment="0" applyProtection="0">
      <alignment vertical="center"/>
    </xf>
    <xf numFmtId="0" fontId="44" fillId="103" borderId="24" applyNumberFormat="0" applyAlignment="0" applyProtection="0">
      <alignment vertical="center"/>
    </xf>
    <xf numFmtId="0" fontId="41" fillId="0" borderId="0">
      <protection locked="0"/>
    </xf>
    <xf numFmtId="0" fontId="4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0" fontId="114" fillId="0" borderId="0" applyFill="0" applyBorder="0" applyProtection="0">
      <alignment horizontal="left" shrinkToFit="1"/>
    </xf>
    <xf numFmtId="0" fontId="38" fillId="0" borderId="0">
      <alignment horizontal="left" shrinkToFit="1"/>
    </xf>
    <xf numFmtId="0" fontId="35" fillId="35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7" fillId="125" borderId="0">
      <alignment vertical="center"/>
    </xf>
    <xf numFmtId="0" fontId="36" fillId="36" borderId="0">
      <alignment vertical="center"/>
    </xf>
    <xf numFmtId="0" fontId="115" fillId="125" borderId="0">
      <alignment vertical="center"/>
    </xf>
    <xf numFmtId="0" fontId="35" fillId="49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7" fillId="125" borderId="0">
      <alignment vertical="center"/>
    </xf>
    <xf numFmtId="0" fontId="36" fillId="36" borderId="0">
      <alignment vertical="center"/>
    </xf>
    <xf numFmtId="0" fontId="35" fillId="49" borderId="0">
      <alignment vertical="center"/>
    </xf>
    <xf numFmtId="0" fontId="116" fillId="3" borderId="0" applyNumberFormat="0" applyBorder="0" applyAlignment="0" applyProtection="0">
      <alignment vertical="center"/>
    </xf>
    <xf numFmtId="0" fontId="36" fillId="36" borderId="0">
      <alignment vertical="center"/>
    </xf>
    <xf numFmtId="0" fontId="35" fillId="35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19" fillId="0" borderId="0">
      <protection locked="0"/>
    </xf>
    <xf numFmtId="0" fontId="120" fillId="0" borderId="0">
      <protection locked="0"/>
    </xf>
    <xf numFmtId="0" fontId="119" fillId="0" borderId="0">
      <protection locked="0"/>
    </xf>
    <xf numFmtId="0" fontId="120" fillId="0" borderId="0">
      <protection locked="0"/>
    </xf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8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41" fillId="108" borderId="40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4" fillId="109" borderId="8">
      <alignment vertical="center"/>
    </xf>
    <xf numFmtId="0" fontId="14" fillId="109" borderId="8">
      <alignment vertical="center"/>
    </xf>
    <xf numFmtId="0" fontId="42" fillId="109" borderId="41">
      <alignment vertical="center"/>
    </xf>
    <xf numFmtId="0" fontId="13" fillId="53" borderId="40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8" fillId="53" borderId="4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4" fillId="109" borderId="8">
      <alignment vertical="center"/>
    </xf>
    <xf numFmtId="0" fontId="42" fillId="109" borderId="41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41" fillId="108" borderId="40">
      <alignment vertical="center"/>
    </xf>
    <xf numFmtId="0" fontId="13" fillId="53" borderId="4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42" fillId="109" borderId="41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41" fillId="53" borderId="4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41" fillId="108" borderId="4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41" fillId="53" borderId="4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41" fillId="53" borderId="40" applyNumberFormat="0" applyFont="0" applyAlignment="0" applyProtection="0">
      <alignment vertical="center"/>
    </xf>
    <xf numFmtId="0" fontId="41" fillId="53" borderId="4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41" fillId="53" borderId="40" applyNumberFormat="0" applyFont="0" applyAlignment="0" applyProtection="0">
      <alignment vertical="center"/>
    </xf>
    <xf numFmtId="0" fontId="41" fillId="53" borderId="40" applyNumberFormat="0" applyFont="0" applyAlignment="0" applyProtection="0">
      <alignment vertical="center"/>
    </xf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2" fillId="0" borderId="0">
      <alignment vertical="center"/>
    </xf>
    <xf numFmtId="9" fontId="121" fillId="0" borderId="0"/>
    <xf numFmtId="9" fontId="2" fillId="0" borderId="0" applyFont="0" applyFill="0" applyBorder="0" applyAlignment="0" applyProtection="0"/>
    <xf numFmtId="9" fontId="10" fillId="0" borderId="0"/>
    <xf numFmtId="9" fontId="14" fillId="0" borderId="0">
      <alignment vertical="center"/>
    </xf>
    <xf numFmtId="0" fontId="91" fillId="72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4" fillId="126" borderId="0">
      <alignment vertical="center"/>
    </xf>
    <xf numFmtId="0" fontId="92" fillId="110" borderId="0">
      <alignment vertical="center"/>
    </xf>
    <xf numFmtId="0" fontId="122" fillId="126" borderId="0">
      <alignment vertical="center"/>
    </xf>
    <xf numFmtId="0" fontId="91" fillId="127" borderId="0" applyNumberFormat="0" applyBorder="0" applyAlignment="0" applyProtection="0">
      <alignment vertical="center"/>
    </xf>
    <xf numFmtId="0" fontId="125" fillId="72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4" fillId="126" borderId="0">
      <alignment vertical="center"/>
    </xf>
    <xf numFmtId="0" fontId="92" fillId="110" borderId="0">
      <alignment vertical="center"/>
    </xf>
    <xf numFmtId="0" fontId="91" fillId="127" borderId="0">
      <alignment vertical="center"/>
    </xf>
    <xf numFmtId="0" fontId="123" fillId="4" borderId="0" applyNumberFormat="0" applyBorder="0" applyAlignment="0" applyProtection="0">
      <alignment vertical="center"/>
    </xf>
    <xf numFmtId="0" fontId="92" fillId="110" borderId="0">
      <alignment vertical="center"/>
    </xf>
    <xf numFmtId="0" fontId="91" fillId="72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91" fillId="127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91" fillId="72" borderId="0" applyNumberFormat="0" applyBorder="0" applyAlignment="0" applyProtection="0">
      <alignment vertical="center"/>
    </xf>
    <xf numFmtId="0" fontId="91" fillId="72" borderId="0" applyNumberFormat="0" applyBorder="0" applyAlignment="0" applyProtection="0">
      <alignment vertical="center"/>
    </xf>
    <xf numFmtId="0" fontId="91" fillId="72" borderId="0" applyNumberFormat="0" applyBorder="0" applyAlignment="0" applyProtection="0">
      <alignment vertical="center"/>
    </xf>
    <xf numFmtId="0" fontId="126" fillId="0" borderId="0"/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>
      <alignment vertical="center"/>
    </xf>
    <xf numFmtId="0" fontId="61" fillId="0" borderId="0">
      <alignment vertical="center"/>
    </xf>
    <xf numFmtId="0" fontId="127" fillId="0" borderId="0">
      <alignment vertical="center"/>
    </xf>
    <xf numFmtId="0" fontId="60" fillId="0" borderId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49" fillId="105" borderId="26" applyNumberFormat="0" applyAlignment="0" applyProtection="0">
      <alignment vertical="center"/>
    </xf>
    <xf numFmtId="0" fontId="130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50" fillId="128" borderId="7">
      <alignment vertical="center"/>
    </xf>
    <xf numFmtId="0" fontId="50" fillId="106" borderId="27">
      <alignment vertical="center"/>
    </xf>
    <xf numFmtId="0" fontId="132" fillId="128" borderId="7">
      <alignment vertical="center"/>
    </xf>
    <xf numFmtId="0" fontId="49" fillId="129" borderId="26" applyNumberFormat="0" applyAlignment="0" applyProtection="0">
      <alignment vertical="center"/>
    </xf>
    <xf numFmtId="0" fontId="133" fillId="105" borderId="26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50" fillId="128" borderId="7">
      <alignment vertical="center"/>
    </xf>
    <xf numFmtId="0" fontId="50" fillId="106" borderId="27">
      <alignment vertical="center"/>
    </xf>
    <xf numFmtId="0" fontId="49" fillId="129" borderId="26">
      <alignment vertical="center"/>
    </xf>
    <xf numFmtId="0" fontId="131" fillId="7" borderId="7" applyNumberFormat="0" applyAlignment="0" applyProtection="0">
      <alignment vertical="center"/>
    </xf>
    <xf numFmtId="0" fontId="50" fillId="106" borderId="27">
      <alignment vertical="center"/>
    </xf>
    <xf numFmtId="0" fontId="49" fillId="105" borderId="26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49" fillId="129" borderId="26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49" fillId="105" borderId="26" applyNumberFormat="0" applyAlignment="0" applyProtection="0">
      <alignment vertical="center"/>
    </xf>
    <xf numFmtId="0" fontId="49" fillId="105" borderId="26" applyNumberFormat="0" applyAlignment="0" applyProtection="0">
      <alignment vertical="center"/>
    </xf>
    <xf numFmtId="0" fontId="49" fillId="105" borderId="26" applyNumberFormat="0" applyAlignment="0" applyProtection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20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200" fontId="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20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121" fillId="0" borderId="0"/>
    <xf numFmtId="176" fontId="6" fillId="0" borderId="0" applyFont="0" applyFill="0" applyBorder="0" applyAlignment="0" applyProtection="0"/>
    <xf numFmtId="176" fontId="121" fillId="0" borderId="0"/>
    <xf numFmtId="41" fontId="4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6" fontId="121" fillId="0" borderId="0"/>
    <xf numFmtId="41" fontId="1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121" fillId="0" borderId="0"/>
    <xf numFmtId="201" fontId="6" fillId="0" borderId="0" applyFont="0" applyFill="0" applyBorder="0" applyAlignment="0" applyProtection="0"/>
    <xf numFmtId="201" fontId="121" fillId="0" borderId="0"/>
    <xf numFmtId="201" fontId="6" fillId="0" borderId="0" applyFont="0" applyFill="0" applyBorder="0" applyAlignment="0" applyProtection="0"/>
    <xf numFmtId="201" fontId="121" fillId="0" borderId="0"/>
    <xf numFmtId="201" fontId="6" fillId="0" borderId="0" applyFont="0" applyFill="0" applyBorder="0" applyAlignment="0" applyProtection="0"/>
    <xf numFmtId="201" fontId="121" fillId="0" borderId="0"/>
    <xf numFmtId="176" fontId="54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176" fontId="10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202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96" fillId="0" borderId="0"/>
    <xf numFmtId="41" fontId="41" fillId="0" borderId="0" applyFont="0" applyFill="0" applyBorder="0" applyAlignment="0" applyProtection="0"/>
    <xf numFmtId="202" fontId="121" fillId="0" borderId="0"/>
    <xf numFmtId="0" fontId="2" fillId="0" borderId="0" applyFont="0" applyFill="0" applyBorder="0" applyAlignment="0" applyProtection="0"/>
    <xf numFmtId="202" fontId="6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0" fillId="0" borderId="0"/>
    <xf numFmtId="0" fontId="2" fillId="0" borderId="0" applyFont="0" applyFill="0" applyBorder="0" applyAlignment="0" applyProtection="0"/>
    <xf numFmtId="0" fontId="10" fillId="0" borderId="0"/>
    <xf numFmtId="202" fontId="121" fillId="0" borderId="0"/>
    <xf numFmtId="200" fontId="6" fillId="0" borderId="0" applyFont="0" applyFill="0" applyBorder="0" applyAlignment="0" applyProtection="0"/>
    <xf numFmtId="200" fontId="121" fillId="0" borderId="0"/>
    <xf numFmtId="201" fontId="6" fillId="0" borderId="0" applyFont="0" applyFill="0" applyBorder="0" applyAlignment="0" applyProtection="0"/>
    <xf numFmtId="201" fontId="121" fillId="0" borderId="0"/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10" fillId="0" borderId="0"/>
    <xf numFmtId="41" fontId="16" fillId="0" borderId="0" applyFont="0" applyFill="0" applyBorder="0" applyAlignment="0" applyProtection="0">
      <alignment vertical="center"/>
    </xf>
    <xf numFmtId="0" fontId="121" fillId="0" borderId="0"/>
    <xf numFmtId="201" fontId="2" fillId="0" borderId="0" applyFont="0" applyFill="0" applyBorder="0" applyAlignment="0" applyProtection="0"/>
    <xf numFmtId="176" fontId="6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10" fillId="0" borderId="0"/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196" fontId="134" fillId="0" borderId="0"/>
    <xf numFmtId="201" fontId="54" fillId="0" borderId="0" applyFont="0" applyFill="0" applyBorder="0" applyAlignment="0" applyProtection="0"/>
    <xf numFmtId="177" fontId="33" fillId="0" borderId="0"/>
    <xf numFmtId="201" fontId="33" fillId="0" borderId="0"/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195" fontId="41" fillId="0" borderId="0" applyFont="0" applyFill="0" applyBorder="0" applyAlignment="0" applyProtection="0">
      <alignment vertical="center"/>
    </xf>
    <xf numFmtId="195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176" fontId="6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178" fontId="2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20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204" fontId="6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10" fillId="0" borderId="0"/>
    <xf numFmtId="204" fontId="121" fillId="0" borderId="0"/>
    <xf numFmtId="201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1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201" fontId="54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10" fillId="0" borderId="0"/>
    <xf numFmtId="0" fontId="2" fillId="0" borderId="0" applyFont="0" applyFill="0" applyBorder="0" applyAlignment="0" applyProtection="0"/>
    <xf numFmtId="0" fontId="10" fillId="0" borderId="0"/>
    <xf numFmtId="41" fontId="1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195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204" fontId="6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6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10" fillId="0" borderId="0"/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201" fontId="6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10" fillId="0" borderId="0"/>
    <xf numFmtId="204" fontId="6" fillId="0" borderId="0" applyFont="0" applyFill="0" applyBorder="0" applyAlignment="0" applyProtection="0"/>
    <xf numFmtId="204" fontId="121" fillId="0" borderId="0"/>
    <xf numFmtId="201" fontId="121" fillId="0" borderId="0"/>
    <xf numFmtId="201" fontId="6" fillId="0" borderId="0" applyFont="0" applyFill="0" applyBorder="0" applyAlignment="0" applyProtection="0"/>
    <xf numFmtId="201" fontId="121" fillId="0" borderId="0"/>
    <xf numFmtId="201" fontId="6" fillId="0" borderId="0" applyFont="0" applyFill="0" applyBorder="0" applyAlignment="0" applyProtection="0"/>
    <xf numFmtId="201" fontId="121" fillId="0" borderId="0"/>
    <xf numFmtId="0" fontId="6" fillId="0" borderId="0" applyFont="0" applyFill="0" applyBorder="0" applyAlignment="0" applyProtection="0"/>
    <xf numFmtId="0" fontId="121" fillId="0" borderId="0"/>
    <xf numFmtId="0" fontId="2" fillId="0" borderId="0" applyFont="0" applyFill="0" applyBorder="0" applyAlignment="0" applyProtection="0"/>
    <xf numFmtId="0" fontId="10" fillId="0" borderId="0"/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204" fontId="6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78" fontId="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200" fontId="6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10" fillId="0" borderId="0"/>
    <xf numFmtId="200" fontId="121" fillId="0" borderId="0"/>
    <xf numFmtId="201" fontId="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20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10" fillId="0" borderId="0"/>
    <xf numFmtId="41" fontId="1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203" fontId="2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10" fillId="0" borderId="0"/>
    <xf numFmtId="41" fontId="1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10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201" fontId="2" fillId="0" borderId="0" applyFont="0" applyFill="0" applyBorder="0" applyAlignment="0" applyProtection="0"/>
    <xf numFmtId="20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20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20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37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9" fillId="0" borderId="6">
      <alignment vertical="center"/>
    </xf>
    <xf numFmtId="0" fontId="87" fillId="0" borderId="38">
      <alignment vertical="center"/>
    </xf>
    <xf numFmtId="0" fontId="137" fillId="0" borderId="6">
      <alignment vertical="center"/>
    </xf>
    <xf numFmtId="0" fontId="86" fillId="0" borderId="37">
      <alignment vertical="center"/>
    </xf>
    <xf numFmtId="0" fontId="140" fillId="0" borderId="4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9" fillId="0" borderId="6">
      <alignment vertical="center"/>
    </xf>
    <xf numFmtId="0" fontId="86" fillId="0" borderId="37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141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02" fillId="0" borderId="47">
      <alignment vertical="center"/>
    </xf>
    <xf numFmtId="0" fontId="102" fillId="0" borderId="45">
      <alignment vertical="center"/>
    </xf>
    <xf numFmtId="0" fontId="143" fillId="0" borderId="47">
      <alignment vertical="center"/>
    </xf>
    <xf numFmtId="0" fontId="101" fillId="0" borderId="44">
      <alignment vertical="center"/>
    </xf>
    <xf numFmtId="0" fontId="144" fillId="0" borderId="48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02" fillId="0" borderId="47">
      <alignment vertical="center"/>
    </xf>
    <xf numFmtId="0" fontId="101" fillId="0" borderId="44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01" fillId="0" borderId="44" applyNumberFormat="0" applyFill="0" applyAlignment="0" applyProtection="0">
      <alignment vertical="center"/>
    </xf>
    <xf numFmtId="0" fontId="101" fillId="0" borderId="44" applyNumberFormat="0" applyFill="0" applyAlignment="0" applyProtection="0">
      <alignment vertical="center"/>
    </xf>
    <xf numFmtId="0" fontId="101" fillId="0" borderId="44" applyNumberFormat="0" applyFill="0" applyAlignment="0" applyProtection="0">
      <alignment vertical="center"/>
    </xf>
    <xf numFmtId="0" fontId="83" fillId="43" borderId="24" applyNumberFormat="0" applyAlignment="0" applyProtection="0">
      <alignment vertical="center"/>
    </xf>
    <xf numFmtId="0" fontId="145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7" fillId="44" borderId="4">
      <alignment vertical="center"/>
    </xf>
    <xf numFmtId="0" fontId="84" fillId="44" borderId="25">
      <alignment vertical="center"/>
    </xf>
    <xf numFmtId="0" fontId="145" fillId="44" borderId="4">
      <alignment vertical="center"/>
    </xf>
    <xf numFmtId="0" fontId="83" fillId="59" borderId="24" applyNumberFormat="0" applyAlignment="0" applyProtection="0">
      <alignment vertical="center"/>
    </xf>
    <xf numFmtId="0" fontId="148" fillId="72" borderId="2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7" fillId="44" borderId="4">
      <alignment vertical="center"/>
    </xf>
    <xf numFmtId="0" fontId="84" fillId="44" borderId="25">
      <alignment vertical="center"/>
    </xf>
    <xf numFmtId="0" fontId="83" fillId="59" borderId="24">
      <alignment vertical="center"/>
    </xf>
    <xf numFmtId="0" fontId="146" fillId="5" borderId="4" applyNumberFormat="0" applyAlignment="0" applyProtection="0">
      <alignment vertical="center"/>
    </xf>
    <xf numFmtId="0" fontId="84" fillId="44" borderId="25">
      <alignment vertical="center"/>
    </xf>
    <xf numFmtId="0" fontId="83" fillId="43" borderId="2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83" fillId="59" borderId="2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83" fillId="43" borderId="24" applyNumberFormat="0" applyAlignment="0" applyProtection="0">
      <alignment vertical="center"/>
    </xf>
    <xf numFmtId="0" fontId="83" fillId="43" borderId="24" applyNumberFormat="0" applyAlignment="0" applyProtection="0">
      <alignment vertical="center"/>
    </xf>
    <xf numFmtId="0" fontId="83" fillId="43" borderId="24" applyNumberFormat="0" applyAlignment="0" applyProtection="0">
      <alignment vertical="center"/>
    </xf>
    <xf numFmtId="4" fontId="119" fillId="0" borderId="0">
      <protection locked="0"/>
    </xf>
    <xf numFmtId="4" fontId="120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149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1" fillId="0" borderId="49">
      <alignment vertical="center"/>
    </xf>
    <xf numFmtId="0" fontId="73" fillId="0" borderId="31">
      <alignment vertical="center"/>
    </xf>
    <xf numFmtId="0" fontId="151" fillId="0" borderId="49">
      <alignment vertical="center"/>
    </xf>
    <xf numFmtId="0" fontId="72" fillId="0" borderId="30">
      <alignment vertical="center"/>
    </xf>
    <xf numFmtId="0" fontId="152" fillId="0" borderId="50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1" fillId="0" borderId="49">
      <alignment vertical="center"/>
    </xf>
    <xf numFmtId="0" fontId="72" fillId="0" borderId="30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6" fillId="0" borderId="51">
      <alignment vertical="center"/>
    </xf>
    <xf numFmtId="0" fontId="76" fillId="0" borderId="33">
      <alignment vertical="center"/>
    </xf>
    <xf numFmtId="0" fontId="156" fillId="0" borderId="51">
      <alignment vertical="center"/>
    </xf>
    <xf numFmtId="0" fontId="75" fillId="0" borderId="32">
      <alignment vertical="center"/>
    </xf>
    <xf numFmtId="0" fontId="157" fillId="0" borderId="5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6" fillId="0" borderId="51">
      <alignment vertical="center"/>
    </xf>
    <xf numFmtId="0" fontId="75" fillId="0" borderId="3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8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60" fillId="0" borderId="53">
      <alignment vertical="center"/>
    </xf>
    <xf numFmtId="0" fontId="79" fillId="0" borderId="35">
      <alignment vertical="center"/>
    </xf>
    <xf numFmtId="0" fontId="160" fillId="0" borderId="53">
      <alignment vertical="center"/>
    </xf>
    <xf numFmtId="0" fontId="78" fillId="0" borderId="34">
      <alignment vertical="center"/>
    </xf>
    <xf numFmtId="0" fontId="161" fillId="0" borderId="54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60" fillId="0" borderId="53">
      <alignment vertical="center"/>
    </xf>
    <xf numFmtId="0" fontId="78" fillId="0" borderId="34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78" fillId="0" borderId="34" applyNumberFormat="0" applyFill="0" applyAlignment="0" applyProtection="0">
      <alignment vertical="center"/>
    </xf>
    <xf numFmtId="0" fontId="78" fillId="0" borderId="34" applyNumberFormat="0" applyFill="0" applyAlignment="0" applyProtection="0">
      <alignment vertical="center"/>
    </xf>
    <xf numFmtId="0" fontId="78" fillId="0" borderId="34" applyNumberFormat="0" applyFill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>
      <alignment vertical="center"/>
    </xf>
    <xf numFmtId="0" fontId="79" fillId="0" borderId="0">
      <alignment vertical="center"/>
    </xf>
    <xf numFmtId="0" fontId="160" fillId="0" borderId="0">
      <alignment vertical="center"/>
    </xf>
    <xf numFmtId="0" fontId="78" fillId="0" borderId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62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62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163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5" fillId="130" borderId="0">
      <alignment vertical="center"/>
    </xf>
    <xf numFmtId="0" fontId="64" fillId="38" borderId="0">
      <alignment vertical="center"/>
    </xf>
    <xf numFmtId="0" fontId="163" fillId="130" borderId="0">
      <alignment vertical="center"/>
    </xf>
    <xf numFmtId="0" fontId="63" fillId="52" borderId="0" applyNumberFormat="0" applyBorder="0" applyAlignment="0" applyProtection="0">
      <alignment vertical="center"/>
    </xf>
    <xf numFmtId="0" fontId="166" fillId="41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5" fillId="130" borderId="0">
      <alignment vertical="center"/>
    </xf>
    <xf numFmtId="0" fontId="64" fillId="38" borderId="0">
      <alignment vertical="center"/>
    </xf>
    <xf numFmtId="0" fontId="63" fillId="52" borderId="0">
      <alignment vertical="center"/>
    </xf>
    <xf numFmtId="0" fontId="164" fillId="2" borderId="0" applyNumberFormat="0" applyBorder="0" applyAlignment="0" applyProtection="0">
      <alignment vertical="center"/>
    </xf>
    <xf numFmtId="0" fontId="64" fillId="38" borderId="0">
      <alignment vertical="center"/>
    </xf>
    <xf numFmtId="0" fontId="63" fillId="37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167" fillId="0" borderId="0" applyNumberFormat="0" applyFill="0" applyBorder="0" applyProtection="0">
      <alignment horizontal="left" wrapText="1" readingOrder="1"/>
    </xf>
    <xf numFmtId="0" fontId="168" fillId="0" borderId="0">
      <alignment horizontal="left" wrapText="1"/>
    </xf>
    <xf numFmtId="0" fontId="94" fillId="103" borderId="42" applyNumberFormat="0" applyAlignment="0" applyProtection="0">
      <alignment vertical="center"/>
    </xf>
    <xf numFmtId="0" fontId="169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1" fillId="123" borderId="5">
      <alignment vertical="center"/>
    </xf>
    <xf numFmtId="0" fontId="95" fillId="104" borderId="43">
      <alignment vertical="center"/>
    </xf>
    <xf numFmtId="0" fontId="169" fillId="123" borderId="5">
      <alignment vertical="center"/>
    </xf>
    <xf numFmtId="0" fontId="94" fillId="107" borderId="42" applyNumberFormat="0" applyAlignment="0" applyProtection="0">
      <alignment vertical="center"/>
    </xf>
    <xf numFmtId="0" fontId="172" fillId="124" borderId="42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1" fillId="123" borderId="5">
      <alignment vertical="center"/>
    </xf>
    <xf numFmtId="0" fontId="95" fillId="104" borderId="43">
      <alignment vertical="center"/>
    </xf>
    <xf numFmtId="0" fontId="94" fillId="107" borderId="42">
      <alignment vertical="center"/>
    </xf>
    <xf numFmtId="0" fontId="170" fillId="6" borderId="5" applyNumberFormat="0" applyAlignment="0" applyProtection="0">
      <alignment vertical="center"/>
    </xf>
    <xf numFmtId="0" fontId="95" fillId="104" borderId="43">
      <alignment vertical="center"/>
    </xf>
    <xf numFmtId="0" fontId="94" fillId="103" borderId="42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94" fillId="107" borderId="42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94" fillId="103" borderId="42" applyNumberFormat="0" applyAlignment="0" applyProtection="0">
      <alignment vertical="center"/>
    </xf>
    <xf numFmtId="0" fontId="94" fillId="103" borderId="42" applyNumberFormat="0" applyAlignment="0" applyProtection="0">
      <alignment vertical="center"/>
    </xf>
    <xf numFmtId="0" fontId="94" fillId="103" borderId="42" applyNumberFormat="0" applyAlignment="0" applyProtection="0">
      <alignment vertical="center"/>
    </xf>
    <xf numFmtId="176" fontId="1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1" fillId="0" borderId="0"/>
    <xf numFmtId="0" fontId="121" fillId="0" borderId="0"/>
    <xf numFmtId="42" fontId="13" fillId="0" borderId="0" applyFont="0" applyFill="0" applyBorder="0" applyAlignment="0" applyProtection="0">
      <alignment vertical="center"/>
    </xf>
    <xf numFmtId="42" fontId="14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205" fontId="174" fillId="0" borderId="0">
      <protection locked="0"/>
    </xf>
    <xf numFmtId="205" fontId="175" fillId="0" borderId="0">
      <protection locked="0"/>
    </xf>
    <xf numFmtId="0" fontId="16" fillId="0" borderId="0">
      <alignment vertical="center"/>
    </xf>
    <xf numFmtId="0" fontId="176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41" fillId="0" borderId="0"/>
    <xf numFmtId="0" fontId="16" fillId="0" borderId="0">
      <alignment vertical="center"/>
    </xf>
    <xf numFmtId="0" fontId="176" fillId="0" borderId="0">
      <alignment vertical="center"/>
    </xf>
    <xf numFmtId="0" fontId="134" fillId="0" borderId="0"/>
    <xf numFmtId="0" fontId="134" fillId="0" borderId="0"/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6" fillId="0" borderId="0"/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34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41" fillId="0" borderId="0"/>
    <xf numFmtId="0" fontId="16" fillId="0" borderId="0">
      <alignment vertical="center"/>
    </xf>
    <xf numFmtId="0" fontId="176" fillId="0" borderId="0">
      <alignment vertical="center"/>
    </xf>
    <xf numFmtId="0" fontId="41" fillId="0" borderId="0">
      <alignment vertical="center"/>
    </xf>
    <xf numFmtId="0" fontId="41" fillId="0" borderId="0"/>
    <xf numFmtId="0" fontId="176" fillId="0" borderId="0">
      <alignment vertical="center"/>
    </xf>
    <xf numFmtId="0" fontId="51" fillId="0" borderId="0"/>
    <xf numFmtId="0" fontId="51" fillId="0" borderId="0"/>
    <xf numFmtId="0" fontId="41" fillId="0" borderId="0"/>
    <xf numFmtId="0" fontId="176" fillId="0" borderId="0">
      <alignment vertical="center"/>
    </xf>
    <xf numFmtId="0" fontId="41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76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6" fillId="0" borderId="0"/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6" fillId="0" borderId="0"/>
    <xf numFmtId="0" fontId="41" fillId="0" borderId="0"/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76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" fillId="0" borderId="0"/>
    <xf numFmtId="0" fontId="121" fillId="0" borderId="0"/>
    <xf numFmtId="0" fontId="1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10" fillId="0" borderId="0"/>
    <xf numFmtId="0" fontId="42" fillId="0" borderId="0">
      <alignment vertical="center"/>
    </xf>
    <xf numFmtId="0" fontId="6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41" fillId="0" borderId="0"/>
    <xf numFmtId="0" fontId="16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/>
    <xf numFmtId="0" fontId="54" fillId="0" borderId="0"/>
    <xf numFmtId="0" fontId="41" fillId="0" borderId="0">
      <alignment vertical="center"/>
    </xf>
    <xf numFmtId="0" fontId="42" fillId="0" borderId="0">
      <alignment vertical="center"/>
    </xf>
    <xf numFmtId="0" fontId="33" fillId="0" borderId="0"/>
    <xf numFmtId="0" fontId="51" fillId="0" borderId="0"/>
    <xf numFmtId="0" fontId="41" fillId="0" borderId="0"/>
    <xf numFmtId="0" fontId="41" fillId="0" borderId="0"/>
    <xf numFmtId="0" fontId="42" fillId="0" borderId="0"/>
    <xf numFmtId="0" fontId="16" fillId="0" borderId="0">
      <alignment vertical="center"/>
    </xf>
    <xf numFmtId="0" fontId="14" fillId="0" borderId="0">
      <alignment vertical="center"/>
    </xf>
    <xf numFmtId="0" fontId="41" fillId="0" borderId="0"/>
    <xf numFmtId="0" fontId="42" fillId="0" borderId="0"/>
    <xf numFmtId="0" fontId="41" fillId="0" borderId="0"/>
    <xf numFmtId="0" fontId="42" fillId="0" borderId="0"/>
    <xf numFmtId="0" fontId="6" fillId="0" borderId="0"/>
    <xf numFmtId="0" fontId="1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2" fillId="0" borderId="0"/>
    <xf numFmtId="0" fontId="17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>
      <alignment vertical="center"/>
    </xf>
    <xf numFmtId="0" fontId="6" fillId="0" borderId="0"/>
    <xf numFmtId="0" fontId="16" fillId="0" borderId="0">
      <alignment vertical="center"/>
    </xf>
    <xf numFmtId="0" fontId="41" fillId="0" borderId="0"/>
    <xf numFmtId="0" fontId="16" fillId="0" borderId="0">
      <alignment vertical="center"/>
    </xf>
    <xf numFmtId="0" fontId="41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5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6" fillId="0" borderId="0"/>
    <xf numFmtId="0" fontId="16" fillId="0" borderId="0">
      <alignment vertical="center"/>
    </xf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176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54" fillId="0" borderId="0"/>
    <xf numFmtId="0" fontId="16" fillId="0" borderId="0">
      <alignment vertical="center"/>
    </xf>
    <xf numFmtId="0" fontId="14" fillId="0" borderId="0">
      <alignment vertical="center"/>
    </xf>
    <xf numFmtId="0" fontId="41" fillId="0" borderId="0">
      <alignment vertical="center"/>
    </xf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176" fillId="0" borderId="0">
      <alignment vertical="center"/>
    </xf>
    <xf numFmtId="0" fontId="4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9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76" fillId="0" borderId="0">
      <alignment vertical="center"/>
    </xf>
    <xf numFmtId="0" fontId="51" fillId="0" borderId="0"/>
    <xf numFmtId="0" fontId="41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6" fillId="0" borderId="0">
      <alignment vertical="center"/>
    </xf>
    <xf numFmtId="0" fontId="176" fillId="0" borderId="0">
      <alignment vertical="center"/>
    </xf>
    <xf numFmtId="0" fontId="16" fillId="0" borderId="0">
      <alignment vertical="center"/>
    </xf>
    <xf numFmtId="0" fontId="41" fillId="0" borderId="0"/>
    <xf numFmtId="0" fontId="42" fillId="0" borderId="0"/>
    <xf numFmtId="0" fontId="176" fillId="0" borderId="0">
      <alignment vertical="center"/>
    </xf>
    <xf numFmtId="0" fontId="134" fillId="0" borderId="0"/>
    <xf numFmtId="0" fontId="41" fillId="0" borderId="0"/>
    <xf numFmtId="0" fontId="41" fillId="0" borderId="0">
      <alignment vertical="center"/>
    </xf>
    <xf numFmtId="0" fontId="134" fillId="0" borderId="0"/>
    <xf numFmtId="0" fontId="41" fillId="0" borderId="0">
      <alignment vertical="center"/>
    </xf>
    <xf numFmtId="0" fontId="13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41" fillId="0" borderId="0"/>
    <xf numFmtId="0" fontId="176" fillId="0" borderId="0">
      <alignment vertical="center"/>
    </xf>
    <xf numFmtId="0" fontId="41" fillId="0" borderId="0"/>
    <xf numFmtId="0" fontId="41" fillId="0" borderId="0"/>
    <xf numFmtId="0" fontId="176" fillId="0" borderId="0">
      <alignment vertical="center"/>
    </xf>
    <xf numFmtId="0" fontId="41" fillId="0" borderId="0"/>
    <xf numFmtId="0" fontId="41" fillId="0" borderId="0"/>
    <xf numFmtId="0" fontId="16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76" fillId="0" borderId="0">
      <alignment vertical="center"/>
    </xf>
    <xf numFmtId="0" fontId="134" fillId="0" borderId="0"/>
    <xf numFmtId="0" fontId="134" fillId="0" borderId="0"/>
    <xf numFmtId="0" fontId="134" fillId="0" borderId="0"/>
    <xf numFmtId="0" fontId="134" fillId="0" borderId="0"/>
    <xf numFmtId="0" fontId="41" fillId="0" borderId="0">
      <alignment vertical="center"/>
    </xf>
    <xf numFmtId="0" fontId="13" fillId="0" borderId="0">
      <alignment vertical="center"/>
    </xf>
    <xf numFmtId="0" fontId="176" fillId="0" borderId="0">
      <alignment vertical="center"/>
    </xf>
    <xf numFmtId="0" fontId="41" fillId="0" borderId="0"/>
    <xf numFmtId="0" fontId="41" fillId="0" borderId="0"/>
    <xf numFmtId="0" fontId="176" fillId="0" borderId="0">
      <alignment vertical="center"/>
    </xf>
    <xf numFmtId="0" fontId="41" fillId="0" borderId="0"/>
    <xf numFmtId="0" fontId="41" fillId="0" borderId="0"/>
    <xf numFmtId="0" fontId="176" fillId="0" borderId="0">
      <alignment vertical="center"/>
    </xf>
    <xf numFmtId="0" fontId="41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6" fillId="0" borderId="0">
      <alignment vertical="center"/>
    </xf>
    <xf numFmtId="0" fontId="41" fillId="0" borderId="0"/>
    <xf numFmtId="0" fontId="42" fillId="0" borderId="0"/>
    <xf numFmtId="0" fontId="16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76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176" fillId="0" borderId="0">
      <alignment vertical="center"/>
    </xf>
    <xf numFmtId="0" fontId="41" fillId="0" borderId="0"/>
    <xf numFmtId="0" fontId="176" fillId="0" borderId="0">
      <alignment vertical="center"/>
    </xf>
    <xf numFmtId="0" fontId="41" fillId="0" borderId="0"/>
    <xf numFmtId="0" fontId="180" fillId="0" borderId="0" applyNumberFormat="0" applyFill="0" applyBorder="0" applyAlignment="0" applyProtection="0">
      <alignment vertical="center"/>
    </xf>
    <xf numFmtId="0" fontId="119" fillId="0" borderId="55">
      <protection locked="0"/>
    </xf>
    <xf numFmtId="0" fontId="120" fillId="0" borderId="55">
      <protection locked="0"/>
    </xf>
    <xf numFmtId="206" fontId="174" fillId="0" borderId="0">
      <protection locked="0"/>
    </xf>
    <xf numFmtId="206" fontId="175" fillId="0" borderId="0">
      <protection locked="0"/>
    </xf>
    <xf numFmtId="201" fontId="174" fillId="0" borderId="0">
      <protection locked="0"/>
    </xf>
    <xf numFmtId="201" fontId="175" fillId="0" borderId="0"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36" fillId="0" borderId="0">
      <alignment vertical="center"/>
    </xf>
    <xf numFmtId="41" fontId="41" fillId="0" borderId="0">
      <alignment vertical="center"/>
    </xf>
    <xf numFmtId="0" fontId="2" fillId="0" borderId="0"/>
    <xf numFmtId="0" fontId="2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82" fillId="0" borderId="0">
      <alignment vertical="center"/>
    </xf>
    <xf numFmtId="0" fontId="16" fillId="0" borderId="0">
      <alignment vertical="center"/>
    </xf>
    <xf numFmtId="0" fontId="41" fillId="0" borderId="0"/>
    <xf numFmtId="0" fontId="41" fillId="0" borderId="0">
      <alignment vertical="center"/>
    </xf>
    <xf numFmtId="0" fontId="41" fillId="0" borderId="0"/>
    <xf numFmtId="0" fontId="2" fillId="0" borderId="0"/>
    <xf numFmtId="0" fontId="2" fillId="0" borderId="0" applyFont="0" applyFill="0" applyBorder="0" applyAlignment="0" applyProtection="0"/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198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09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92" fillId="6" borderId="4" applyNumberFormat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88" fillId="3" borderId="0" applyNumberFormat="0" applyBorder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31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94" fillId="7" borderId="7" applyNumberFormat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38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93" fillId="0" borderId="6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42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97" fillId="0" borderId="9" applyNumberFormat="0" applyFill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46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90" fillId="5" borderId="4" applyNumberFormat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50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84" fillId="0" borderId="1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5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85" fillId="0" borderId="2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59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86" fillId="0" borderId="3" applyNumberFormat="0" applyFill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64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87" fillId="2" borderId="0" applyNumberFormat="0" applyBorder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70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91" fillId="6" borderId="5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1" fillId="0" borderId="0">
      <alignment vertical="center"/>
    </xf>
    <xf numFmtId="0" fontId="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0" fontId="6" fillId="0" borderId="0"/>
    <xf numFmtId="176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96" fillId="0" borderId="0"/>
    <xf numFmtId="41" fontId="4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43" fontId="134" fillId="0" borderId="0"/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6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2" fontId="14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176" fontId="2" fillId="0" borderId="0" applyProtection="0"/>
    <xf numFmtId="200" fontId="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96" fillId="0" borderId="0"/>
    <xf numFmtId="41" fontId="4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6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2" fontId="14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96" fillId="0" borderId="0"/>
    <xf numFmtId="41" fontId="4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16" fillId="0" borderId="0" applyFont="0" applyFill="0" applyBorder="0" applyAlignment="0" applyProtection="0">
      <alignment vertical="center"/>
    </xf>
    <xf numFmtId="43" fontId="134" fillId="0" borderId="0"/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41" fillId="0" borderId="0" applyFont="0" applyFill="0" applyBorder="0" applyAlignment="0" applyProtection="0"/>
    <xf numFmtId="41" fontId="4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6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2" fontId="14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</cellStyleXfs>
  <cellXfs count="1684">
    <xf numFmtId="0" fontId="0" fillId="0" borderId="0" xfId="0">
      <alignment vertical="center"/>
    </xf>
    <xf numFmtId="0" fontId="205" fillId="0" borderId="0" xfId="2" applyFont="1" applyFill="1" applyProtection="1"/>
    <xf numFmtId="0" fontId="205" fillId="0" borderId="0" xfId="2" applyFont="1" applyFill="1" applyAlignment="1" applyProtection="1"/>
    <xf numFmtId="0" fontId="205" fillId="0" borderId="0" xfId="2" applyFont="1" applyFill="1" applyAlignment="1" applyProtection="1">
      <alignment vertical="center"/>
    </xf>
    <xf numFmtId="0" fontId="205" fillId="0" borderId="0" xfId="2608" applyFont="1" applyFill="1" applyAlignment="1" applyProtection="1"/>
    <xf numFmtId="0" fontId="205" fillId="0" borderId="0" xfId="2" applyFont="1" applyFill="1" applyBorder="1" applyAlignment="1" applyProtection="1"/>
    <xf numFmtId="0" fontId="206" fillId="0" borderId="0" xfId="2" applyFont="1" applyFill="1" applyProtection="1"/>
    <xf numFmtId="0" fontId="179" fillId="0" borderId="0" xfId="2" applyFont="1" applyFill="1" applyAlignment="1" applyProtection="1">
      <alignment vertical="center"/>
    </xf>
    <xf numFmtId="0" fontId="179" fillId="0" borderId="0" xfId="2" applyFont="1" applyFill="1" applyProtection="1"/>
    <xf numFmtId="0" fontId="205" fillId="0" borderId="0" xfId="2" applyFont="1" applyFill="1" applyBorder="1" applyAlignment="1" applyProtection="1">
      <alignment horizontal="left"/>
    </xf>
    <xf numFmtId="0" fontId="206" fillId="0" borderId="0" xfId="2" applyFont="1" applyFill="1" applyAlignment="1" applyProtection="1">
      <alignment vertical="center"/>
    </xf>
    <xf numFmtId="0" fontId="6" fillId="0" borderId="0" xfId="2" applyFont="1" applyFill="1"/>
    <xf numFmtId="0" fontId="206" fillId="0" borderId="0" xfId="2" applyFont="1" applyFill="1" applyAlignment="1" applyProtection="1">
      <alignment horizontal="left" vertical="center"/>
    </xf>
    <xf numFmtId="0" fontId="207" fillId="0" borderId="0" xfId="2" applyFont="1" applyFill="1" applyBorder="1" applyAlignment="1">
      <alignment vertical="center"/>
    </xf>
    <xf numFmtId="0" fontId="6" fillId="0" borderId="15" xfId="4226" applyFont="1" applyFill="1" applyBorder="1" applyAlignment="1">
      <alignment horizontal="distributed"/>
    </xf>
    <xf numFmtId="0" fontId="179" fillId="0" borderId="15" xfId="4225" applyFont="1" applyFill="1" applyBorder="1" applyAlignment="1" applyProtection="1">
      <alignment horizontal="center"/>
    </xf>
    <xf numFmtId="0" fontId="52" fillId="0" borderId="0" xfId="2" applyFont="1" applyFill="1" applyAlignment="1" applyProtection="1">
      <alignment vertical="top"/>
    </xf>
    <xf numFmtId="0" fontId="214" fillId="0" borderId="0" xfId="2" applyFont="1" applyFill="1" applyAlignment="1" applyProtection="1">
      <alignment vertical="center"/>
    </xf>
    <xf numFmtId="0" fontId="215" fillId="0" borderId="0" xfId="2" applyFont="1" applyFill="1" applyProtection="1"/>
    <xf numFmtId="0" fontId="213" fillId="0" borderId="0" xfId="2" applyFont="1" applyFill="1" applyAlignment="1" applyProtection="1">
      <alignment vertical="center"/>
    </xf>
    <xf numFmtId="0" fontId="216" fillId="0" borderId="0" xfId="2" applyFont="1" applyFill="1" applyAlignment="1" applyProtection="1">
      <alignment vertical="top"/>
    </xf>
    <xf numFmtId="0" fontId="1" fillId="0" borderId="0" xfId="0" applyFont="1" applyFill="1">
      <alignment vertical="center"/>
    </xf>
    <xf numFmtId="0" fontId="206" fillId="0" borderId="0" xfId="2" applyFont="1" applyFill="1" applyAlignment="1" applyProtection="1">
      <alignment horizontal="left"/>
    </xf>
    <xf numFmtId="0" fontId="7" fillId="0" borderId="15" xfId="4225" applyFont="1" applyFill="1" applyBorder="1" applyAlignment="1" applyProtection="1">
      <alignment horizontal="center"/>
    </xf>
    <xf numFmtId="176" fontId="7" fillId="0" borderId="0" xfId="3" applyFont="1" applyFill="1" applyBorder="1" applyAlignment="1" applyProtection="1">
      <alignment horizontal="right"/>
    </xf>
    <xf numFmtId="176" fontId="7" fillId="0" borderId="0" xfId="3" applyFont="1" applyFill="1" applyBorder="1" applyProtection="1"/>
    <xf numFmtId="0" fontId="220" fillId="0" borderId="0" xfId="2" applyFont="1" applyFill="1" applyAlignment="1" applyProtection="1"/>
    <xf numFmtId="0" fontId="221" fillId="0" borderId="0" xfId="2" applyFont="1" applyFill="1" applyAlignment="1" applyProtection="1"/>
    <xf numFmtId="0" fontId="221" fillId="0" borderId="0" xfId="2" applyFont="1" applyFill="1" applyAlignment="1" applyProtection="1">
      <alignment horizontal="left"/>
    </xf>
    <xf numFmtId="0" fontId="7" fillId="0" borderId="15" xfId="2" applyFont="1" applyFill="1" applyBorder="1" applyAlignment="1" applyProtection="1">
      <alignment horizontal="center"/>
    </xf>
    <xf numFmtId="41" fontId="7" fillId="0" borderId="0" xfId="1597" applyNumberFormat="1" applyFont="1" applyFill="1" applyBorder="1" applyProtection="1"/>
    <xf numFmtId="0" fontId="220" fillId="0" borderId="0" xfId="0" applyFont="1">
      <alignment vertical="center"/>
    </xf>
    <xf numFmtId="0" fontId="207" fillId="0" borderId="15" xfId="2" applyFont="1" applyFill="1" applyBorder="1" applyAlignment="1" applyProtection="1">
      <alignment horizontal="center"/>
    </xf>
    <xf numFmtId="0" fontId="219" fillId="0" borderId="15" xfId="2" applyFont="1" applyFill="1" applyBorder="1" applyAlignment="1" applyProtection="1">
      <alignment horizontal="center"/>
    </xf>
    <xf numFmtId="41" fontId="7" fillId="0" borderId="0" xfId="4219" applyNumberFormat="1" applyFont="1" applyFill="1" applyBorder="1" applyAlignment="1" applyProtection="1">
      <alignment horizontal="right"/>
    </xf>
    <xf numFmtId="41" fontId="7" fillId="0" borderId="0" xfId="3" applyNumberFormat="1" applyFont="1" applyFill="1" applyBorder="1" applyAlignment="1" applyProtection="1">
      <alignment horizontal="right"/>
    </xf>
    <xf numFmtId="0" fontId="7" fillId="0" borderId="0" xfId="0" applyFont="1" applyFill="1" applyBorder="1">
      <alignment vertical="center"/>
    </xf>
    <xf numFmtId="41" fontId="7" fillId="0" borderId="0" xfId="0" applyNumberFormat="1" applyFont="1" applyFill="1" applyBorder="1">
      <alignment vertical="center"/>
    </xf>
    <xf numFmtId="41" fontId="7" fillId="0" borderId="0" xfId="4228" applyFont="1" applyFill="1" applyBorder="1" applyAlignment="1" applyProtection="1">
      <alignment horizontal="right"/>
    </xf>
    <xf numFmtId="41" fontId="7" fillId="0" borderId="0" xfId="4228" applyFont="1" applyFill="1" applyBorder="1">
      <alignment vertical="center"/>
    </xf>
    <xf numFmtId="0" fontId="7" fillId="0" borderId="0" xfId="2" applyFont="1" applyFill="1" applyProtection="1"/>
    <xf numFmtId="41" fontId="7" fillId="0" borderId="19" xfId="3" applyNumberFormat="1" applyFont="1" applyFill="1" applyBorder="1" applyAlignment="1" applyProtection="1">
      <alignment horizontal="right" shrinkToFit="1"/>
    </xf>
    <xf numFmtId="41" fontId="7" fillId="0" borderId="0" xfId="3" applyNumberFormat="1" applyFont="1" applyFill="1" applyBorder="1" applyAlignment="1" applyProtection="1">
      <alignment horizontal="right" shrinkToFit="1"/>
    </xf>
    <xf numFmtId="41" fontId="7" fillId="0" borderId="0" xfId="2609" applyNumberFormat="1" applyFont="1" applyFill="1" applyBorder="1" applyAlignment="1" applyProtection="1">
      <alignment horizontal="right" shrinkToFit="1"/>
      <protection locked="0"/>
    </xf>
    <xf numFmtId="41" fontId="7" fillId="0" borderId="0" xfId="3" applyNumberFormat="1" applyFont="1" applyFill="1" applyBorder="1" applyAlignment="1" applyProtection="1">
      <alignment horizontal="right" shrinkToFit="1"/>
      <protection locked="0"/>
    </xf>
    <xf numFmtId="176" fontId="204" fillId="0" borderId="0" xfId="2" applyNumberFormat="1" applyFont="1" applyFill="1" applyAlignment="1" applyProtection="1">
      <alignment vertical="center"/>
    </xf>
    <xf numFmtId="0" fontId="208" fillId="0" borderId="0" xfId="2608" applyFont="1" applyFill="1" applyProtection="1"/>
    <xf numFmtId="0" fontId="225" fillId="0" borderId="0" xfId="2608" applyFont="1" applyFill="1" applyAlignment="1" applyProtection="1">
      <alignment horizontal="right"/>
    </xf>
    <xf numFmtId="0" fontId="225" fillId="0" borderId="0" xfId="2" applyFont="1" applyFill="1" applyAlignment="1" applyProtection="1">
      <alignment horizontal="left"/>
    </xf>
    <xf numFmtId="0" fontId="179" fillId="0" borderId="0" xfId="2" applyFont="1" applyFill="1" applyAlignment="1" applyProtection="1">
      <alignment horizontal="left"/>
    </xf>
    <xf numFmtId="0" fontId="1" fillId="0" borderId="0" xfId="0" applyFont="1">
      <alignment vertical="center"/>
    </xf>
    <xf numFmtId="41" fontId="7" fillId="0" borderId="19" xfId="4228" applyFont="1" applyFill="1" applyBorder="1">
      <alignment vertical="center"/>
    </xf>
    <xf numFmtId="41" fontId="7" fillId="0" borderId="0" xfId="4228" applyNumberFormat="1" applyFont="1" applyFill="1" applyBorder="1">
      <alignment vertical="center"/>
    </xf>
    <xf numFmtId="0" fontId="6" fillId="0" borderId="20" xfId="2" applyFont="1" applyFill="1" applyBorder="1" applyAlignment="1" applyProtection="1">
      <alignment horizontal="center" vertical="center"/>
    </xf>
    <xf numFmtId="0" fontId="208" fillId="0" borderId="20" xfId="1" applyFont="1" applyFill="1" applyBorder="1" applyAlignment="1" applyProtection="1">
      <alignment horizontal="center" vertical="center"/>
    </xf>
    <xf numFmtId="0" fontId="7" fillId="0" borderId="21" xfId="1" applyFont="1" applyFill="1" applyBorder="1" applyAlignment="1" applyProtection="1">
      <alignment horizontal="center" vertical="center" shrinkToFit="1"/>
    </xf>
    <xf numFmtId="0" fontId="208" fillId="0" borderId="20" xfId="1940" applyFont="1" applyFill="1" applyBorder="1" applyAlignment="1" applyProtection="1">
      <alignment horizontal="center" vertical="center"/>
    </xf>
    <xf numFmtId="0" fontId="208" fillId="0" borderId="20" xfId="2" applyFont="1" applyFill="1" applyBorder="1" applyAlignment="1" applyProtection="1">
      <alignment horizontal="center" vertical="center"/>
    </xf>
    <xf numFmtId="0" fontId="7" fillId="0" borderId="21" xfId="2" applyFont="1" applyFill="1" applyBorder="1" applyAlignment="1" applyProtection="1">
      <alignment horizontal="center" vertical="center" shrinkToFit="1"/>
    </xf>
    <xf numFmtId="41" fontId="7" fillId="0" borderId="0" xfId="2" applyNumberFormat="1" applyFont="1" applyFill="1" applyBorder="1" applyAlignment="1" applyProtection="1">
      <alignment horizontal="right"/>
    </xf>
    <xf numFmtId="41" fontId="7" fillId="0" borderId="19" xfId="0" applyNumberFormat="1" applyFont="1" applyFill="1" applyBorder="1">
      <alignment vertical="center"/>
    </xf>
    <xf numFmtId="0" fontId="7" fillId="0" borderId="57" xfId="2608" applyFont="1" applyFill="1" applyBorder="1" applyAlignment="1" applyProtection="1">
      <alignment horizontal="center" vertical="center"/>
    </xf>
    <xf numFmtId="0" fontId="208" fillId="0" borderId="20" xfId="2608" applyFont="1" applyFill="1" applyBorder="1" applyAlignment="1" applyProtection="1">
      <alignment horizontal="center" vertical="center" wrapText="1"/>
    </xf>
    <xf numFmtId="0" fontId="7" fillId="0" borderId="36" xfId="2608" applyFont="1" applyFill="1" applyBorder="1" applyAlignment="1" applyProtection="1">
      <alignment horizontal="center" vertical="center" wrapText="1"/>
    </xf>
    <xf numFmtId="0" fontId="7" fillId="0" borderId="21" xfId="2608" applyFont="1" applyFill="1" applyBorder="1" applyAlignment="1" applyProtection="1">
      <alignment horizontal="center" vertical="center"/>
    </xf>
    <xf numFmtId="0" fontId="179" fillId="0" borderId="15" xfId="2" applyFont="1" applyFill="1" applyBorder="1" applyAlignment="1" applyProtection="1">
      <alignment horizontal="center" vertical="center"/>
    </xf>
    <xf numFmtId="0" fontId="224" fillId="0" borderId="15" xfId="2" applyFont="1" applyFill="1" applyBorder="1" applyAlignment="1" applyProtection="1">
      <alignment horizontal="center"/>
    </xf>
    <xf numFmtId="0" fontId="208" fillId="0" borderId="11" xfId="2" applyFont="1" applyFill="1" applyBorder="1" applyAlignment="1" applyProtection="1">
      <alignment horizontal="center" vertical="center" shrinkToFit="1"/>
    </xf>
    <xf numFmtId="0" fontId="7" fillId="0" borderId="19" xfId="2" applyFont="1" applyFill="1" applyBorder="1" applyAlignment="1" applyProtection="1">
      <alignment vertical="center" shrinkToFit="1"/>
    </xf>
    <xf numFmtId="0" fontId="208" fillId="0" borderId="18" xfId="2" applyFont="1" applyFill="1" applyBorder="1" applyAlignment="1" applyProtection="1">
      <alignment horizontal="center" vertical="center" shrinkToFit="1"/>
    </xf>
    <xf numFmtId="0" fontId="208" fillId="0" borderId="19" xfId="2" applyFont="1" applyFill="1" applyBorder="1" applyAlignment="1" applyProtection="1">
      <alignment horizontal="center" vertical="center" shrinkToFit="1"/>
    </xf>
    <xf numFmtId="0" fontId="7" fillId="0" borderId="16" xfId="2" applyFont="1" applyFill="1" applyBorder="1" applyAlignment="1" applyProtection="1">
      <alignment horizontal="center" vertical="center" shrinkToFit="1"/>
    </xf>
    <xf numFmtId="41" fontId="7" fillId="0" borderId="0" xfId="4228" applyFont="1" applyFill="1" applyBorder="1" applyAlignment="1">
      <alignment horizontal="right" vertical="center"/>
    </xf>
    <xf numFmtId="176" fontId="179" fillId="0" borderId="16" xfId="3" applyFont="1" applyFill="1" applyBorder="1" applyAlignment="1" applyProtection="1">
      <alignment horizontal="right"/>
    </xf>
    <xf numFmtId="176" fontId="179" fillId="0" borderId="16" xfId="3" applyFont="1" applyFill="1" applyBorder="1" applyAlignment="1" applyProtection="1">
      <alignment horizontal="center"/>
    </xf>
    <xf numFmtId="0" fontId="226" fillId="0" borderId="0" xfId="2" applyFont="1" applyFill="1" applyAlignment="1" applyProtection="1">
      <alignment vertical="center"/>
    </xf>
    <xf numFmtId="0" fontId="227" fillId="0" borderId="0" xfId="2" applyFont="1" applyFill="1" applyProtection="1"/>
    <xf numFmtId="0" fontId="228" fillId="0" borderId="0" xfId="2" applyFont="1" applyFill="1" applyAlignment="1" applyProtection="1">
      <alignment horizontal="left"/>
    </xf>
    <xf numFmtId="0" fontId="221" fillId="0" borderId="0" xfId="2" applyFont="1" applyFill="1" applyProtection="1"/>
    <xf numFmtId="0" fontId="228" fillId="0" borderId="0" xfId="2" applyFont="1" applyFill="1" applyAlignment="1" applyProtection="1">
      <alignment horizontal="right"/>
    </xf>
    <xf numFmtId="0" fontId="208" fillId="0" borderId="11" xfId="2" applyFont="1" applyFill="1" applyBorder="1" applyAlignment="1" applyProtection="1">
      <alignment horizontal="centerContinuous" vertical="center"/>
    </xf>
    <xf numFmtId="0" fontId="208" fillId="0" borderId="10" xfId="2" applyFont="1" applyFill="1" applyBorder="1" applyAlignment="1" applyProtection="1">
      <alignment horizontal="centerContinuous" vertical="center"/>
    </xf>
    <xf numFmtId="0" fontId="208" fillId="0" borderId="56" xfId="2" applyFont="1" applyFill="1" applyBorder="1" applyAlignment="1" applyProtection="1">
      <alignment horizontal="centerContinuous" vertical="center"/>
    </xf>
    <xf numFmtId="0" fontId="208" fillId="0" borderId="61" xfId="2" applyFont="1" applyFill="1" applyBorder="1" applyAlignment="1" applyProtection="1">
      <alignment horizontal="centerContinuous" vertical="center"/>
    </xf>
    <xf numFmtId="0" fontId="7" fillId="0" borderId="0" xfId="2" applyFont="1" applyFill="1" applyAlignment="1" applyProtection="1">
      <alignment vertical="center"/>
    </xf>
    <xf numFmtId="0" fontId="7" fillId="0" borderId="0" xfId="2" applyFont="1" applyFill="1" applyBorder="1" applyAlignment="1" applyProtection="1">
      <alignment horizontal="centerContinuous" vertical="center"/>
    </xf>
    <xf numFmtId="0" fontId="7" fillId="0" borderId="15" xfId="2" applyFont="1" applyFill="1" applyBorder="1" applyAlignment="1" applyProtection="1">
      <alignment horizontal="centerContinuous" vertical="center"/>
    </xf>
    <xf numFmtId="0" fontId="7" fillId="0" borderId="19" xfId="2" applyFont="1" applyFill="1" applyBorder="1" applyAlignment="1" applyProtection="1">
      <alignment horizontal="centerContinuous" vertical="center"/>
    </xf>
    <xf numFmtId="0" fontId="208" fillId="0" borderId="0" xfId="2" applyFont="1" applyFill="1" applyBorder="1" applyAlignment="1" applyProtection="1">
      <alignment horizontal="centerContinuous" vertical="center"/>
    </xf>
    <xf numFmtId="0" fontId="208" fillId="0" borderId="15" xfId="2" applyFont="1" applyFill="1" applyBorder="1" applyAlignment="1" applyProtection="1">
      <alignment horizontal="centerContinuous" vertical="center"/>
    </xf>
    <xf numFmtId="0" fontId="7" fillId="0" borderId="16" xfId="2" applyFont="1" applyFill="1" applyBorder="1" applyAlignment="1" applyProtection="1">
      <alignment horizontal="centerContinuous" vertical="center"/>
    </xf>
    <xf numFmtId="0" fontId="7" fillId="0" borderId="16" xfId="2" applyFont="1" applyFill="1" applyBorder="1" applyAlignment="1" applyProtection="1">
      <alignment horizontal="center" vertical="center"/>
    </xf>
    <xf numFmtId="0" fontId="219" fillId="0" borderId="15" xfId="4225" applyFont="1" applyFill="1" applyBorder="1" applyAlignment="1" applyProtection="1">
      <alignment horizontal="center"/>
    </xf>
    <xf numFmtId="0" fontId="208" fillId="0" borderId="15" xfId="4226" applyFont="1" applyFill="1" applyBorder="1" applyAlignment="1">
      <alignment horizontal="distributed"/>
    </xf>
    <xf numFmtId="0" fontId="222" fillId="0" borderId="16" xfId="2" applyFont="1" applyFill="1" applyBorder="1" applyAlignment="1" applyProtection="1">
      <alignment horizontal="center" vertical="center"/>
    </xf>
    <xf numFmtId="0" fontId="220" fillId="0" borderId="0" xfId="2" applyFont="1" applyFill="1" applyProtection="1"/>
    <xf numFmtId="0" fontId="221" fillId="0" borderId="0" xfId="2" applyFont="1" applyFill="1" applyBorder="1" applyAlignment="1" applyProtection="1">
      <alignment horizontal="left"/>
    </xf>
    <xf numFmtId="0" fontId="220" fillId="0" borderId="0" xfId="2" applyFont="1" applyFill="1" applyBorder="1" applyAlignment="1" applyProtection="1"/>
    <xf numFmtId="0" fontId="208" fillId="0" borderId="0" xfId="2" applyFont="1" applyFill="1" applyProtection="1"/>
    <xf numFmtId="0" fontId="228" fillId="0" borderId="0" xfId="1" applyFont="1" applyFill="1" applyAlignment="1" applyProtection="1">
      <alignment horizontal="left"/>
    </xf>
    <xf numFmtId="0" fontId="220" fillId="0" borderId="0" xfId="1" applyFont="1" applyFill="1" applyAlignment="1" applyProtection="1">
      <alignment horizontal="left"/>
    </xf>
    <xf numFmtId="0" fontId="220" fillId="0" borderId="0" xfId="1" applyFont="1" applyFill="1" applyProtection="1"/>
    <xf numFmtId="0" fontId="228" fillId="0" borderId="0" xfId="1" applyFont="1" applyFill="1" applyAlignment="1" applyProtection="1">
      <alignment horizontal="right"/>
    </xf>
    <xf numFmtId="41" fontId="7" fillId="0" borderId="0" xfId="1558" applyNumberFormat="1" applyFont="1" applyFill="1" applyBorder="1" applyAlignment="1" applyProtection="1">
      <alignment horizontal="right"/>
    </xf>
    <xf numFmtId="41" fontId="7" fillId="0" borderId="0" xfId="1558" applyNumberFormat="1" applyFont="1" applyFill="1" applyBorder="1" applyAlignment="1" applyProtection="1">
      <alignment horizontal="center"/>
    </xf>
    <xf numFmtId="0" fontId="221" fillId="0" borderId="0" xfId="1" applyFont="1" applyFill="1" applyProtection="1"/>
    <xf numFmtId="0" fontId="220" fillId="0" borderId="0" xfId="1" applyFont="1" applyFill="1" applyBorder="1" applyAlignment="1" applyProtection="1">
      <alignment horizontal="right"/>
    </xf>
    <xf numFmtId="0" fontId="208" fillId="0" borderId="0" xfId="1" applyFont="1" applyFill="1" applyProtection="1"/>
    <xf numFmtId="41" fontId="7" fillId="0" borderId="0" xfId="3" applyNumberFormat="1" applyFont="1" applyFill="1" applyBorder="1" applyAlignment="1" applyProtection="1">
      <alignment horizontal="center"/>
    </xf>
    <xf numFmtId="41" fontId="7" fillId="0" borderId="0" xfId="2605" applyNumberFormat="1" applyFont="1" applyFill="1" applyBorder="1" applyAlignment="1" applyProtection="1">
      <alignment horizontal="right"/>
    </xf>
    <xf numFmtId="41" fontId="7" fillId="0" borderId="0" xfId="2605" applyNumberFormat="1" applyFont="1" applyFill="1" applyBorder="1" applyAlignment="1" applyProtection="1">
      <alignment horizontal="center"/>
    </xf>
    <xf numFmtId="0" fontId="221" fillId="0" borderId="0" xfId="1" applyFont="1" applyFill="1" applyAlignment="1" applyProtection="1">
      <alignment horizontal="left"/>
    </xf>
    <xf numFmtId="0" fontId="221" fillId="0" borderId="0" xfId="1" applyFont="1" applyFill="1" applyAlignment="1" applyProtection="1">
      <alignment horizontal="right"/>
    </xf>
    <xf numFmtId="0" fontId="208" fillId="0" borderId="16" xfId="1" applyFont="1" applyFill="1" applyBorder="1" applyAlignment="1" applyProtection="1">
      <alignment horizontal="center" vertical="center" shrinkToFit="1"/>
    </xf>
    <xf numFmtId="0" fontId="208" fillId="0" borderId="57" xfId="1" applyFont="1" applyFill="1" applyBorder="1" applyAlignment="1" applyProtection="1">
      <alignment horizontal="center" vertical="center" shrinkToFit="1"/>
    </xf>
    <xf numFmtId="0" fontId="208" fillId="0" borderId="0" xfId="1" applyFont="1" applyFill="1" applyBorder="1" applyAlignment="1" applyProtection="1">
      <alignment horizontal="center" vertical="center" shrinkToFit="1"/>
    </xf>
    <xf numFmtId="0" fontId="208" fillId="0" borderId="0" xfId="1" applyFont="1" applyFill="1" applyBorder="1" applyAlignment="1" applyProtection="1">
      <alignment vertical="center" shrinkToFit="1"/>
    </xf>
    <xf numFmtId="0" fontId="7" fillId="0" borderId="16" xfId="1" applyFont="1" applyFill="1" applyBorder="1" applyAlignment="1" applyProtection="1">
      <alignment horizontal="center" vertical="center" shrinkToFit="1"/>
    </xf>
    <xf numFmtId="0" fontId="7" fillId="0" borderId="15" xfId="1" applyFont="1" applyFill="1" applyBorder="1" applyAlignment="1" applyProtection="1">
      <alignment horizontal="center" vertical="center"/>
    </xf>
    <xf numFmtId="41" fontId="7" fillId="0" borderId="19" xfId="1523" applyFont="1" applyFill="1" applyBorder="1" applyAlignment="1" applyProtection="1">
      <alignment horizontal="center"/>
    </xf>
    <xf numFmtId="41" fontId="7" fillId="0" borderId="0" xfId="1523" applyFont="1" applyFill="1" applyBorder="1" applyAlignment="1" applyProtection="1">
      <alignment horizontal="center"/>
    </xf>
    <xf numFmtId="41" fontId="7" fillId="0" borderId="0" xfId="4227" applyNumberFormat="1" applyFont="1" applyFill="1" applyBorder="1" applyProtection="1"/>
    <xf numFmtId="41" fontId="7" fillId="0" borderId="0" xfId="1523" applyNumberFormat="1" applyFont="1" applyFill="1" applyBorder="1" applyAlignment="1" applyProtection="1">
      <alignment horizontal="center"/>
    </xf>
    <xf numFmtId="0" fontId="7" fillId="0" borderId="12" xfId="2" applyFont="1" applyFill="1" applyBorder="1" applyAlignment="1" applyProtection="1">
      <alignment horizontal="centerContinuous" vertical="center"/>
    </xf>
    <xf numFmtId="0" fontId="7" fillId="0" borderId="14" xfId="2" applyFont="1" applyFill="1" applyBorder="1" applyAlignment="1" applyProtection="1">
      <alignment horizontal="centerContinuous" vertical="center"/>
    </xf>
    <xf numFmtId="0" fontId="7" fillId="0" borderId="13" xfId="2" applyFont="1" applyFill="1" applyBorder="1" applyAlignment="1" applyProtection="1">
      <alignment horizontal="centerContinuous" vertical="center"/>
    </xf>
    <xf numFmtId="0" fontId="208" fillId="0" borderId="12" xfId="2" applyFont="1" applyFill="1" applyBorder="1" applyAlignment="1" applyProtection="1">
      <alignment horizontal="centerContinuous" vertical="center"/>
    </xf>
    <xf numFmtId="0" fontId="208" fillId="0" borderId="19" xfId="2" applyFont="1" applyFill="1" applyBorder="1" applyAlignment="1" applyProtection="1">
      <alignment horizontal="centerContinuous" vertical="center"/>
    </xf>
    <xf numFmtId="0" fontId="7" fillId="0" borderId="22" xfId="2" applyFont="1" applyFill="1" applyBorder="1" applyAlignment="1" applyProtection="1">
      <alignment horizontal="centerContinuous" vertical="center"/>
    </xf>
    <xf numFmtId="0" fontId="7" fillId="0" borderId="23" xfId="2" applyFont="1" applyFill="1" applyBorder="1" applyAlignment="1" applyProtection="1">
      <alignment horizontal="centerContinuous" vertical="center"/>
    </xf>
    <xf numFmtId="0" fontId="7" fillId="0" borderId="20" xfId="2" applyFont="1" applyFill="1" applyBorder="1" applyAlignment="1" applyProtection="1">
      <alignment horizontal="centerContinuous" vertical="center"/>
    </xf>
    <xf numFmtId="0" fontId="7" fillId="0" borderId="21" xfId="2" applyFont="1" applyFill="1" applyBorder="1" applyAlignment="1" applyProtection="1">
      <alignment horizontal="centerContinuous" vertical="center"/>
    </xf>
    <xf numFmtId="176" fontId="7" fillId="0" borderId="19" xfId="3" applyNumberFormat="1" applyFont="1" applyFill="1" applyBorder="1" applyAlignment="1" applyProtection="1">
      <alignment horizontal="right"/>
    </xf>
    <xf numFmtId="176" fontId="7" fillId="0" borderId="0" xfId="3" applyNumberFormat="1" applyFont="1" applyFill="1" applyBorder="1" applyAlignment="1" applyProtection="1">
      <alignment horizontal="right"/>
    </xf>
    <xf numFmtId="176" fontId="7" fillId="0" borderId="0" xfId="3" applyNumberFormat="1" applyFont="1" applyFill="1" applyBorder="1" applyAlignment="1" applyProtection="1">
      <alignment horizontal="center"/>
    </xf>
    <xf numFmtId="41" fontId="7" fillId="0" borderId="19" xfId="3" applyNumberFormat="1" applyFont="1" applyFill="1" applyBorder="1" applyAlignment="1" applyProtection="1">
      <alignment horizontal="right"/>
    </xf>
    <xf numFmtId="0" fontId="7" fillId="0" borderId="0" xfId="1" applyFont="1" applyFill="1" applyAlignment="1" applyProtection="1">
      <alignment vertical="center"/>
    </xf>
    <xf numFmtId="0" fontId="7" fillId="0" borderId="0" xfId="1" applyFont="1" applyFill="1" applyProtection="1"/>
    <xf numFmtId="0" fontId="221" fillId="0" borderId="0" xfId="2" applyFont="1" applyFill="1" applyAlignment="1" applyProtection="1">
      <alignment horizontal="right"/>
    </xf>
    <xf numFmtId="0" fontId="220" fillId="0" borderId="0" xfId="2" applyFont="1" applyFill="1" applyAlignment="1" applyProtection="1">
      <alignment horizontal="left"/>
    </xf>
    <xf numFmtId="0" fontId="208" fillId="0" borderId="13" xfId="2" applyFont="1" applyFill="1" applyBorder="1" applyAlignment="1" applyProtection="1">
      <alignment vertical="center"/>
    </xf>
    <xf numFmtId="0" fontId="208" fillId="0" borderId="19" xfId="2" applyFont="1" applyFill="1" applyBorder="1" applyAlignment="1" applyProtection="1">
      <alignment horizontal="center" vertical="center"/>
    </xf>
    <xf numFmtId="0" fontId="7" fillId="0" borderId="19" xfId="2" applyFont="1" applyFill="1" applyBorder="1" applyAlignment="1" applyProtection="1">
      <alignment horizontal="left" vertical="center"/>
    </xf>
    <xf numFmtId="41" fontId="7" fillId="0" borderId="0" xfId="2604" applyNumberFormat="1" applyFont="1" applyFill="1" applyBorder="1" applyAlignment="1" applyProtection="1">
      <alignment horizontal="right"/>
    </xf>
    <xf numFmtId="0" fontId="221" fillId="0" borderId="0" xfId="2608" applyFont="1" applyFill="1" applyAlignment="1" applyProtection="1">
      <alignment horizontal="left"/>
    </xf>
    <xf numFmtId="0" fontId="221" fillId="0" borderId="0" xfId="2608" applyFont="1" applyFill="1" applyProtection="1"/>
    <xf numFmtId="0" fontId="7" fillId="0" borderId="0" xfId="2" applyFont="1" applyFill="1" applyBorder="1" applyAlignment="1" applyProtection="1">
      <alignment vertical="center"/>
    </xf>
    <xf numFmtId="0" fontId="208" fillId="0" borderId="58" xfId="2" applyFont="1" applyFill="1" applyBorder="1" applyAlignment="1" applyProtection="1">
      <alignment horizontal="center" vertical="center"/>
    </xf>
    <xf numFmtId="0" fontId="7" fillId="0" borderId="36" xfId="2" applyFont="1" applyFill="1" applyBorder="1" applyAlignment="1" applyProtection="1">
      <alignment horizontal="center" vertical="center"/>
    </xf>
    <xf numFmtId="0" fontId="218" fillId="0" borderId="0" xfId="2" applyFont="1" applyFill="1" applyAlignment="1" applyProtection="1">
      <alignment horizontal="centerContinuous"/>
    </xf>
    <xf numFmtId="0" fontId="227" fillId="0" borderId="0" xfId="2" applyFont="1" applyFill="1" applyAlignment="1" applyProtection="1">
      <alignment horizontal="centerContinuous"/>
    </xf>
    <xf numFmtId="0" fontId="7" fillId="0" borderId="0" xfId="2" applyFont="1" applyFill="1" applyAlignment="1" applyProtection="1">
      <alignment horizontal="center"/>
    </xf>
    <xf numFmtId="0" fontId="219" fillId="0" borderId="0" xfId="2" applyFont="1" applyFill="1" applyBorder="1" applyAlignment="1" applyProtection="1">
      <alignment vertical="center"/>
    </xf>
    <xf numFmtId="176" fontId="7" fillId="0" borderId="16" xfId="3" applyFont="1" applyFill="1" applyBorder="1" applyAlignment="1" applyProtection="1">
      <alignment horizontal="right"/>
    </xf>
    <xf numFmtId="176" fontId="7" fillId="0" borderId="16" xfId="3" applyFont="1" applyFill="1" applyBorder="1" applyAlignment="1" applyProtection="1">
      <alignment horizontal="center"/>
    </xf>
    <xf numFmtId="0" fontId="228" fillId="0" borderId="0" xfId="2608" applyFont="1" applyFill="1" applyAlignment="1" applyProtection="1">
      <alignment horizontal="right"/>
    </xf>
    <xf numFmtId="0" fontId="7" fillId="0" borderId="0" xfId="2608" applyFont="1" applyFill="1" applyAlignment="1" applyProtection="1">
      <alignment vertical="center"/>
    </xf>
    <xf numFmtId="0" fontId="7" fillId="0" borderId="0" xfId="2608" applyFont="1" applyFill="1" applyProtection="1"/>
    <xf numFmtId="0" fontId="7" fillId="0" borderId="0" xfId="2608" applyFont="1" applyFill="1" applyAlignment="1" applyProtection="1"/>
    <xf numFmtId="0" fontId="7" fillId="0" borderId="0" xfId="2608" applyFont="1" applyFill="1" applyBorder="1" applyProtection="1"/>
    <xf numFmtId="41" fontId="221" fillId="0" borderId="0" xfId="4228" applyFont="1" applyFill="1" applyAlignment="1" applyProtection="1">
      <alignment horizontal="left"/>
    </xf>
    <xf numFmtId="41" fontId="221" fillId="0" borderId="0" xfId="4228" applyFont="1" applyFill="1" applyAlignment="1" applyProtection="1"/>
    <xf numFmtId="41" fontId="7" fillId="0" borderId="21" xfId="4228" applyFont="1" applyFill="1" applyBorder="1" applyAlignment="1" applyProtection="1">
      <alignment horizontal="center" vertical="center"/>
    </xf>
    <xf numFmtId="0" fontId="230" fillId="0" borderId="0" xfId="2" applyFont="1" applyFill="1" applyProtection="1"/>
    <xf numFmtId="0" fontId="7" fillId="0" borderId="56" xfId="2" applyFont="1" applyFill="1" applyBorder="1" applyAlignment="1" applyProtection="1">
      <alignment horizontal="centerContinuous" vertical="center"/>
    </xf>
    <xf numFmtId="0" fontId="208" fillId="0" borderId="16" xfId="2" applyFont="1" applyFill="1" applyBorder="1" applyAlignment="1" applyProtection="1">
      <alignment vertical="center" shrinkToFit="1"/>
    </xf>
    <xf numFmtId="0" fontId="208" fillId="0" borderId="15" xfId="2" applyFont="1" applyFill="1" applyBorder="1" applyAlignment="1" applyProtection="1">
      <alignment horizontal="center" vertical="center" shrinkToFit="1"/>
    </xf>
    <xf numFmtId="0" fontId="208" fillId="0" borderId="61" xfId="2" applyFont="1" applyFill="1" applyBorder="1" applyAlignment="1" applyProtection="1">
      <alignment horizontal="centerContinuous" vertical="center" wrapText="1"/>
    </xf>
    <xf numFmtId="0" fontId="208" fillId="0" borderId="16" xfId="2" applyFont="1" applyFill="1" applyBorder="1" applyAlignment="1" applyProtection="1">
      <alignment horizontal="center" vertical="center" wrapText="1"/>
    </xf>
    <xf numFmtId="0" fontId="208" fillId="0" borderId="57" xfId="2" applyFont="1" applyFill="1" applyBorder="1" applyAlignment="1" applyProtection="1">
      <alignment horizontal="centerContinuous" vertical="center"/>
    </xf>
    <xf numFmtId="0" fontId="7" fillId="0" borderId="59" xfId="2" applyFont="1" applyFill="1" applyBorder="1" applyAlignment="1" applyProtection="1">
      <alignment horizontal="centerContinuous" vertical="center"/>
    </xf>
    <xf numFmtId="0" fontId="208" fillId="0" borderId="29" xfId="2" applyFont="1" applyFill="1" applyBorder="1" applyAlignment="1" applyProtection="1">
      <alignment horizontal="centerContinuous" vertical="center"/>
    </xf>
    <xf numFmtId="0" fontId="7" fillId="0" borderId="58" xfId="2" applyFont="1" applyFill="1" applyBorder="1" applyAlignment="1" applyProtection="1">
      <alignment horizontal="centerContinuous" vertical="center"/>
    </xf>
    <xf numFmtId="0" fontId="224" fillId="0" borderId="16" xfId="2" applyFont="1" applyFill="1" applyBorder="1" applyAlignment="1" applyProtection="1">
      <alignment horizontal="center" vertical="center"/>
    </xf>
    <xf numFmtId="0" fontId="222" fillId="0" borderId="15" xfId="2" applyFont="1" applyFill="1" applyBorder="1" applyAlignment="1" applyProtection="1">
      <alignment horizontal="center" vertical="center"/>
    </xf>
    <xf numFmtId="0" fontId="222" fillId="0" borderId="19" xfId="2" applyFont="1" applyFill="1" applyBorder="1" applyAlignment="1" applyProtection="1">
      <alignment horizontal="center" vertical="center"/>
    </xf>
    <xf numFmtId="41" fontId="232" fillId="0" borderId="0" xfId="0" applyNumberFormat="1" applyFont="1" applyBorder="1" applyAlignment="1">
      <alignment horizontal="right" vertical="center"/>
    </xf>
    <xf numFmtId="0" fontId="221" fillId="0" borderId="0" xfId="2" applyFont="1" applyFill="1" applyBorder="1" applyProtection="1"/>
    <xf numFmtId="0" fontId="7" fillId="0" borderId="0" xfId="2" applyFont="1" applyFill="1" applyAlignment="1" applyProtection="1"/>
    <xf numFmtId="0" fontId="7" fillId="0" borderId="0" xfId="2" applyFont="1" applyFill="1" applyBorder="1" applyAlignment="1" applyProtection="1"/>
    <xf numFmtId="0" fontId="208" fillId="0" borderId="0" xfId="2" applyFont="1" applyFill="1" applyAlignment="1" applyProtection="1"/>
    <xf numFmtId="0" fontId="221" fillId="0" borderId="0" xfId="2" applyFont="1" applyFill="1" applyBorder="1" applyAlignment="1" applyProtection="1"/>
    <xf numFmtId="0" fontId="208" fillId="0" borderId="0" xfId="2" applyFont="1" applyFill="1" applyBorder="1" applyAlignment="1" applyProtection="1"/>
    <xf numFmtId="41" fontId="231" fillId="0" borderId="0" xfId="0" applyNumberFormat="1" applyFont="1" applyFill="1" applyBorder="1" applyAlignment="1">
      <alignment horizontal="right"/>
    </xf>
    <xf numFmtId="0" fontId="6" fillId="0" borderId="10" xfId="2" applyFont="1" applyFill="1" applyBorder="1" applyAlignment="1" applyProtection="1">
      <alignment horizontal="center" vertical="center"/>
    </xf>
    <xf numFmtId="41" fontId="219" fillId="0" borderId="0" xfId="3" applyNumberFormat="1" applyFont="1" applyFill="1" applyBorder="1" applyAlignment="1" applyProtection="1">
      <alignment horizontal="right"/>
    </xf>
    <xf numFmtId="0" fontId="222" fillId="0" borderId="16" xfId="2" applyFont="1" applyFill="1" applyBorder="1" applyAlignment="1" applyProtection="1">
      <alignment horizontal="center" vertical="center" shrinkToFit="1"/>
    </xf>
    <xf numFmtId="0" fontId="208" fillId="0" borderId="57" xfId="2" applyFont="1" applyFill="1" applyBorder="1" applyAlignment="1" applyProtection="1">
      <alignment horizontal="centerContinuous" vertical="center" shrinkToFit="1"/>
    </xf>
    <xf numFmtId="0" fontId="7" fillId="0" borderId="57" xfId="2" applyFont="1" applyFill="1" applyBorder="1" applyAlignment="1" applyProtection="1">
      <alignment horizontal="centerContinuous" vertical="center" shrinkToFit="1"/>
    </xf>
    <xf numFmtId="0" fontId="208" fillId="0" borderId="16" xfId="2" applyFont="1" applyFill="1" applyBorder="1" applyAlignment="1" applyProtection="1">
      <alignment horizontal="centerContinuous" vertical="center" shrinkToFit="1"/>
    </xf>
    <xf numFmtId="0" fontId="208" fillId="0" borderId="18" xfId="2" applyFont="1" applyFill="1" applyBorder="1" applyAlignment="1" applyProtection="1">
      <alignment horizontal="centerContinuous" vertical="center" shrinkToFit="1"/>
    </xf>
    <xf numFmtId="0" fontId="208" fillId="0" borderId="60" xfId="2" applyFont="1" applyFill="1" applyBorder="1" applyAlignment="1" applyProtection="1">
      <alignment horizontal="centerContinuous" vertical="center" shrinkToFit="1"/>
    </xf>
    <xf numFmtId="0" fontId="7" fillId="0" borderId="17" xfId="2" applyFont="1" applyFill="1" applyBorder="1" applyAlignment="1" applyProtection="1">
      <alignment horizontal="centerContinuous" vertical="center" shrinkToFit="1"/>
    </xf>
    <xf numFmtId="0" fontId="208" fillId="0" borderId="19" xfId="2" applyFont="1" applyFill="1" applyBorder="1" applyAlignment="1" applyProtection="1">
      <alignment horizontal="centerContinuous" vertical="center" shrinkToFit="1"/>
    </xf>
    <xf numFmtId="0" fontId="208" fillId="0" borderId="0" xfId="2" applyFont="1" applyFill="1" applyBorder="1" applyAlignment="1" applyProtection="1">
      <alignment horizontal="centerContinuous" vertical="center" shrinkToFit="1"/>
    </xf>
    <xf numFmtId="0" fontId="7" fillId="0" borderId="15" xfId="2" applyFont="1" applyFill="1" applyBorder="1" applyAlignment="1" applyProtection="1">
      <alignment horizontal="centerContinuous" vertical="center" shrinkToFit="1"/>
    </xf>
    <xf numFmtId="0" fontId="7" fillId="0" borderId="16" xfId="2" applyFont="1" applyFill="1" applyBorder="1" applyAlignment="1" applyProtection="1">
      <alignment horizontal="centerContinuous" vertical="center" shrinkToFit="1"/>
    </xf>
    <xf numFmtId="0" fontId="7" fillId="0" borderId="19" xfId="2" applyFont="1" applyFill="1" applyBorder="1" applyAlignment="1" applyProtection="1">
      <alignment horizontal="centerContinuous" vertical="center" shrinkToFit="1"/>
    </xf>
    <xf numFmtId="0" fontId="7" fillId="0" borderId="0" xfId="2" applyFont="1" applyFill="1" applyBorder="1" applyAlignment="1" applyProtection="1">
      <alignment horizontal="centerContinuous" vertical="center" shrinkToFit="1"/>
    </xf>
    <xf numFmtId="0" fontId="224" fillId="0" borderId="16" xfId="2" applyFont="1" applyFill="1" applyBorder="1" applyAlignment="1" applyProtection="1">
      <alignment horizontal="center" vertical="center" shrinkToFit="1"/>
    </xf>
    <xf numFmtId="0" fontId="7" fillId="0" borderId="16" xfId="2" applyFont="1" applyFill="1" applyBorder="1" applyAlignment="1" applyProtection="1">
      <alignment vertical="center" shrinkToFit="1"/>
    </xf>
    <xf numFmtId="0" fontId="7" fillId="0" borderId="16" xfId="2" applyFont="1" applyFill="1" applyBorder="1" applyAlignment="1" applyProtection="1">
      <alignment horizontal="left" vertical="center" shrinkToFit="1"/>
    </xf>
    <xf numFmtId="49" fontId="7" fillId="0" borderId="16" xfId="2" applyNumberFormat="1" applyFont="1" applyFill="1" applyBorder="1" applyAlignment="1" applyProtection="1">
      <alignment horizontal="centerContinuous" vertical="center" shrinkToFit="1"/>
    </xf>
    <xf numFmtId="16" fontId="7" fillId="0" borderId="19" xfId="2" quotePrefix="1" applyNumberFormat="1" applyFont="1" applyFill="1" applyBorder="1" applyAlignment="1" applyProtection="1">
      <alignment horizontal="centerContinuous" vertical="center" shrinkToFit="1"/>
    </xf>
    <xf numFmtId="0" fontId="7" fillId="0" borderId="15" xfId="2" applyFont="1" applyFill="1" applyBorder="1" applyAlignment="1" applyProtection="1">
      <alignment vertical="center" shrinkToFit="1"/>
    </xf>
    <xf numFmtId="42" fontId="7" fillId="0" borderId="19" xfId="2" applyNumberFormat="1" applyFont="1" applyFill="1" applyBorder="1" applyAlignment="1" applyProtection="1">
      <alignment horizontal="centerContinuous" vertical="center"/>
    </xf>
    <xf numFmtId="0" fontId="7" fillId="0" borderId="29" xfId="2" applyFont="1" applyFill="1" applyBorder="1" applyAlignment="1" applyProtection="1">
      <alignment horizontal="centerContinuous" vertical="center"/>
    </xf>
    <xf numFmtId="0" fontId="208" fillId="0" borderId="29" xfId="2" applyFont="1" applyFill="1" applyBorder="1" applyAlignment="1" applyProtection="1">
      <alignment horizontal="centerContinuous" vertical="center" wrapText="1"/>
    </xf>
    <xf numFmtId="0" fontId="208" fillId="0" borderId="36" xfId="2" applyFont="1" applyFill="1" applyBorder="1" applyAlignment="1" applyProtection="1">
      <alignment horizontal="centerContinuous" vertical="center" wrapText="1"/>
    </xf>
    <xf numFmtId="0" fontId="208" fillId="0" borderId="0" xfId="2" applyFont="1" applyFill="1" applyBorder="1" applyAlignment="1" applyProtection="1">
      <alignment horizontal="center" vertical="center"/>
    </xf>
    <xf numFmtId="0" fontId="208" fillId="0" borderId="11" xfId="1" applyFont="1" applyFill="1" applyBorder="1" applyAlignment="1" applyProtection="1">
      <alignment horizontal="centerContinuous" vertical="center"/>
    </xf>
    <xf numFmtId="0" fontId="208" fillId="0" borderId="10" xfId="1" applyFont="1" applyFill="1" applyBorder="1" applyAlignment="1" applyProtection="1">
      <alignment horizontal="centerContinuous" vertical="center"/>
    </xf>
    <xf numFmtId="0" fontId="208" fillId="0" borderId="0" xfId="1" applyFont="1" applyFill="1" applyBorder="1" applyAlignment="1" applyProtection="1">
      <alignment horizontal="centerContinuous" vertical="center"/>
    </xf>
    <xf numFmtId="0" fontId="7" fillId="0" borderId="0" xfId="1" applyFont="1" applyFill="1" applyBorder="1" applyAlignment="1" applyProtection="1">
      <alignment horizontal="centerContinuous" vertical="center"/>
    </xf>
    <xf numFmtId="0" fontId="7" fillId="0" borderId="19" xfId="1" applyFont="1" applyFill="1" applyBorder="1" applyAlignment="1" applyProtection="1">
      <alignment horizontal="centerContinuous" vertical="center" shrinkToFit="1"/>
    </xf>
    <xf numFmtId="0" fontId="7" fillId="0" borderId="15" xfId="1" applyFont="1" applyFill="1" applyBorder="1" applyAlignment="1" applyProtection="1">
      <alignment horizontal="centerContinuous" vertical="center" shrinkToFit="1"/>
    </xf>
    <xf numFmtId="0" fontId="7" fillId="0" borderId="20" xfId="1" applyFont="1" applyFill="1" applyBorder="1" applyAlignment="1" applyProtection="1">
      <alignment horizontal="centerContinuous" vertical="center" shrinkToFit="1"/>
    </xf>
    <xf numFmtId="0" fontId="208" fillId="0" borderId="18" xfId="1" applyFont="1" applyFill="1" applyBorder="1" applyAlignment="1" applyProtection="1">
      <alignment horizontal="center" vertical="center" shrinkToFit="1"/>
    </xf>
    <xf numFmtId="0" fontId="208" fillId="0" borderId="19" xfId="1" applyFont="1" applyFill="1" applyBorder="1" applyAlignment="1" applyProtection="1">
      <alignment horizontal="center" vertical="center" shrinkToFit="1"/>
    </xf>
    <xf numFmtId="0" fontId="7" fillId="0" borderId="0" xfId="2608" applyFont="1" applyFill="1" applyBorder="1" applyAlignment="1" applyProtection="1">
      <alignment horizontal="center" vertical="center" wrapText="1"/>
    </xf>
    <xf numFmtId="0" fontId="222" fillId="0" borderId="10" xfId="2608" applyFont="1" applyFill="1" applyBorder="1" applyAlignment="1" applyProtection="1">
      <alignment horizontal="centerContinuous" vertical="center"/>
    </xf>
    <xf numFmtId="0" fontId="7" fillId="0" borderId="61" xfId="2608" applyFont="1" applyFill="1" applyBorder="1" applyAlignment="1" applyProtection="1">
      <alignment horizontal="centerContinuous" vertical="center"/>
    </xf>
    <xf numFmtId="0" fontId="222" fillId="0" borderId="61" xfId="2608" applyFont="1" applyFill="1" applyBorder="1" applyAlignment="1" applyProtection="1">
      <alignment horizontal="center" vertical="center"/>
    </xf>
    <xf numFmtId="0" fontId="7" fillId="0" borderId="23" xfId="2608" applyFont="1" applyFill="1" applyBorder="1" applyAlignment="1" applyProtection="1">
      <alignment horizontal="centerContinuous" vertical="center"/>
    </xf>
    <xf numFmtId="0" fontId="7" fillId="0" borderId="16" xfId="2608" applyFont="1" applyFill="1" applyBorder="1" applyAlignment="1" applyProtection="1">
      <alignment horizontal="center" vertical="center"/>
    </xf>
    <xf numFmtId="0" fontId="222" fillId="0" borderId="57" xfId="2608" applyFont="1" applyFill="1" applyBorder="1" applyAlignment="1" applyProtection="1">
      <alignment horizontal="center" vertical="center"/>
    </xf>
    <xf numFmtId="0" fontId="222" fillId="0" borderId="16" xfId="2608" applyFont="1" applyFill="1" applyBorder="1" applyAlignment="1" applyProtection="1">
      <alignment horizontal="center" vertical="center"/>
    </xf>
    <xf numFmtId="0" fontId="217" fillId="0" borderId="0" xfId="2" applyFont="1" applyFill="1" applyAlignment="1" applyProtection="1">
      <alignment vertical="center"/>
    </xf>
    <xf numFmtId="0" fontId="218" fillId="0" borderId="0" xfId="2" applyFont="1" applyFill="1" applyAlignment="1" applyProtection="1">
      <alignment horizontal="center" vertical="center"/>
    </xf>
    <xf numFmtId="0" fontId="216" fillId="0" borderId="0" xfId="2" applyFont="1" applyFill="1" applyAlignment="1" applyProtection="1">
      <alignment horizontal="right" vertical="top"/>
    </xf>
    <xf numFmtId="0" fontId="216" fillId="0" borderId="0" xfId="2" applyFont="1" applyFill="1" applyAlignment="1" applyProtection="1">
      <alignment horizontal="left" vertical="top"/>
    </xf>
    <xf numFmtId="0" fontId="220" fillId="0" borderId="0" xfId="2" applyFont="1" applyFill="1" applyBorder="1" applyAlignment="1" applyProtection="1">
      <alignment horizontal="left"/>
    </xf>
    <xf numFmtId="0" fontId="218" fillId="0" borderId="0" xfId="2" applyFont="1" applyFill="1" applyAlignment="1" applyProtection="1">
      <alignment vertical="center"/>
    </xf>
    <xf numFmtId="0" fontId="208" fillId="0" borderId="10" xfId="2" applyFont="1" applyFill="1" applyBorder="1" applyAlignment="1" applyProtection="1">
      <alignment horizontal="center" vertical="center" shrinkToFit="1"/>
    </xf>
    <xf numFmtId="0" fontId="216" fillId="0" borderId="0" xfId="2608" applyFont="1" applyFill="1" applyAlignment="1" applyProtection="1">
      <alignment vertical="top"/>
    </xf>
    <xf numFmtId="0" fontId="216" fillId="0" borderId="0" xfId="2608" applyFont="1" applyFill="1" applyAlignment="1" applyProtection="1">
      <alignment horizontal="right" vertical="top"/>
    </xf>
    <xf numFmtId="0" fontId="226" fillId="0" borderId="0" xfId="2608" applyFont="1" applyFill="1" applyAlignment="1" applyProtection="1">
      <alignment vertical="center"/>
    </xf>
    <xf numFmtId="0" fontId="227" fillId="0" borderId="0" xfId="2608" applyFont="1" applyFill="1" applyAlignment="1" applyProtection="1">
      <alignment horizontal="centerContinuous"/>
    </xf>
    <xf numFmtId="0" fontId="227" fillId="0" borderId="0" xfId="2608" applyFont="1" applyFill="1" applyProtection="1"/>
    <xf numFmtId="0" fontId="228" fillId="0" borderId="0" xfId="2608" applyFont="1" applyFill="1" applyAlignment="1" applyProtection="1">
      <alignment horizontal="left"/>
    </xf>
    <xf numFmtId="41" fontId="7" fillId="0" borderId="0" xfId="2608" applyNumberFormat="1" applyFont="1" applyFill="1" applyBorder="1" applyAlignment="1" applyProtection="1">
      <alignment horizontal="center" vertical="center" wrapText="1"/>
    </xf>
    <xf numFmtId="0" fontId="7" fillId="0" borderId="0" xfId="2608" applyFont="1" applyFill="1" applyBorder="1" applyAlignment="1" applyProtection="1"/>
    <xf numFmtId="0" fontId="219" fillId="0" borderId="0" xfId="2608" applyFont="1" applyFill="1" applyBorder="1" applyAlignment="1" applyProtection="1"/>
    <xf numFmtId="0" fontId="227" fillId="0" borderId="0" xfId="2" applyFont="1" applyFill="1" applyAlignment="1" applyProtection="1">
      <alignment horizontal="center"/>
    </xf>
    <xf numFmtId="0" fontId="218" fillId="0" borderId="0" xfId="2" applyFont="1" applyFill="1" applyAlignment="1" applyProtection="1">
      <alignment horizontal="left"/>
    </xf>
    <xf numFmtId="0" fontId="218" fillId="0" borderId="0" xfId="2" applyFont="1" applyFill="1" applyAlignment="1" applyProtection="1"/>
    <xf numFmtId="0" fontId="220" fillId="0" borderId="0" xfId="2608" applyFont="1" applyFill="1" applyAlignment="1" applyProtection="1">
      <alignment horizontal="left"/>
    </xf>
    <xf numFmtId="0" fontId="7" fillId="0" borderId="0" xfId="2" applyFont="1" applyFill="1" applyAlignment="1" applyProtection="1">
      <alignment vertical="center" shrinkToFit="1"/>
    </xf>
    <xf numFmtId="0" fontId="208" fillId="0" borderId="20" xfId="2" applyFont="1" applyFill="1" applyBorder="1" applyAlignment="1" applyProtection="1">
      <alignment horizontal="center" vertical="center" shrinkToFit="1"/>
    </xf>
    <xf numFmtId="0" fontId="226" fillId="0" borderId="0" xfId="4457" applyFont="1" applyFill="1" applyAlignment="1">
      <alignment vertical="center"/>
    </xf>
    <xf numFmtId="0" fontId="218" fillId="0" borderId="0" xfId="4457" applyFont="1" applyFill="1" applyBorder="1" applyAlignment="1" applyProtection="1">
      <alignment horizontal="centerContinuous"/>
    </xf>
    <xf numFmtId="0" fontId="227" fillId="0" borderId="0" xfId="4457" applyFont="1" applyFill="1"/>
    <xf numFmtId="41" fontId="1" fillId="0" borderId="0" xfId="4228" applyFont="1">
      <alignment vertical="center"/>
    </xf>
    <xf numFmtId="0" fontId="236" fillId="0" borderId="0" xfId="4457" applyFont="1" applyFill="1" applyAlignment="1">
      <alignment vertical="top"/>
    </xf>
    <xf numFmtId="0" fontId="236" fillId="0" borderId="0" xfId="4457" applyFont="1" applyFill="1" applyBorder="1" applyAlignment="1">
      <alignment horizontal="right" vertical="top"/>
    </xf>
    <xf numFmtId="0" fontId="236" fillId="0" borderId="0" xfId="4457" applyFont="1" applyFill="1" applyAlignment="1">
      <alignment horizontal="right" vertical="top"/>
    </xf>
    <xf numFmtId="0" fontId="227" fillId="0" borderId="0" xfId="4457" applyFont="1" applyFill="1" applyBorder="1" applyAlignment="1" applyProtection="1">
      <alignment horizontal="centerContinuous"/>
    </xf>
    <xf numFmtId="41" fontId="7" fillId="0" borderId="61" xfId="4228" applyFont="1" applyFill="1" applyBorder="1" applyAlignment="1" applyProtection="1">
      <alignment horizontal="centerContinuous" vertical="center"/>
    </xf>
    <xf numFmtId="41" fontId="7" fillId="0" borderId="16" xfId="4228" applyFont="1" applyFill="1" applyBorder="1" applyAlignment="1" applyProtection="1">
      <alignment horizontal="center" vertical="center"/>
    </xf>
    <xf numFmtId="41" fontId="7" fillId="0" borderId="23" xfId="4228" applyFont="1" applyFill="1" applyBorder="1" applyAlignment="1" applyProtection="1">
      <alignment horizontal="centerContinuous" vertical="center"/>
    </xf>
    <xf numFmtId="41" fontId="7" fillId="0" borderId="21" xfId="4228" applyFont="1" applyFill="1" applyBorder="1" applyAlignment="1" applyProtection="1">
      <alignment horizontal="center" vertical="center" shrinkToFit="1"/>
    </xf>
    <xf numFmtId="41" fontId="1" fillId="0" borderId="0" xfId="4228" applyFont="1" applyFill="1">
      <alignment vertical="center"/>
    </xf>
    <xf numFmtId="0" fontId="237" fillId="0" borderId="0" xfId="2608" applyFont="1" applyFill="1" applyProtection="1"/>
    <xf numFmtId="0" fontId="220" fillId="0" borderId="0" xfId="4222" applyFont="1" applyFill="1" applyProtection="1">
      <alignment vertical="center"/>
    </xf>
    <xf numFmtId="0" fontId="221" fillId="0" borderId="0" xfId="4222" applyFont="1" applyFill="1" applyProtection="1">
      <alignment vertical="center"/>
    </xf>
    <xf numFmtId="0" fontId="0" fillId="0" borderId="0" xfId="0" applyFont="1">
      <alignment vertical="center"/>
    </xf>
    <xf numFmtId="0" fontId="220" fillId="0" borderId="0" xfId="2" applyFont="1" applyFill="1" applyBorder="1" applyProtection="1"/>
    <xf numFmtId="176" fontId="219" fillId="0" borderId="0" xfId="3" applyFont="1" applyFill="1" applyBorder="1" applyAlignment="1" applyProtection="1">
      <alignment horizontal="right" vertical="center"/>
    </xf>
    <xf numFmtId="0" fontId="226" fillId="0" borderId="0" xfId="2" applyFont="1" applyFill="1" applyAlignment="1" applyProtection="1">
      <alignment horizontal="centerContinuous" vertical="center"/>
    </xf>
    <xf numFmtId="41" fontId="1" fillId="0" borderId="0" xfId="0" applyNumberFormat="1" applyFont="1">
      <alignment vertical="center"/>
    </xf>
    <xf numFmtId="0" fontId="220" fillId="0" borderId="0" xfId="1" applyFont="1" applyFill="1" applyBorder="1" applyAlignment="1" applyProtection="1"/>
    <xf numFmtId="176" fontId="7" fillId="0" borderId="0" xfId="2" applyNumberFormat="1" applyFont="1" applyFill="1" applyAlignment="1" applyProtection="1">
      <alignment vertical="center"/>
    </xf>
    <xf numFmtId="3" fontId="7" fillId="0" borderId="0" xfId="2" applyNumberFormat="1" applyFont="1" applyFill="1" applyBorder="1" applyAlignment="1" applyProtection="1">
      <alignment vertical="center"/>
    </xf>
    <xf numFmtId="176" fontId="221" fillId="0" borderId="0" xfId="3" applyNumberFormat="1" applyFont="1" applyFill="1" applyBorder="1" applyAlignment="1" applyProtection="1">
      <alignment horizontal="right"/>
    </xf>
    <xf numFmtId="0" fontId="220" fillId="0" borderId="0" xfId="2" applyFont="1" applyFill="1" applyBorder="1" applyAlignment="1" applyProtection="1">
      <alignment horizontal="right"/>
    </xf>
    <xf numFmtId="0" fontId="219" fillId="0" borderId="0" xfId="2" applyFont="1" applyFill="1" applyAlignment="1" applyProtection="1">
      <alignment shrinkToFit="1"/>
    </xf>
    <xf numFmtId="0" fontId="219" fillId="0" borderId="0" xfId="2" applyFont="1" applyFill="1" applyProtection="1"/>
    <xf numFmtId="41" fontId="7" fillId="0" borderId="0" xfId="2" applyNumberFormat="1" applyFont="1" applyFill="1" applyAlignment="1" applyProtection="1"/>
    <xf numFmtId="0" fontId="7" fillId="0" borderId="0" xfId="2" applyFont="1" applyFill="1" applyBorder="1" applyProtection="1"/>
    <xf numFmtId="0" fontId="216" fillId="0" borderId="0" xfId="1" applyFont="1" applyFill="1" applyAlignment="1" applyProtection="1">
      <alignment vertical="top"/>
    </xf>
    <xf numFmtId="0" fontId="219" fillId="0" borderId="0" xfId="1" applyFont="1" applyFill="1" applyBorder="1" applyProtection="1"/>
    <xf numFmtId="41" fontId="7" fillId="0" borderId="0" xfId="4224" applyNumberFormat="1" applyFont="1" applyFill="1" applyBorder="1" applyAlignment="1" applyProtection="1">
      <alignment horizontal="center"/>
    </xf>
    <xf numFmtId="0" fontId="219" fillId="0" borderId="0" xfId="2" applyFont="1" applyFill="1" applyBorder="1" applyAlignment="1" applyProtection="1"/>
    <xf numFmtId="176" fontId="220" fillId="0" borderId="0" xfId="3" applyNumberFormat="1" applyFont="1" applyFill="1" applyBorder="1" applyAlignment="1" applyProtection="1">
      <alignment horizontal="center"/>
    </xf>
    <xf numFmtId="176" fontId="220" fillId="0" borderId="0" xfId="3" applyNumberFormat="1" applyFont="1" applyFill="1" applyBorder="1" applyAlignment="1" applyProtection="1">
      <alignment horizontal="right"/>
    </xf>
    <xf numFmtId="0" fontId="216" fillId="0" borderId="0" xfId="1" applyFont="1" applyFill="1" applyAlignment="1" applyProtection="1">
      <alignment horizontal="right" vertical="top"/>
    </xf>
    <xf numFmtId="0" fontId="7" fillId="0" borderId="0" xfId="1" applyFont="1" applyFill="1" applyBorder="1" applyAlignment="1" applyProtection="1"/>
    <xf numFmtId="41" fontId="7" fillId="0" borderId="0" xfId="1" applyNumberFormat="1" applyFont="1" applyFill="1" applyBorder="1" applyAlignment="1" applyProtection="1"/>
    <xf numFmtId="41" fontId="7" fillId="0" borderId="0" xfId="1" applyNumberFormat="1" applyFont="1" applyFill="1" applyBorder="1" applyAlignment="1" applyProtection="1">
      <alignment horizontal="right"/>
    </xf>
    <xf numFmtId="0" fontId="7" fillId="0" borderId="0" xfId="1" applyFont="1" applyFill="1" applyBorder="1" applyAlignment="1" applyProtection="1">
      <alignment horizontal="right"/>
    </xf>
    <xf numFmtId="0" fontId="7" fillId="0" borderId="0" xfId="1" applyFont="1" applyFill="1" applyBorder="1" applyProtection="1"/>
    <xf numFmtId="41" fontId="7" fillId="0" borderId="0" xfId="1" applyNumberFormat="1" applyFont="1" applyFill="1" applyBorder="1" applyProtection="1"/>
    <xf numFmtId="41" fontId="220" fillId="0" borderId="0" xfId="1" applyNumberFormat="1" applyFont="1" applyFill="1" applyAlignment="1" applyProtection="1"/>
    <xf numFmtId="0" fontId="230" fillId="0" borderId="0" xfId="1" applyFont="1" applyFill="1" applyProtection="1"/>
    <xf numFmtId="0" fontId="179" fillId="0" borderId="57" xfId="2608" applyFont="1" applyFill="1" applyBorder="1" applyAlignment="1" applyProtection="1">
      <alignment horizontal="center" vertical="center"/>
    </xf>
    <xf numFmtId="0" fontId="179" fillId="0" borderId="21" xfId="2608" applyFont="1" applyFill="1" applyBorder="1" applyAlignment="1" applyProtection="1">
      <alignment horizontal="center" vertical="center"/>
    </xf>
    <xf numFmtId="41" fontId="195" fillId="0" borderId="0" xfId="0" applyNumberFormat="1" applyFont="1">
      <alignment vertical="center"/>
    </xf>
    <xf numFmtId="41" fontId="239" fillId="0" borderId="0" xfId="0" applyNumberFormat="1" applyFont="1" applyFill="1" applyBorder="1">
      <alignment vertical="center"/>
    </xf>
    <xf numFmtId="0" fontId="6" fillId="0" borderId="0" xfId="4226" applyFont="1" applyFill="1" applyBorder="1" applyAlignment="1">
      <alignment horizontal="distributed"/>
    </xf>
    <xf numFmtId="41" fontId="221" fillId="0" borderId="0" xfId="2" applyNumberFormat="1" applyFont="1" applyFill="1" applyBorder="1" applyAlignment="1" applyProtection="1">
      <alignment horizontal="right"/>
    </xf>
    <xf numFmtId="41" fontId="207" fillId="0" borderId="0" xfId="3" applyNumberFormat="1" applyFont="1" applyFill="1" applyBorder="1" applyAlignment="1" applyProtection="1">
      <alignment horizontal="right"/>
    </xf>
    <xf numFmtId="41" fontId="179" fillId="0" borderId="0" xfId="0" applyNumberFormat="1" applyFont="1" applyFill="1" applyBorder="1" applyAlignment="1">
      <alignment vertical="center"/>
    </xf>
    <xf numFmtId="41" fontId="207" fillId="0" borderId="0" xfId="0" applyNumberFormat="1" applyFont="1" applyFill="1" applyBorder="1" applyAlignment="1"/>
    <xf numFmtId="41" fontId="179" fillId="0" borderId="0" xfId="0" applyNumberFormat="1" applyFont="1" applyFill="1" applyBorder="1">
      <alignment vertical="center"/>
    </xf>
    <xf numFmtId="41" fontId="179" fillId="0" borderId="0" xfId="0" applyNumberFormat="1" applyFont="1" applyFill="1" applyBorder="1" applyAlignment="1"/>
    <xf numFmtId="0" fontId="7" fillId="0" borderId="14" xfId="2" applyFont="1" applyFill="1" applyBorder="1" applyAlignment="1" applyProtection="1">
      <alignment vertical="center"/>
    </xf>
    <xf numFmtId="0" fontId="7" fillId="0" borderId="13" xfId="2" applyFont="1" applyFill="1" applyBorder="1" applyAlignment="1" applyProtection="1">
      <alignment vertical="center"/>
    </xf>
    <xf numFmtId="0" fontId="7" fillId="0" borderId="0" xfId="2" applyFont="1" applyFill="1" applyBorder="1" applyAlignment="1" applyProtection="1">
      <alignment horizontal="center" vertical="center"/>
    </xf>
    <xf numFmtId="0" fontId="7" fillId="0" borderId="15" xfId="2" applyFont="1" applyFill="1" applyBorder="1" applyAlignment="1" applyProtection="1">
      <alignment horizontal="center" vertical="center"/>
    </xf>
    <xf numFmtId="0" fontId="7" fillId="0" borderId="22" xfId="2" applyFont="1" applyFill="1" applyBorder="1" applyAlignment="1" applyProtection="1">
      <alignment horizontal="center" vertical="center"/>
    </xf>
    <xf numFmtId="0" fontId="7" fillId="0" borderId="20" xfId="2" applyFont="1" applyFill="1" applyBorder="1" applyAlignment="1" applyProtection="1">
      <alignment horizontal="center" vertical="center"/>
    </xf>
    <xf numFmtId="0" fontId="208" fillId="0" borderId="11" xfId="2" applyFont="1" applyFill="1" applyBorder="1" applyAlignment="1" applyProtection="1">
      <alignment horizontal="center" vertical="center"/>
    </xf>
    <xf numFmtId="0" fontId="208" fillId="0" borderId="10" xfId="2" applyFont="1" applyFill="1" applyBorder="1" applyAlignment="1" applyProtection="1">
      <alignment horizontal="center" vertical="center"/>
    </xf>
    <xf numFmtId="0" fontId="7" fillId="0" borderId="19" xfId="2" applyFont="1" applyFill="1" applyBorder="1" applyAlignment="1" applyProtection="1">
      <alignment horizontal="center" vertical="center"/>
    </xf>
    <xf numFmtId="0" fontId="208" fillId="0" borderId="18" xfId="2" applyFont="1" applyFill="1" applyBorder="1" applyAlignment="1" applyProtection="1">
      <alignment horizontal="center" vertical="center"/>
    </xf>
    <xf numFmtId="0" fontId="208" fillId="0" borderId="17" xfId="2" applyFont="1" applyFill="1" applyBorder="1" applyAlignment="1" applyProtection="1">
      <alignment horizontal="center" vertical="center"/>
    </xf>
    <xf numFmtId="0" fontId="208" fillId="0" borderId="17" xfId="2" applyFont="1" applyFill="1" applyBorder="1" applyAlignment="1" applyProtection="1">
      <alignment horizontal="center" vertical="center" shrinkToFit="1"/>
    </xf>
    <xf numFmtId="0" fontId="7" fillId="0" borderId="22" xfId="2608" applyFont="1" applyFill="1" applyBorder="1" applyAlignment="1" applyProtection="1">
      <alignment horizontal="center" vertical="center"/>
    </xf>
    <xf numFmtId="0" fontId="208" fillId="0" borderId="20" xfId="2608" applyFont="1" applyFill="1" applyBorder="1" applyAlignment="1" applyProtection="1">
      <alignment horizontal="center" vertical="center"/>
    </xf>
    <xf numFmtId="0" fontId="7" fillId="0" borderId="23" xfId="2" applyFont="1" applyFill="1" applyBorder="1" applyAlignment="1" applyProtection="1">
      <alignment horizontal="center" vertical="center"/>
    </xf>
    <xf numFmtId="0" fontId="208" fillId="0" borderId="60" xfId="2" applyFont="1" applyFill="1" applyBorder="1" applyAlignment="1" applyProtection="1">
      <alignment horizontal="center" vertical="center"/>
    </xf>
    <xf numFmtId="0" fontId="208" fillId="0" borderId="57" xfId="2" applyFont="1" applyFill="1" applyBorder="1" applyAlignment="1" applyProtection="1">
      <alignment horizontal="center" vertical="center"/>
    </xf>
    <xf numFmtId="0" fontId="208" fillId="0" borderId="16" xfId="2" applyFont="1" applyFill="1" applyBorder="1" applyAlignment="1" applyProtection="1">
      <alignment horizontal="center" vertical="center"/>
    </xf>
    <xf numFmtId="0" fontId="208" fillId="0" borderId="57" xfId="2" applyFont="1" applyFill="1" applyBorder="1" applyAlignment="1" applyProtection="1">
      <alignment horizontal="center" vertical="center" shrinkToFit="1"/>
    </xf>
    <xf numFmtId="0" fontId="208" fillId="0" borderId="16" xfId="2" applyFont="1" applyFill="1" applyBorder="1" applyAlignment="1" applyProtection="1">
      <alignment horizontal="center" vertical="center" shrinkToFit="1"/>
    </xf>
    <xf numFmtId="0" fontId="7" fillId="0" borderId="17" xfId="2" applyFont="1" applyFill="1" applyBorder="1" applyAlignment="1" applyProtection="1">
      <alignment horizontal="center" vertical="center" shrinkToFit="1"/>
    </xf>
    <xf numFmtId="0" fontId="7" fillId="0" borderId="23" xfId="2" applyFont="1" applyFill="1" applyBorder="1" applyAlignment="1" applyProtection="1">
      <alignment horizontal="center"/>
    </xf>
    <xf numFmtId="0" fontId="7" fillId="0" borderId="20" xfId="2" applyFont="1" applyFill="1" applyBorder="1" applyAlignment="1" applyProtection="1">
      <alignment horizontal="center"/>
    </xf>
    <xf numFmtId="0" fontId="7" fillId="0" borderId="22" xfId="2" applyFont="1" applyFill="1" applyBorder="1" applyAlignment="1" applyProtection="1">
      <alignment horizontal="center" vertical="center" wrapText="1"/>
    </xf>
    <xf numFmtId="41" fontId="7" fillId="0" borderId="19" xfId="4228" applyFont="1" applyFill="1" applyBorder="1" applyAlignment="1" applyProtection="1">
      <alignment horizontal="center" vertical="center"/>
    </xf>
    <xf numFmtId="0" fontId="222" fillId="0" borderId="11" xfId="2608" applyFont="1" applyFill="1" applyBorder="1" applyAlignment="1" applyProtection="1">
      <alignment horizontal="center" vertical="center"/>
    </xf>
    <xf numFmtId="0" fontId="7" fillId="0" borderId="19" xfId="2608" applyFont="1" applyFill="1" applyBorder="1" applyAlignment="1" applyProtection="1">
      <alignment horizontal="center" vertical="center"/>
    </xf>
    <xf numFmtId="0" fontId="7" fillId="0" borderId="15" xfId="2608" applyFont="1" applyFill="1" applyBorder="1" applyAlignment="1" applyProtection="1">
      <alignment horizontal="center" vertical="center"/>
    </xf>
    <xf numFmtId="0" fontId="208" fillId="0" borderId="10" xfId="2608" applyFont="1" applyFill="1" applyBorder="1" applyAlignment="1" applyProtection="1">
      <alignment horizontal="center" vertical="center"/>
    </xf>
    <xf numFmtId="0" fontId="7" fillId="0" borderId="0" xfId="2608" applyFont="1" applyFill="1" applyBorder="1" applyAlignment="1" applyProtection="1">
      <alignment horizontal="center"/>
    </xf>
    <xf numFmtId="0" fontId="6" fillId="0" borderId="15" xfId="2" applyFont="1" applyFill="1" applyBorder="1" applyAlignment="1" applyProtection="1">
      <alignment horizontal="center" vertical="center"/>
    </xf>
    <xf numFmtId="0" fontId="7" fillId="0" borderId="19" xfId="2" applyFont="1" applyFill="1" applyBorder="1" applyAlignment="1" applyProtection="1">
      <alignment horizontal="center" vertical="center" shrinkToFit="1"/>
    </xf>
    <xf numFmtId="0" fontId="7" fillId="0" borderId="15" xfId="2" applyFont="1" applyFill="1" applyBorder="1" applyAlignment="1" applyProtection="1">
      <alignment horizontal="center" vertical="center" shrinkToFit="1"/>
    </xf>
    <xf numFmtId="0" fontId="208" fillId="0" borderId="15" xfId="2" applyFont="1" applyFill="1" applyBorder="1" applyAlignment="1" applyProtection="1">
      <alignment horizontal="center" vertical="center"/>
    </xf>
    <xf numFmtId="0" fontId="7" fillId="0" borderId="22" xfId="2" applyFont="1" applyFill="1" applyBorder="1" applyAlignment="1" applyProtection="1">
      <alignment horizontal="center" vertical="center" shrinkToFit="1"/>
    </xf>
    <xf numFmtId="0" fontId="7" fillId="0" borderId="20" xfId="2" applyFont="1" applyFill="1" applyBorder="1" applyAlignment="1" applyProtection="1">
      <alignment horizontal="center" vertical="center" shrinkToFit="1"/>
    </xf>
    <xf numFmtId="0" fontId="7" fillId="0" borderId="21" xfId="2" applyFont="1" applyFill="1" applyBorder="1" applyAlignment="1" applyProtection="1">
      <alignment horizontal="center" vertical="center"/>
    </xf>
    <xf numFmtId="0" fontId="208" fillId="0" borderId="60" xfId="1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20" xfId="1" applyFont="1" applyFill="1" applyBorder="1" applyAlignment="1" applyProtection="1">
      <alignment horizontal="center" vertical="center" shrinkToFit="1"/>
    </xf>
    <xf numFmtId="0" fontId="208" fillId="0" borderId="15" xfId="1" applyFont="1" applyFill="1" applyBorder="1" applyAlignment="1" applyProtection="1">
      <alignment horizontal="center" vertical="center"/>
    </xf>
    <xf numFmtId="0" fontId="208" fillId="0" borderId="10" xfId="1" applyFont="1" applyFill="1" applyBorder="1" applyAlignment="1" applyProtection="1">
      <alignment horizontal="center" vertical="center"/>
    </xf>
    <xf numFmtId="0" fontId="52" fillId="0" borderId="0" xfId="2" applyFont="1" applyFill="1" applyAlignment="1" applyProtection="1">
      <alignment horizontal="left" vertical="top"/>
    </xf>
    <xf numFmtId="0" fontId="52" fillId="0" borderId="0" xfId="2" applyFont="1" applyFill="1" applyAlignment="1" applyProtection="1">
      <alignment horizontal="right" vertical="top"/>
    </xf>
    <xf numFmtId="0" fontId="214" fillId="0" borderId="0" xfId="2" applyFont="1" applyFill="1" applyAlignment="1" applyProtection="1">
      <alignment horizontal="center" vertical="center"/>
    </xf>
    <xf numFmtId="0" fontId="6" fillId="0" borderId="15" xfId="2" applyFont="1" applyFill="1" applyBorder="1" applyAlignment="1" applyProtection="1">
      <alignment horizontal="center" vertical="center"/>
    </xf>
    <xf numFmtId="0" fontId="208" fillId="0" borderId="66" xfId="4226" applyFont="1" applyFill="1" applyBorder="1" applyAlignment="1">
      <alignment horizontal="distributed"/>
    </xf>
    <xf numFmtId="0" fontId="219" fillId="0" borderId="39" xfId="4225" applyFont="1" applyFill="1" applyBorder="1" applyAlignment="1" applyProtection="1">
      <alignment horizontal="center"/>
    </xf>
    <xf numFmtId="0" fontId="219" fillId="0" borderId="66" xfId="4225" applyFont="1" applyFill="1" applyBorder="1" applyAlignment="1" applyProtection="1">
      <alignment horizontal="center"/>
    </xf>
    <xf numFmtId="41" fontId="207" fillId="0" borderId="39" xfId="3" applyNumberFormat="1" applyFont="1" applyFill="1" applyBorder="1" applyAlignment="1" applyProtection="1">
      <alignment horizontal="right"/>
    </xf>
    <xf numFmtId="0" fontId="219" fillId="0" borderId="39" xfId="2608" applyFont="1" applyFill="1" applyBorder="1" applyAlignment="1" applyProtection="1">
      <alignment horizontal="center"/>
    </xf>
    <xf numFmtId="41" fontId="219" fillId="0" borderId="67" xfId="4219" applyNumberFormat="1" applyFont="1" applyFill="1" applyBorder="1" applyAlignment="1" applyProtection="1">
      <alignment horizontal="center"/>
    </xf>
    <xf numFmtId="0" fontId="208" fillId="0" borderId="14" xfId="2" applyFont="1" applyFill="1" applyBorder="1" applyAlignment="1" applyProtection="1">
      <alignment vertical="center" wrapText="1"/>
    </xf>
    <xf numFmtId="0" fontId="224" fillId="0" borderId="0" xfId="2" applyFont="1" applyFill="1" applyBorder="1" applyAlignment="1" applyProtection="1">
      <alignment horizontal="center"/>
    </xf>
    <xf numFmtId="0" fontId="207" fillId="0" borderId="66" xfId="4225" applyFont="1" applyFill="1" applyBorder="1" applyAlignment="1" applyProtection="1">
      <alignment horizontal="center"/>
    </xf>
    <xf numFmtId="176" fontId="207" fillId="0" borderId="39" xfId="3" applyFont="1" applyFill="1" applyBorder="1" applyAlignment="1" applyProtection="1">
      <alignment horizontal="right"/>
    </xf>
    <xf numFmtId="0" fontId="219" fillId="0" borderId="66" xfId="2" applyFont="1" applyFill="1" applyBorder="1" applyAlignment="1" applyProtection="1">
      <alignment horizontal="center"/>
    </xf>
    <xf numFmtId="41" fontId="7" fillId="0" borderId="22" xfId="4228" applyFont="1" applyFill="1" applyBorder="1" applyAlignment="1" applyProtection="1">
      <alignment horizontal="center" vertical="center"/>
    </xf>
    <xf numFmtId="0" fontId="219" fillId="0" borderId="66" xfId="2608" applyFont="1" applyFill="1" applyBorder="1" applyAlignment="1" applyProtection="1">
      <alignment horizontal="center"/>
    </xf>
    <xf numFmtId="176" fontId="179" fillId="0" borderId="19" xfId="3" applyFont="1" applyFill="1" applyBorder="1" applyAlignment="1" applyProtection="1">
      <alignment horizontal="right"/>
    </xf>
    <xf numFmtId="0" fontId="207" fillId="0" borderId="66" xfId="2" applyFont="1" applyFill="1" applyBorder="1" applyAlignment="1" applyProtection="1">
      <alignment horizontal="center" vertical="center"/>
    </xf>
    <xf numFmtId="176" fontId="7" fillId="0" borderId="0" xfId="3" applyFont="1" applyFill="1" applyBorder="1" applyAlignment="1" applyProtection="1">
      <alignment horizontal="right" vertical="center"/>
    </xf>
    <xf numFmtId="0" fontId="219" fillId="0" borderId="66" xfId="2" applyFont="1" applyFill="1" applyBorder="1" applyAlignment="1" applyProtection="1">
      <alignment horizontal="center" vertical="center"/>
    </xf>
    <xf numFmtId="0" fontId="219" fillId="0" borderId="39" xfId="1" applyFont="1" applyFill="1" applyBorder="1" applyAlignment="1" applyProtection="1">
      <alignment horizontal="center"/>
    </xf>
    <xf numFmtId="0" fontId="216" fillId="0" borderId="0" xfId="2" applyFont="1" applyFill="1" applyAlignment="1" applyProtection="1">
      <alignment horizontal="right" vertical="top"/>
    </xf>
    <xf numFmtId="0" fontId="7" fillId="0" borderId="15" xfId="2" applyFont="1" applyFill="1" applyBorder="1" applyAlignment="1" applyProtection="1">
      <alignment horizontal="center" vertical="center"/>
    </xf>
    <xf numFmtId="0" fontId="7" fillId="0" borderId="22" xfId="2" applyFont="1" applyFill="1" applyBorder="1" applyAlignment="1" applyProtection="1">
      <alignment horizontal="center" vertical="center"/>
    </xf>
    <xf numFmtId="0" fontId="7" fillId="0" borderId="20" xfId="2" applyFont="1" applyFill="1" applyBorder="1" applyAlignment="1" applyProtection="1">
      <alignment horizontal="center" vertical="center"/>
    </xf>
    <xf numFmtId="0" fontId="208" fillId="0" borderId="10" xfId="2" applyFont="1" applyFill="1" applyBorder="1" applyAlignment="1" applyProtection="1">
      <alignment horizontal="center" vertical="center"/>
    </xf>
    <xf numFmtId="0" fontId="7" fillId="0" borderId="19" xfId="2" applyFont="1" applyFill="1" applyBorder="1" applyAlignment="1" applyProtection="1">
      <alignment horizontal="center" vertical="center"/>
    </xf>
    <xf numFmtId="0" fontId="208" fillId="0" borderId="18" xfId="2" applyFont="1" applyFill="1" applyBorder="1" applyAlignment="1" applyProtection="1">
      <alignment horizontal="center" vertical="center"/>
    </xf>
    <xf numFmtId="0" fontId="208" fillId="0" borderId="17" xfId="2" applyFont="1" applyFill="1" applyBorder="1" applyAlignment="1" applyProtection="1">
      <alignment horizontal="center" vertical="center"/>
    </xf>
    <xf numFmtId="0" fontId="208" fillId="0" borderId="56" xfId="2" applyFont="1" applyFill="1" applyBorder="1" applyAlignment="1" applyProtection="1">
      <alignment horizontal="center" vertical="center"/>
    </xf>
    <xf numFmtId="0" fontId="220" fillId="0" borderId="0" xfId="2" applyFont="1" applyFill="1" applyBorder="1" applyAlignment="1" applyProtection="1">
      <alignment horizontal="left" wrapText="1"/>
    </xf>
    <xf numFmtId="0" fontId="7" fillId="0" borderId="56" xfId="2" applyFont="1" applyFill="1" applyBorder="1" applyAlignment="1" applyProtection="1">
      <alignment horizontal="center" vertical="center"/>
    </xf>
    <xf numFmtId="0" fontId="208" fillId="0" borderId="57" xfId="2" applyFont="1" applyFill="1" applyBorder="1" applyAlignment="1" applyProtection="1">
      <alignment horizontal="center" vertical="center"/>
    </xf>
    <xf numFmtId="0" fontId="208" fillId="0" borderId="16" xfId="2" applyFont="1" applyFill="1" applyBorder="1" applyAlignment="1" applyProtection="1">
      <alignment horizontal="center" vertical="center"/>
    </xf>
    <xf numFmtId="0" fontId="7" fillId="0" borderId="13" xfId="2" applyFont="1" applyFill="1" applyBorder="1" applyAlignment="1" applyProtection="1">
      <alignment horizontal="center" vertical="center"/>
    </xf>
    <xf numFmtId="0" fontId="221" fillId="0" borderId="0" xfId="2" applyFont="1" applyFill="1" applyBorder="1" applyAlignment="1" applyProtection="1">
      <alignment horizontal="right"/>
    </xf>
    <xf numFmtId="0" fontId="7" fillId="0" borderId="21" xfId="2" applyFont="1" applyFill="1" applyBorder="1" applyAlignment="1" applyProtection="1">
      <alignment horizontal="center" vertical="center"/>
    </xf>
    <xf numFmtId="0" fontId="242" fillId="0" borderId="0" xfId="2" applyFont="1" applyFill="1" applyAlignment="1" applyProtection="1">
      <alignment vertical="center"/>
    </xf>
    <xf numFmtId="0" fontId="242" fillId="0" borderId="0" xfId="2" applyFont="1" applyFill="1" applyAlignment="1" applyProtection="1">
      <alignment horizontal="center" vertical="center"/>
    </xf>
    <xf numFmtId="0" fontId="225" fillId="0" borderId="0" xfId="2" applyFont="1" applyFill="1" applyAlignment="1" applyProtection="1">
      <alignment horizontal="right"/>
    </xf>
    <xf numFmtId="0" fontId="179" fillId="0" borderId="0" xfId="2" applyFont="1" applyFill="1" applyBorder="1" applyAlignment="1" applyProtection="1"/>
    <xf numFmtId="0" fontId="206" fillId="0" borderId="0" xfId="2" applyFont="1" applyFill="1" applyAlignment="1" applyProtection="1"/>
    <xf numFmtId="0" fontId="6" fillId="0" borderId="0" xfId="2" applyFont="1" applyFill="1" applyProtection="1"/>
    <xf numFmtId="0" fontId="52" fillId="0" borderId="0" xfId="2608" applyFont="1" applyFill="1" applyAlignment="1" applyProtection="1">
      <alignment vertical="top"/>
    </xf>
    <xf numFmtId="0" fontId="52" fillId="0" borderId="0" xfId="2608" applyFont="1" applyFill="1" applyAlignment="1" applyProtection="1">
      <alignment horizontal="right" vertical="top"/>
    </xf>
    <xf numFmtId="0" fontId="242" fillId="0" borderId="0" xfId="2608" applyFont="1" applyFill="1" applyAlignment="1" applyProtection="1">
      <alignment vertical="center"/>
    </xf>
    <xf numFmtId="0" fontId="215" fillId="0" borderId="0" xfId="2608" applyFont="1" applyFill="1" applyAlignment="1" applyProtection="1">
      <alignment horizontal="centerContinuous"/>
    </xf>
    <xf numFmtId="0" fontId="215" fillId="0" borderId="0" xfId="2608" applyFont="1" applyFill="1" applyProtection="1"/>
    <xf numFmtId="0" fontId="225" fillId="0" borderId="0" xfId="2608" applyFont="1" applyFill="1" applyAlignment="1" applyProtection="1">
      <alignment horizontal="left"/>
    </xf>
    <xf numFmtId="0" fontId="206" fillId="0" borderId="0" xfId="2608" applyFont="1" applyFill="1" applyAlignment="1" applyProtection="1">
      <alignment horizontal="left"/>
    </xf>
    <xf numFmtId="0" fontId="206" fillId="0" borderId="0" xfId="2608" applyFont="1" applyFill="1" applyProtection="1"/>
    <xf numFmtId="0" fontId="6" fillId="0" borderId="10" xfId="2608" applyFont="1" applyFill="1" applyBorder="1" applyAlignment="1" applyProtection="1">
      <alignment horizontal="center" vertical="center"/>
    </xf>
    <xf numFmtId="0" fontId="179" fillId="0" borderId="0" xfId="2608" applyFont="1" applyFill="1" applyAlignment="1" applyProtection="1">
      <alignment vertical="center"/>
    </xf>
    <xf numFmtId="0" fontId="179" fillId="0" borderId="15" xfId="2608" applyFont="1" applyFill="1" applyBorder="1" applyAlignment="1" applyProtection="1">
      <alignment horizontal="center" vertical="center"/>
    </xf>
    <xf numFmtId="0" fontId="6" fillId="0" borderId="20" xfId="2608" applyFont="1" applyFill="1" applyBorder="1" applyAlignment="1" applyProtection="1">
      <alignment horizontal="center" vertical="center" wrapText="1"/>
    </xf>
    <xf numFmtId="0" fontId="179" fillId="0" borderId="36" xfId="2608" applyFont="1" applyFill="1" applyBorder="1" applyAlignment="1" applyProtection="1">
      <alignment horizontal="center" vertical="center" wrapText="1"/>
    </xf>
    <xf numFmtId="176" fontId="179" fillId="0" borderId="0" xfId="4219" applyNumberFormat="1" applyFont="1" applyFill="1" applyBorder="1" applyAlignment="1" applyProtection="1">
      <alignment horizontal="right"/>
    </xf>
    <xf numFmtId="0" fontId="179" fillId="0" borderId="0" xfId="2608" applyFont="1" applyFill="1" applyBorder="1" applyAlignment="1" applyProtection="1"/>
    <xf numFmtId="41" fontId="179" fillId="0" borderId="19" xfId="4219" applyNumberFormat="1" applyFont="1" applyFill="1" applyBorder="1" applyAlignment="1" applyProtection="1">
      <alignment horizontal="center"/>
    </xf>
    <xf numFmtId="41" fontId="179" fillId="0" borderId="0" xfId="4219" applyNumberFormat="1" applyFont="1" applyFill="1" applyBorder="1" applyAlignment="1" applyProtection="1">
      <alignment horizontal="right"/>
    </xf>
    <xf numFmtId="41" fontId="179" fillId="0" borderId="0" xfId="4228" applyFont="1" applyFill="1" applyBorder="1" applyAlignment="1" applyProtection="1">
      <alignment horizontal="right"/>
    </xf>
    <xf numFmtId="0" fontId="207" fillId="0" borderId="0" xfId="2608" applyFont="1" applyFill="1" applyBorder="1" applyAlignment="1" applyProtection="1"/>
    <xf numFmtId="0" fontId="206" fillId="0" borderId="0" xfId="2608" applyFont="1" applyFill="1" applyBorder="1" applyProtection="1"/>
    <xf numFmtId="0" fontId="6" fillId="0" borderId="0" xfId="2608" applyFont="1" applyFill="1" applyProtection="1"/>
    <xf numFmtId="0" fontId="214" fillId="0" borderId="0" xfId="2" applyFont="1" applyFill="1" applyAlignment="1" applyProtection="1">
      <alignment horizontal="centerContinuous" vertical="center"/>
    </xf>
    <xf numFmtId="0" fontId="6" fillId="0" borderId="56" xfId="2" applyFont="1" applyFill="1" applyBorder="1" applyAlignment="1" applyProtection="1">
      <alignment horizontal="centerContinuous" vertical="center"/>
    </xf>
    <xf numFmtId="0" fontId="179" fillId="0" borderId="56" xfId="2" applyFont="1" applyFill="1" applyBorder="1" applyAlignment="1" applyProtection="1">
      <alignment horizontal="centerContinuous" vertical="center"/>
    </xf>
    <xf numFmtId="0" fontId="6" fillId="0" borderId="57" xfId="2" applyFont="1" applyFill="1" applyBorder="1" applyAlignment="1" applyProtection="1">
      <alignment horizontal="center" vertical="center"/>
    </xf>
    <xf numFmtId="0" fontId="6" fillId="0" borderId="60" xfId="2" applyFont="1" applyFill="1" applyBorder="1" applyAlignment="1" applyProtection="1">
      <alignment horizontal="center" vertical="center"/>
    </xf>
    <xf numFmtId="0" fontId="6" fillId="0" borderId="15" xfId="2" applyFont="1" applyFill="1" applyBorder="1" applyAlignment="1" applyProtection="1">
      <alignment horizontal="center" vertical="center" shrinkToFit="1"/>
    </xf>
    <xf numFmtId="0" fontId="179" fillId="0" borderId="0" xfId="2" applyFont="1" applyFill="1" applyBorder="1" applyAlignment="1" applyProtection="1">
      <alignment horizontal="center" vertical="center" shrinkToFit="1"/>
    </xf>
    <xf numFmtId="0" fontId="179" fillId="0" borderId="23" xfId="2" applyFont="1" applyFill="1" applyBorder="1" applyAlignment="1" applyProtection="1">
      <alignment horizontal="center" vertical="center" shrinkToFit="1"/>
    </xf>
    <xf numFmtId="0" fontId="179" fillId="0" borderId="20" xfId="2" applyFont="1" applyFill="1" applyBorder="1" applyAlignment="1" applyProtection="1">
      <alignment horizontal="center" vertical="center" shrinkToFit="1"/>
    </xf>
    <xf numFmtId="0" fontId="179" fillId="0" borderId="0" xfId="2" applyFont="1" applyFill="1" applyBorder="1" applyAlignment="1" applyProtection="1">
      <alignment vertical="center" shrinkToFit="1"/>
    </xf>
    <xf numFmtId="0" fontId="6" fillId="0" borderId="57" xfId="2" applyFont="1" applyFill="1" applyBorder="1" applyAlignment="1" applyProtection="1">
      <alignment horizontal="center" vertical="center" shrinkToFit="1"/>
    </xf>
    <xf numFmtId="0" fontId="6" fillId="0" borderId="60" xfId="2" applyFont="1" applyFill="1" applyBorder="1" applyAlignment="1" applyProtection="1">
      <alignment horizontal="center" vertical="center" shrinkToFit="1"/>
    </xf>
    <xf numFmtId="0" fontId="6" fillId="0" borderId="16" xfId="2" applyFont="1" applyFill="1" applyBorder="1" applyAlignment="1" applyProtection="1">
      <alignment horizontal="center" vertical="center" shrinkToFit="1"/>
    </xf>
    <xf numFmtId="0" fontId="179" fillId="0" borderId="19" xfId="2" applyFont="1" applyFill="1" applyBorder="1" applyAlignment="1" applyProtection="1">
      <alignment horizontal="center" vertical="center" shrinkToFit="1"/>
    </xf>
    <xf numFmtId="0" fontId="6" fillId="0" borderId="17" xfId="2" applyFont="1" applyFill="1" applyBorder="1" applyAlignment="1" applyProtection="1">
      <alignment horizontal="center" vertical="center" shrinkToFit="1"/>
    </xf>
    <xf numFmtId="0" fontId="179" fillId="0" borderId="57" xfId="2" applyFont="1" applyFill="1" applyBorder="1" applyAlignment="1" applyProtection="1">
      <alignment horizontal="center" vertical="center" shrinkToFit="1"/>
    </xf>
    <xf numFmtId="0" fontId="179" fillId="0" borderId="0" xfId="2" applyFont="1" applyFill="1" applyAlignment="1" applyProtection="1">
      <alignment vertical="center" shrinkToFit="1"/>
    </xf>
    <xf numFmtId="0" fontId="179" fillId="0" borderId="15" xfId="2" applyFont="1" applyFill="1" applyBorder="1" applyAlignment="1" applyProtection="1">
      <alignment horizontal="center" vertical="center" shrinkToFit="1"/>
    </xf>
    <xf numFmtId="0" fontId="6" fillId="0" borderId="16" xfId="2" applyFont="1" applyFill="1" applyBorder="1" applyAlignment="1" applyProtection="1">
      <alignment vertical="center" shrinkToFit="1"/>
    </xf>
    <xf numFmtId="0" fontId="6" fillId="0" borderId="0" xfId="2" applyFont="1" applyFill="1" applyBorder="1" applyAlignment="1" applyProtection="1">
      <alignment horizontal="center" vertical="center" shrinkToFit="1"/>
    </xf>
    <xf numFmtId="0" fontId="179" fillId="0" borderId="16" xfId="2" applyFont="1" applyFill="1" applyBorder="1" applyAlignment="1" applyProtection="1">
      <alignment horizontal="center" vertical="center" shrinkToFit="1"/>
    </xf>
    <xf numFmtId="0" fontId="179" fillId="0" borderId="19" xfId="2" applyFont="1" applyFill="1" applyBorder="1" applyAlignment="1" applyProtection="1">
      <alignment vertical="center" shrinkToFit="1"/>
    </xf>
    <xf numFmtId="0" fontId="179" fillId="0" borderId="16" xfId="2" applyFont="1" applyFill="1" applyBorder="1" applyAlignment="1" applyProtection="1">
      <alignment horizontal="center" vertical="top" shrinkToFit="1"/>
    </xf>
    <xf numFmtId="0" fontId="179" fillId="0" borderId="16" xfId="2" applyFont="1" applyFill="1" applyBorder="1" applyAlignment="1" applyProtection="1">
      <alignment vertical="center" shrinkToFit="1"/>
    </xf>
    <xf numFmtId="0" fontId="6" fillId="0" borderId="16" xfId="2" applyFont="1" applyFill="1" applyBorder="1" applyAlignment="1" applyProtection="1">
      <alignment horizontal="center" vertical="top" shrinkToFit="1"/>
    </xf>
    <xf numFmtId="0" fontId="6" fillId="0" borderId="0" xfId="2" applyFont="1" applyFill="1" applyBorder="1" applyAlignment="1" applyProtection="1">
      <alignment horizontal="center" vertical="top" shrinkToFit="1"/>
    </xf>
    <xf numFmtId="0" fontId="179" fillId="0" borderId="19" xfId="2" applyFont="1" applyFill="1" applyBorder="1" applyAlignment="1" applyProtection="1">
      <alignment horizontal="centerContinuous" vertical="top" shrinkToFit="1"/>
    </xf>
    <xf numFmtId="0" fontId="179" fillId="0" borderId="15" xfId="2" applyFont="1" applyFill="1" applyBorder="1" applyAlignment="1" applyProtection="1">
      <alignment horizontal="center" vertical="top" shrinkToFit="1"/>
    </xf>
    <xf numFmtId="0" fontId="179" fillId="0" borderId="16" xfId="2" applyFont="1" applyFill="1" applyBorder="1" applyAlignment="1" applyProtection="1">
      <alignment horizontal="centerContinuous" vertical="top" shrinkToFit="1"/>
    </xf>
    <xf numFmtId="0" fontId="179" fillId="0" borderId="0" xfId="2" applyFont="1" applyFill="1" applyBorder="1" applyAlignment="1" applyProtection="1">
      <alignment horizontal="center" vertical="top" shrinkToFit="1"/>
    </xf>
    <xf numFmtId="0" fontId="6" fillId="0" borderId="20" xfId="2" applyFont="1" applyFill="1" applyBorder="1" applyAlignment="1" applyProtection="1">
      <alignment horizontal="center" vertical="center" shrinkToFit="1"/>
    </xf>
    <xf numFmtId="0" fontId="179" fillId="0" borderId="21" xfId="2" applyFont="1" applyFill="1" applyBorder="1" applyAlignment="1" applyProtection="1">
      <alignment horizontal="center" vertical="center" shrinkToFit="1"/>
    </xf>
    <xf numFmtId="0" fontId="179" fillId="0" borderId="23" xfId="2" applyFont="1" applyFill="1" applyBorder="1" applyAlignment="1" applyProtection="1">
      <alignment horizontal="center" vertical="top" shrinkToFit="1"/>
    </xf>
    <xf numFmtId="0" fontId="179" fillId="0" borderId="22" xfId="2" applyFont="1" applyFill="1" applyBorder="1" applyAlignment="1" applyProtection="1">
      <alignment horizontal="center" vertical="center" shrinkToFit="1"/>
    </xf>
    <xf numFmtId="0" fontId="179" fillId="0" borderId="21" xfId="2" applyFont="1" applyFill="1" applyBorder="1" applyAlignment="1" applyProtection="1">
      <alignment horizontal="center" vertical="top" shrinkToFit="1"/>
    </xf>
    <xf numFmtId="0" fontId="179" fillId="0" borderId="22" xfId="2" applyFont="1" applyFill="1" applyBorder="1" applyAlignment="1" applyProtection="1">
      <alignment horizontal="centerContinuous" vertical="center" shrinkToFit="1"/>
    </xf>
    <xf numFmtId="0" fontId="179" fillId="0" borderId="21" xfId="2" applyFont="1" applyFill="1" applyBorder="1" applyAlignment="1" applyProtection="1">
      <alignment horizontal="centerContinuous" vertical="center" shrinkToFit="1"/>
    </xf>
    <xf numFmtId="41" fontId="179" fillId="0" borderId="0" xfId="4220" applyNumberFormat="1" applyFont="1" applyFill="1" applyBorder="1" applyAlignment="1" applyProtection="1">
      <alignment horizontal="right"/>
    </xf>
    <xf numFmtId="41" fontId="179" fillId="0" borderId="15" xfId="4220" applyNumberFormat="1" applyFont="1" applyFill="1" applyBorder="1" applyAlignment="1" applyProtection="1">
      <alignment horizontal="right"/>
    </xf>
    <xf numFmtId="41" fontId="179" fillId="0" borderId="0" xfId="4220" applyNumberFormat="1" applyFont="1" applyFill="1" applyBorder="1" applyAlignment="1" applyProtection="1">
      <alignment horizontal="center"/>
    </xf>
    <xf numFmtId="41" fontId="179" fillId="0" borderId="19" xfId="4220" applyNumberFormat="1" applyFont="1" applyFill="1" applyBorder="1" applyAlignment="1" applyProtection="1">
      <alignment horizontal="right"/>
    </xf>
    <xf numFmtId="0" fontId="205" fillId="0" borderId="0" xfId="2" applyFont="1" applyFill="1" applyBorder="1" applyAlignment="1" applyProtection="1">
      <alignment horizontal="left" vertical="center"/>
    </xf>
    <xf numFmtId="0" fontId="2" fillId="0" borderId="0" xfId="2" applyFont="1" applyFill="1" applyBorder="1" applyAlignment="1" applyProtection="1">
      <alignment vertical="center"/>
    </xf>
    <xf numFmtId="0" fontId="6" fillId="0" borderId="0" xfId="2" applyFont="1" applyFill="1" applyAlignment="1" applyProtection="1">
      <alignment vertical="center"/>
    </xf>
    <xf numFmtId="0" fontId="205" fillId="0" borderId="0" xfId="2" applyFont="1" applyFill="1" applyBorder="1" applyAlignment="1" applyProtection="1">
      <alignment vertical="center"/>
    </xf>
    <xf numFmtId="0" fontId="2" fillId="0" borderId="0" xfId="2" applyFont="1" applyFill="1" applyAlignment="1" applyProtection="1">
      <alignment vertical="center"/>
    </xf>
    <xf numFmtId="0" fontId="246" fillId="0" borderId="0" xfId="1852" applyFont="1" applyFill="1" applyBorder="1" applyAlignment="1">
      <alignment horizontal="left" vertical="center"/>
    </xf>
    <xf numFmtId="0" fontId="246" fillId="0" borderId="0" xfId="1852" applyFont="1" applyFill="1" applyBorder="1" applyAlignment="1">
      <alignment horizontal="left"/>
    </xf>
    <xf numFmtId="0" fontId="246" fillId="0" borderId="0" xfId="1852" applyFont="1" applyFill="1" applyBorder="1" applyAlignment="1"/>
    <xf numFmtId="41" fontId="179" fillId="0" borderId="0" xfId="4219" applyNumberFormat="1" applyFont="1" applyFill="1" applyBorder="1" applyAlignment="1" applyProtection="1">
      <alignment horizontal="center"/>
    </xf>
    <xf numFmtId="0" fontId="6" fillId="0" borderId="10" xfId="2" applyFont="1" applyFill="1" applyBorder="1" applyAlignment="1" applyProtection="1">
      <alignment horizontal="center" vertical="center" shrinkToFit="1"/>
    </xf>
    <xf numFmtId="0" fontId="6" fillId="0" borderId="11" xfId="2" applyFont="1" applyFill="1" applyBorder="1" applyAlignment="1" applyProtection="1">
      <alignment horizontal="center" vertical="center" shrinkToFit="1"/>
    </xf>
    <xf numFmtId="0" fontId="179" fillId="0" borderId="61" xfId="2" applyFont="1" applyFill="1" applyBorder="1" applyAlignment="1" applyProtection="1">
      <alignment horizontal="center" vertical="center" shrinkToFit="1"/>
    </xf>
    <xf numFmtId="0" fontId="6" fillId="0" borderId="56" xfId="2" applyFont="1" applyFill="1" applyBorder="1" applyAlignment="1" applyProtection="1">
      <alignment horizontal="center" vertical="center" wrapText="1" shrinkToFit="1"/>
    </xf>
    <xf numFmtId="0" fontId="6" fillId="0" borderId="61" xfId="2" applyFont="1" applyFill="1" applyBorder="1" applyAlignment="1" applyProtection="1">
      <alignment horizontal="center" vertical="center" shrinkToFit="1"/>
    </xf>
    <xf numFmtId="0" fontId="205" fillId="0" borderId="56" xfId="2" applyFont="1" applyFill="1" applyBorder="1" applyAlignment="1" applyProtection="1">
      <alignment horizontal="center" vertical="center" wrapText="1" shrinkToFit="1"/>
    </xf>
    <xf numFmtId="0" fontId="6" fillId="0" borderId="56" xfId="2" applyFont="1" applyFill="1" applyBorder="1" applyAlignment="1" applyProtection="1">
      <alignment horizontal="center" vertical="center" shrinkToFit="1"/>
    </xf>
    <xf numFmtId="0" fontId="6" fillId="0" borderId="11" xfId="2" applyFont="1" applyFill="1" applyBorder="1" applyAlignment="1" applyProtection="1">
      <alignment horizontal="center" vertical="center"/>
    </xf>
    <xf numFmtId="0" fontId="179" fillId="0" borderId="22" xfId="2" applyFont="1" applyFill="1" applyBorder="1" applyAlignment="1" applyProtection="1">
      <alignment horizontal="center" vertical="center"/>
    </xf>
    <xf numFmtId="41" fontId="179" fillId="0" borderId="19" xfId="3" applyNumberFormat="1" applyFont="1" applyFill="1" applyBorder="1" applyAlignment="1" applyProtection="1">
      <alignment horizontal="right"/>
    </xf>
    <xf numFmtId="41" fontId="179" fillId="0" borderId="0" xfId="3" applyNumberFormat="1" applyFont="1" applyFill="1" applyBorder="1" applyAlignment="1" applyProtection="1">
      <alignment horizontal="right"/>
    </xf>
    <xf numFmtId="41" fontId="179" fillId="0" borderId="0" xfId="3" applyNumberFormat="1" applyFont="1" applyFill="1" applyBorder="1" applyAlignment="1" applyProtection="1">
      <alignment horizontal="center"/>
    </xf>
    <xf numFmtId="41" fontId="179" fillId="0" borderId="0" xfId="2" applyNumberFormat="1" applyFont="1" applyFill="1" applyBorder="1" applyProtection="1"/>
    <xf numFmtId="41" fontId="179" fillId="0" borderId="19" xfId="3" applyNumberFormat="1" applyFont="1" applyFill="1" applyBorder="1" applyAlignment="1" applyProtection="1">
      <alignment horizontal="center"/>
    </xf>
    <xf numFmtId="41" fontId="179" fillId="0" borderId="0" xfId="2" applyNumberFormat="1" applyFont="1" applyFill="1" applyBorder="1" applyAlignment="1" applyProtection="1">
      <alignment horizontal="right"/>
    </xf>
    <xf numFmtId="41" fontId="207" fillId="0" borderId="67" xfId="3" applyNumberFormat="1" applyFont="1" applyFill="1" applyBorder="1" applyAlignment="1" applyProtection="1">
      <alignment horizontal="right"/>
    </xf>
    <xf numFmtId="41" fontId="206" fillId="0" borderId="0" xfId="3" applyNumberFormat="1" applyFont="1" applyFill="1" applyBorder="1" applyAlignment="1" applyProtection="1">
      <alignment horizontal="right"/>
    </xf>
    <xf numFmtId="0" fontId="206" fillId="0" borderId="0" xfId="2" applyFont="1" applyFill="1" applyBorder="1" applyProtection="1"/>
    <xf numFmtId="41" fontId="6" fillId="0" borderId="0" xfId="1523" applyFont="1" applyFill="1" applyAlignment="1" applyProtection="1"/>
    <xf numFmtId="0" fontId="215" fillId="0" borderId="0" xfId="2" applyFont="1" applyFill="1" applyAlignment="1" applyProtection="1">
      <alignment horizontal="left"/>
    </xf>
    <xf numFmtId="0" fontId="6" fillId="0" borderId="61" xfId="2" applyFont="1" applyFill="1" applyBorder="1" applyAlignment="1" applyProtection="1">
      <alignment horizontal="centerContinuous" vertical="center"/>
    </xf>
    <xf numFmtId="0" fontId="6" fillId="0" borderId="61" xfId="2" applyFont="1" applyFill="1" applyBorder="1" applyAlignment="1" applyProtection="1">
      <alignment horizontal="center" vertical="center" wrapText="1"/>
    </xf>
    <xf numFmtId="0" fontId="179" fillId="0" borderId="21" xfId="2" applyFont="1" applyFill="1" applyBorder="1" applyAlignment="1" applyProtection="1">
      <alignment horizontal="center" vertical="center"/>
    </xf>
    <xf numFmtId="0" fontId="179" fillId="0" borderId="36" xfId="2" applyFont="1" applyFill="1" applyBorder="1" applyAlignment="1" applyProtection="1">
      <alignment horizontal="center" vertical="center" wrapText="1" shrinkToFit="1"/>
    </xf>
    <xf numFmtId="0" fontId="179" fillId="0" borderId="21" xfId="2" applyFont="1" applyFill="1" applyBorder="1" applyAlignment="1" applyProtection="1">
      <alignment horizontal="center" vertical="center" wrapText="1" shrinkToFit="1"/>
    </xf>
    <xf numFmtId="0" fontId="179" fillId="0" borderId="21" xfId="2" applyFont="1" applyFill="1" applyBorder="1" applyAlignment="1" applyProtection="1">
      <alignment horizontal="center" vertical="center" wrapText="1"/>
    </xf>
    <xf numFmtId="0" fontId="179" fillId="0" borderId="23" xfId="2" applyFont="1" applyFill="1" applyBorder="1" applyAlignment="1" applyProtection="1">
      <alignment horizontal="center" vertical="center" wrapText="1" shrinkToFit="1"/>
    </xf>
    <xf numFmtId="0" fontId="179" fillId="0" borderId="0" xfId="2" applyFont="1" applyFill="1" applyAlignment="1" applyProtection="1"/>
    <xf numFmtId="0" fontId="206" fillId="0" borderId="0" xfId="2" applyFont="1" applyFill="1" applyBorder="1" applyAlignment="1" applyProtection="1">
      <alignment horizontal="right"/>
    </xf>
    <xf numFmtId="41" fontId="179" fillId="0" borderId="0" xfId="2604" applyNumberFormat="1" applyFont="1" applyFill="1" applyBorder="1" applyProtection="1"/>
    <xf numFmtId="41" fontId="179" fillId="0" borderId="0" xfId="2604" applyNumberFormat="1" applyFont="1" applyFill="1" applyBorder="1" applyAlignment="1" applyProtection="1"/>
    <xf numFmtId="0" fontId="6" fillId="0" borderId="0" xfId="2" applyFont="1" applyFill="1" applyAlignment="1" applyProtection="1"/>
    <xf numFmtId="0" fontId="205" fillId="0" borderId="0" xfId="0" applyFont="1" applyFill="1" applyBorder="1" applyAlignment="1">
      <alignment vertical="center"/>
    </xf>
    <xf numFmtId="176" fontId="179" fillId="0" borderId="0" xfId="3" applyNumberFormat="1" applyFont="1" applyFill="1" applyBorder="1" applyAlignment="1" applyProtection="1">
      <alignment horizontal="center"/>
    </xf>
    <xf numFmtId="176" fontId="179" fillId="0" borderId="0" xfId="3" applyNumberFormat="1" applyFont="1" applyFill="1" applyBorder="1" applyAlignment="1" applyProtection="1">
      <alignment horizontal="right"/>
    </xf>
    <xf numFmtId="0" fontId="206" fillId="0" borderId="0" xfId="2" applyFont="1" applyFill="1" applyBorder="1" applyAlignment="1" applyProtection="1"/>
    <xf numFmtId="0" fontId="206" fillId="0" borderId="0" xfId="2" applyFont="1" applyFill="1" applyBorder="1" applyAlignment="1" applyProtection="1">
      <alignment horizontal="left"/>
    </xf>
    <xf numFmtId="0" fontId="6" fillId="0" borderId="0" xfId="2" applyFont="1" applyFill="1" applyBorder="1" applyAlignment="1" applyProtection="1"/>
    <xf numFmtId="0" fontId="6" fillId="0" borderId="66" xfId="4226" applyFont="1" applyFill="1" applyBorder="1" applyAlignment="1">
      <alignment horizontal="distributed"/>
    </xf>
    <xf numFmtId="0" fontId="205" fillId="0" borderId="0" xfId="0" applyFont="1" applyFill="1" applyBorder="1" applyAlignment="1">
      <alignment vertical="center" wrapText="1"/>
    </xf>
    <xf numFmtId="0" fontId="205" fillId="0" borderId="0" xfId="2" applyFont="1" applyFill="1" applyBorder="1" applyAlignment="1" applyProtection="1">
      <alignment horizontal="left" wrapText="1"/>
    </xf>
    <xf numFmtId="0" fontId="6" fillId="0" borderId="17" xfId="2" applyFont="1" applyFill="1" applyBorder="1" applyAlignment="1" applyProtection="1">
      <alignment horizontal="center" vertical="center"/>
    </xf>
    <xf numFmtId="0" fontId="179" fillId="0" borderId="16" xfId="2" applyFont="1" applyFill="1" applyBorder="1" applyAlignment="1" applyProtection="1">
      <alignment horizontal="centerContinuous" vertical="center"/>
    </xf>
    <xf numFmtId="0" fontId="6" fillId="0" borderId="16" xfId="2" applyFont="1" applyFill="1" applyBorder="1" applyAlignment="1" applyProtection="1">
      <alignment horizontal="centerContinuous" vertical="center"/>
    </xf>
    <xf numFmtId="0" fontId="6" fillId="0" borderId="19" xfId="2" applyFont="1" applyFill="1" applyBorder="1" applyAlignment="1" applyProtection="1">
      <alignment horizontal="centerContinuous" vertical="center"/>
    </xf>
    <xf numFmtId="0" fontId="179" fillId="0" borderId="19" xfId="2" applyFont="1" applyFill="1" applyBorder="1" applyAlignment="1" applyProtection="1">
      <alignment horizontal="centerContinuous" vertical="center"/>
    </xf>
    <xf numFmtId="0" fontId="6" fillId="0" borderId="19" xfId="2" applyFont="1" applyFill="1" applyBorder="1" applyAlignment="1" applyProtection="1">
      <alignment horizontal="center" vertical="center" shrinkToFit="1"/>
    </xf>
    <xf numFmtId="0" fontId="179" fillId="0" borderId="16" xfId="2" applyFont="1" applyFill="1" applyBorder="1" applyAlignment="1" applyProtection="1">
      <alignment horizontal="center" vertical="center"/>
    </xf>
    <xf numFmtId="0" fontId="179" fillId="0" borderId="0" xfId="2" applyFont="1" applyFill="1" applyBorder="1" applyAlignment="1" applyProtection="1">
      <alignment vertical="center"/>
    </xf>
    <xf numFmtId="0" fontId="207" fillId="0" borderId="15" xfId="4225" applyFont="1" applyFill="1" applyBorder="1" applyAlignment="1" applyProtection="1">
      <alignment horizontal="center"/>
    </xf>
    <xf numFmtId="41" fontId="179" fillId="0" borderId="0" xfId="0" applyNumberFormat="1" applyFont="1" applyFill="1" applyBorder="1" applyAlignment="1">
      <alignment horizontal="right"/>
    </xf>
    <xf numFmtId="0" fontId="205" fillId="0" borderId="0" xfId="2" applyFont="1" applyFill="1" applyAlignment="1" applyProtection="1">
      <alignment horizontal="left"/>
    </xf>
    <xf numFmtId="0" fontId="6" fillId="0" borderId="11" xfId="2" applyFont="1" applyFill="1" applyBorder="1" applyAlignment="1" applyProtection="1">
      <alignment horizontal="centerContinuous" vertical="center"/>
    </xf>
    <xf numFmtId="0" fontId="6" fillId="0" borderId="10" xfId="2" applyFont="1" applyFill="1" applyBorder="1" applyAlignment="1" applyProtection="1">
      <alignment horizontal="centerContinuous" vertical="center"/>
    </xf>
    <xf numFmtId="0" fontId="6" fillId="0" borderId="20" xfId="1940" applyFont="1" applyFill="1" applyBorder="1" applyAlignment="1" applyProtection="1">
      <alignment horizontal="center" vertical="center"/>
    </xf>
    <xf numFmtId="0" fontId="179" fillId="0" borderId="20" xfId="2" applyFont="1" applyFill="1" applyBorder="1" applyAlignment="1" applyProtection="1">
      <alignment horizontal="center" vertical="center"/>
    </xf>
    <xf numFmtId="0" fontId="249" fillId="0" borderId="0" xfId="0" applyFont="1">
      <alignment vertical="center"/>
    </xf>
    <xf numFmtId="41" fontId="179" fillId="0" borderId="19" xfId="0" applyNumberFormat="1" applyFont="1" applyFill="1" applyBorder="1" applyAlignment="1">
      <alignment vertical="center"/>
    </xf>
    <xf numFmtId="0" fontId="249" fillId="0" borderId="0" xfId="0" applyFont="1" applyFill="1">
      <alignment vertical="center"/>
    </xf>
    <xf numFmtId="0" fontId="179" fillId="0" borderId="0" xfId="2" applyFont="1" applyFill="1" applyBorder="1" applyAlignment="1" applyProtection="1">
      <alignment horizontal="centerContinuous" vertical="center"/>
    </xf>
    <xf numFmtId="0" fontId="179" fillId="0" borderId="15" xfId="2" applyFont="1" applyFill="1" applyBorder="1" applyAlignment="1" applyProtection="1">
      <alignment horizontal="centerContinuous" vertical="center"/>
    </xf>
    <xf numFmtId="0" fontId="243" fillId="0" borderId="60" xfId="2" applyFont="1" applyFill="1" applyBorder="1" applyAlignment="1" applyProtection="1">
      <alignment horizontal="centerContinuous" vertical="center"/>
    </xf>
    <xf numFmtId="0" fontId="179" fillId="0" borderId="60" xfId="2" applyFont="1" applyFill="1" applyBorder="1" applyAlignment="1" applyProtection="1">
      <alignment horizontal="centerContinuous" vertical="center"/>
    </xf>
    <xf numFmtId="0" fontId="243" fillId="0" borderId="19" xfId="2" applyFont="1" applyFill="1" applyBorder="1" applyAlignment="1" applyProtection="1">
      <alignment horizontal="centerContinuous" vertical="center"/>
    </xf>
    <xf numFmtId="0" fontId="179" fillId="0" borderId="22" xfId="2" applyFont="1" applyFill="1" applyBorder="1" applyAlignment="1" applyProtection="1">
      <alignment vertical="center"/>
    </xf>
    <xf numFmtId="0" fontId="179" fillId="0" borderId="20" xfId="2" applyFont="1" applyFill="1" applyBorder="1" applyAlignment="1" applyProtection="1">
      <alignment vertical="center"/>
    </xf>
    <xf numFmtId="0" fontId="179" fillId="0" borderId="20" xfId="2" applyFont="1" applyFill="1" applyBorder="1" applyAlignment="1" applyProtection="1">
      <alignment horizontal="centerContinuous" vertical="center"/>
    </xf>
    <xf numFmtId="0" fontId="6" fillId="0" borderId="18" xfId="2" applyFont="1" applyFill="1" applyBorder="1" applyAlignment="1" applyProtection="1">
      <alignment horizontal="center" vertical="center"/>
    </xf>
    <xf numFmtId="41" fontId="179" fillId="0" borderId="19" xfId="0" applyNumberFormat="1" applyFont="1" applyFill="1" applyBorder="1">
      <alignment vertical="center"/>
    </xf>
    <xf numFmtId="41" fontId="207" fillId="0" borderId="0" xfId="0" applyNumberFormat="1" applyFont="1" applyFill="1" applyBorder="1">
      <alignment vertical="center"/>
    </xf>
    <xf numFmtId="0" fontId="205" fillId="0" borderId="0" xfId="0" applyFont="1">
      <alignment vertical="center"/>
    </xf>
    <xf numFmtId="0" fontId="206" fillId="0" borderId="39" xfId="2608" applyFont="1" applyFill="1" applyBorder="1" applyAlignment="1" applyProtection="1">
      <alignment horizontal="left"/>
    </xf>
    <xf numFmtId="0" fontId="206" fillId="0" borderId="39" xfId="2608" applyFont="1" applyFill="1" applyBorder="1" applyProtection="1"/>
    <xf numFmtId="0" fontId="206" fillId="0" borderId="0" xfId="2608" applyFont="1" applyFill="1" applyAlignment="1" applyProtection="1">
      <alignment horizontal="right"/>
    </xf>
    <xf numFmtId="49" fontId="179" fillId="0" borderId="14" xfId="2608" applyNumberFormat="1" applyFont="1" applyFill="1" applyBorder="1" applyAlignment="1" applyProtection="1">
      <alignment horizontal="centerContinuous" vertical="center"/>
    </xf>
    <xf numFmtId="0" fontId="179" fillId="0" borderId="14" xfId="2608" applyFont="1" applyFill="1" applyBorder="1" applyAlignment="1" applyProtection="1">
      <alignment horizontal="centerContinuous" vertical="center"/>
    </xf>
    <xf numFmtId="0" fontId="179" fillId="0" borderId="12" xfId="2608" applyFont="1" applyFill="1" applyBorder="1" applyAlignment="1" applyProtection="1">
      <alignment horizontal="centerContinuous" vertical="center"/>
    </xf>
    <xf numFmtId="0" fontId="6" fillId="0" borderId="14" xfId="2608" applyFont="1" applyFill="1" applyBorder="1" applyAlignment="1" applyProtection="1">
      <alignment horizontal="centerContinuous" vertical="center"/>
    </xf>
    <xf numFmtId="0" fontId="241" fillId="0" borderId="0" xfId="2608" applyFont="1" applyFill="1" applyProtection="1"/>
    <xf numFmtId="0" fontId="6" fillId="0" borderId="15" xfId="2608" applyFont="1" applyFill="1" applyBorder="1" applyAlignment="1" applyProtection="1">
      <alignment horizontal="center"/>
    </xf>
    <xf numFmtId="0" fontId="6" fillId="0" borderId="19" xfId="2608" applyFont="1" applyFill="1" applyBorder="1" applyAlignment="1" applyProtection="1">
      <alignment horizontal="center"/>
    </xf>
    <xf numFmtId="49" fontId="179" fillId="0" borderId="60" xfId="2608" applyNumberFormat="1" applyFont="1" applyFill="1" applyBorder="1" applyAlignment="1" applyProtection="1">
      <alignment horizontal="centerContinuous"/>
    </xf>
    <xf numFmtId="0" fontId="179" fillId="0" borderId="60" xfId="2608" applyFont="1" applyFill="1" applyBorder="1" applyAlignment="1" applyProtection="1">
      <alignment horizontal="centerContinuous"/>
    </xf>
    <xf numFmtId="0" fontId="179" fillId="0" borderId="17" xfId="2608" applyFont="1" applyFill="1" applyBorder="1" applyAlignment="1" applyProtection="1">
      <alignment horizontal="centerContinuous"/>
    </xf>
    <xf numFmtId="0" fontId="6" fillId="0" borderId="18" xfId="2608" applyFont="1" applyFill="1" applyBorder="1" applyAlignment="1" applyProtection="1">
      <alignment horizontal="centerContinuous"/>
    </xf>
    <xf numFmtId="0" fontId="6" fillId="0" borderId="17" xfId="2608" applyFont="1" applyFill="1" applyBorder="1" applyAlignment="1" applyProtection="1">
      <alignment horizontal="centerContinuous"/>
    </xf>
    <xf numFmtId="0" fontId="179" fillId="0" borderId="19" xfId="2608" applyFont="1" applyFill="1" applyBorder="1" applyAlignment="1" applyProtection="1">
      <alignment horizontal="centerContinuous" vertical="center"/>
    </xf>
    <xf numFmtId="0" fontId="6" fillId="0" borderId="15" xfId="2608" applyFont="1" applyFill="1" applyBorder="1" applyAlignment="1" applyProtection="1">
      <alignment horizontal="centerContinuous" vertical="center"/>
    </xf>
    <xf numFmtId="0" fontId="179" fillId="0" borderId="0" xfId="2608" applyFont="1" applyFill="1" applyBorder="1" applyAlignment="1" applyProtection="1">
      <alignment horizontal="centerContinuous"/>
    </xf>
    <xf numFmtId="0" fontId="179" fillId="0" borderId="15" xfId="2608" applyFont="1" applyFill="1" applyBorder="1" applyAlignment="1" applyProtection="1">
      <alignment horizontal="centerContinuous"/>
    </xf>
    <xf numFmtId="0" fontId="179" fillId="0" borderId="22" xfId="2608" applyFont="1" applyFill="1" applyBorder="1" applyAlignment="1" applyProtection="1">
      <alignment horizontal="centerContinuous" vertical="center"/>
    </xf>
    <xf numFmtId="0" fontId="6" fillId="0" borderId="20" xfId="2608" applyFont="1" applyFill="1" applyBorder="1" applyAlignment="1" applyProtection="1">
      <alignment horizontal="centerContinuous" vertical="center"/>
    </xf>
    <xf numFmtId="176" fontId="6" fillId="0" borderId="57" xfId="4218" applyNumberFormat="1" applyFont="1" applyFill="1" applyBorder="1" applyAlignment="1" applyProtection="1">
      <alignment horizontal="center"/>
    </xf>
    <xf numFmtId="176" fontId="6" fillId="0" borderId="18" xfId="4218" applyNumberFormat="1" applyFont="1" applyFill="1" applyBorder="1" applyAlignment="1" applyProtection="1">
      <alignment horizontal="center"/>
    </xf>
    <xf numFmtId="0" fontId="179" fillId="0" borderId="0" xfId="2608" applyFont="1" applyFill="1" applyProtection="1"/>
    <xf numFmtId="176" fontId="179" fillId="0" borderId="16" xfId="4218" applyNumberFormat="1" applyFont="1" applyFill="1" applyBorder="1" applyAlignment="1" applyProtection="1">
      <alignment horizontal="center" shrinkToFit="1"/>
    </xf>
    <xf numFmtId="176" fontId="179" fillId="0" borderId="15" xfId="4218" applyNumberFormat="1" applyFont="1" applyFill="1" applyBorder="1" applyAlignment="1" applyProtection="1">
      <alignment horizontal="center"/>
    </xf>
    <xf numFmtId="176" fontId="179" fillId="0" borderId="0" xfId="4218" applyNumberFormat="1" applyFont="1" applyFill="1" applyBorder="1" applyAlignment="1" applyProtection="1">
      <alignment horizontal="center"/>
    </xf>
    <xf numFmtId="0" fontId="6" fillId="0" borderId="20" xfId="2608" applyFont="1" applyFill="1" applyBorder="1" applyAlignment="1" applyProtection="1">
      <alignment horizontal="center"/>
    </xf>
    <xf numFmtId="176" fontId="179" fillId="0" borderId="21" xfId="4218" applyNumberFormat="1" applyFont="1" applyFill="1" applyBorder="1" applyAlignment="1" applyProtection="1">
      <alignment horizontal="center" shrinkToFit="1"/>
    </xf>
    <xf numFmtId="176" fontId="179" fillId="0" borderId="20" xfId="4218" applyNumberFormat="1" applyFont="1" applyFill="1" applyBorder="1" applyAlignment="1" applyProtection="1">
      <alignment horizontal="center"/>
    </xf>
    <xf numFmtId="176" fontId="179" fillId="0" borderId="23" xfId="4218" applyNumberFormat="1" applyFont="1" applyFill="1" applyBorder="1" applyAlignment="1" applyProtection="1">
      <alignment horizontal="center"/>
    </xf>
    <xf numFmtId="0" fontId="179" fillId="0" borderId="15" xfId="2" applyFont="1" applyFill="1" applyBorder="1" applyAlignment="1" applyProtection="1">
      <alignment horizontal="center"/>
    </xf>
    <xf numFmtId="0" fontId="207" fillId="0" borderId="66" xfId="2608" applyFont="1" applyFill="1" applyBorder="1" applyAlignment="1" applyProtection="1">
      <alignment horizontal="center"/>
    </xf>
    <xf numFmtId="0" fontId="205" fillId="0" borderId="0" xfId="2608" applyFont="1" applyFill="1" applyBorder="1" applyAlignment="1" applyProtection="1">
      <alignment horizontal="left"/>
    </xf>
    <xf numFmtId="41" fontId="207" fillId="0" borderId="0" xfId="4228" applyFont="1" applyFill="1" applyBorder="1">
      <alignment vertical="center"/>
    </xf>
    <xf numFmtId="41" fontId="207" fillId="0" borderId="0" xfId="4228" applyFont="1" applyBorder="1">
      <alignment vertical="center"/>
    </xf>
    <xf numFmtId="0" fontId="205" fillId="0" borderId="0" xfId="4222" applyFont="1" applyFill="1" applyProtection="1">
      <alignment vertical="center"/>
    </xf>
    <xf numFmtId="0" fontId="179" fillId="0" borderId="23" xfId="2" applyFont="1" applyFill="1" applyBorder="1" applyAlignment="1" applyProtection="1">
      <alignment vertical="center"/>
    </xf>
    <xf numFmtId="0" fontId="6" fillId="0" borderId="29" xfId="2" applyFont="1" applyFill="1" applyBorder="1" applyAlignment="1" applyProtection="1">
      <alignment horizontal="center" vertical="center"/>
    </xf>
    <xf numFmtId="0" fontId="6" fillId="0" borderId="58" xfId="2" applyFont="1" applyFill="1" applyBorder="1" applyAlignment="1" applyProtection="1">
      <alignment horizontal="center" vertical="center"/>
    </xf>
    <xf numFmtId="0" fontId="179" fillId="0" borderId="15" xfId="4225" applyNumberFormat="1" applyFont="1" applyFill="1" applyBorder="1" applyAlignment="1" applyProtection="1">
      <alignment horizontal="center"/>
    </xf>
    <xf numFmtId="0" fontId="207" fillId="0" borderId="15" xfId="2" applyNumberFormat="1" applyFont="1" applyFill="1" applyBorder="1" applyAlignment="1" applyProtection="1">
      <alignment horizontal="center"/>
    </xf>
    <xf numFmtId="0" fontId="6" fillId="0" borderId="15" xfId="4226" applyNumberFormat="1" applyFont="1" applyFill="1" applyBorder="1" applyAlignment="1">
      <alignment horizontal="distributed"/>
    </xf>
    <xf numFmtId="0" fontId="6" fillId="0" borderId="66" xfId="4226" applyNumberFormat="1" applyFont="1" applyFill="1" applyBorder="1" applyAlignment="1">
      <alignment horizontal="distributed"/>
    </xf>
    <xf numFmtId="0" fontId="205" fillId="0" borderId="0" xfId="2608" applyNumberFormat="1" applyFont="1" applyFill="1" applyAlignment="1" applyProtection="1"/>
    <xf numFmtId="41" fontId="249" fillId="0" borderId="0" xfId="0" applyNumberFormat="1" applyFont="1">
      <alignment vertical="center"/>
    </xf>
    <xf numFmtId="0" fontId="247" fillId="0" borderId="16" xfId="2" applyFont="1" applyFill="1" applyBorder="1" applyAlignment="1" applyProtection="1">
      <alignment horizontal="center" vertical="center"/>
    </xf>
    <xf numFmtId="0" fontId="243" fillId="0" borderId="57" xfId="2" applyFont="1" applyFill="1" applyBorder="1" applyAlignment="1" applyProtection="1">
      <alignment horizontal="center" vertical="center"/>
    </xf>
    <xf numFmtId="0" fontId="179" fillId="0" borderId="57" xfId="2" applyFont="1" applyFill="1" applyBorder="1" applyAlignment="1" applyProtection="1">
      <alignment horizontal="center" vertical="center"/>
    </xf>
    <xf numFmtId="0" fontId="179" fillId="0" borderId="16" xfId="2" applyFont="1" applyFill="1" applyBorder="1" applyAlignment="1" applyProtection="1">
      <alignment vertical="center"/>
    </xf>
    <xf numFmtId="0" fontId="207" fillId="0" borderId="66" xfId="2" applyFont="1" applyFill="1" applyBorder="1" applyAlignment="1" applyProtection="1">
      <alignment horizontal="center"/>
    </xf>
    <xf numFmtId="0" fontId="179" fillId="0" borderId="22" xfId="2" applyFont="1" applyFill="1" applyBorder="1" applyAlignment="1" applyProtection="1">
      <alignment horizontal="center" vertical="center"/>
    </xf>
    <xf numFmtId="0" fontId="179" fillId="0" borderId="20" xfId="2" applyFont="1" applyFill="1" applyBorder="1" applyAlignment="1" applyProtection="1">
      <alignment horizontal="center" vertical="center"/>
    </xf>
    <xf numFmtId="0" fontId="214" fillId="0" borderId="0" xfId="2" applyFont="1" applyFill="1" applyAlignment="1" applyProtection="1">
      <alignment horizontal="center" vertical="center"/>
    </xf>
    <xf numFmtId="0" fontId="6" fillId="0" borderId="11" xfId="2" applyFont="1" applyFill="1" applyBorder="1" applyAlignment="1" applyProtection="1">
      <alignment horizontal="center" vertical="center"/>
    </xf>
    <xf numFmtId="0" fontId="6" fillId="0" borderId="10" xfId="2" applyFont="1" applyFill="1" applyBorder="1" applyAlignment="1" applyProtection="1">
      <alignment horizontal="center" vertical="center"/>
    </xf>
    <xf numFmtId="0" fontId="179" fillId="0" borderId="19" xfId="2" applyFont="1" applyFill="1" applyBorder="1" applyAlignment="1" applyProtection="1">
      <alignment horizontal="center" vertical="center"/>
    </xf>
    <xf numFmtId="0" fontId="6" fillId="0" borderId="18" xfId="2" applyFont="1" applyFill="1" applyBorder="1" applyAlignment="1" applyProtection="1">
      <alignment horizontal="center" vertical="center"/>
    </xf>
    <xf numFmtId="0" fontId="6" fillId="0" borderId="17" xfId="2" applyFont="1" applyFill="1" applyBorder="1" applyAlignment="1" applyProtection="1">
      <alignment horizontal="center" vertical="center"/>
    </xf>
    <xf numFmtId="0" fontId="52" fillId="0" borderId="0" xfId="2" applyFont="1" applyFill="1" applyAlignment="1" applyProtection="1">
      <alignment horizontal="right" vertical="top"/>
    </xf>
    <xf numFmtId="0" fontId="206" fillId="0" borderId="0" xfId="2" applyFont="1" applyFill="1" applyAlignment="1" applyProtection="1">
      <alignment horizontal="left"/>
    </xf>
    <xf numFmtId="0" fontId="205" fillId="0" borderId="0" xfId="2" applyFont="1" applyFill="1" applyBorder="1" applyAlignment="1" applyProtection="1">
      <alignment horizontal="left"/>
    </xf>
    <xf numFmtId="0" fontId="6" fillId="0" borderId="56" xfId="2" applyFont="1" applyFill="1" applyBorder="1" applyAlignment="1" applyProtection="1">
      <alignment horizontal="center" vertical="center"/>
    </xf>
    <xf numFmtId="0" fontId="6" fillId="0" borderId="16" xfId="2" applyFont="1" applyFill="1" applyBorder="1" applyAlignment="1" applyProtection="1">
      <alignment horizontal="center" vertical="center" shrinkToFit="1"/>
    </xf>
    <xf numFmtId="0" fontId="6" fillId="0" borderId="57" xfId="2" applyFont="1" applyFill="1" applyBorder="1" applyAlignment="1" applyProtection="1">
      <alignment horizontal="center" vertical="center"/>
    </xf>
    <xf numFmtId="0" fontId="6" fillId="0" borderId="16" xfId="2" applyFont="1" applyFill="1" applyBorder="1" applyAlignment="1" applyProtection="1">
      <alignment horizontal="center" vertical="center"/>
    </xf>
    <xf numFmtId="0" fontId="179" fillId="0" borderId="23" xfId="2" applyFont="1" applyFill="1" applyBorder="1" applyAlignment="1" applyProtection="1">
      <alignment horizontal="center" vertical="center"/>
    </xf>
    <xf numFmtId="0" fontId="6" fillId="0" borderId="10" xfId="2608" applyFont="1" applyFill="1" applyBorder="1" applyAlignment="1" applyProtection="1">
      <alignment horizontal="center" vertical="center"/>
    </xf>
    <xf numFmtId="0" fontId="6" fillId="0" borderId="15" xfId="2" applyFont="1" applyFill="1" applyBorder="1" applyAlignment="1" applyProtection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</xf>
    <xf numFmtId="0" fontId="179" fillId="0" borderId="22" xfId="2" applyFont="1" applyFill="1" applyBorder="1" applyAlignment="1" applyProtection="1">
      <alignment horizontal="center" vertical="center" shrinkToFit="1"/>
    </xf>
    <xf numFmtId="41" fontId="179" fillId="0" borderId="0" xfId="4458" applyNumberFormat="1" applyFont="1" applyFill="1" applyBorder="1" applyAlignment="1" applyProtection="1">
      <alignment horizontal="right"/>
      <protection locked="0"/>
    </xf>
    <xf numFmtId="0" fontId="207" fillId="0" borderId="15" xfId="4228" applyNumberFormat="1" applyFont="1" applyFill="1" applyBorder="1" applyAlignment="1" applyProtection="1">
      <alignment horizontal="center"/>
    </xf>
    <xf numFmtId="41" fontId="179" fillId="0" borderId="15" xfId="4228" applyFont="1" applyFill="1" applyBorder="1" applyAlignment="1">
      <alignment horizontal="center"/>
    </xf>
    <xf numFmtId="41" fontId="179" fillId="0" borderId="0" xfId="4228" applyNumberFormat="1" applyFont="1" applyFill="1" applyBorder="1">
      <alignment vertical="center"/>
    </xf>
    <xf numFmtId="41" fontId="179" fillId="0" borderId="66" xfId="4228" applyFont="1" applyFill="1" applyBorder="1" applyAlignment="1">
      <alignment horizontal="center"/>
    </xf>
    <xf numFmtId="41" fontId="179" fillId="0" borderId="39" xfId="4228" applyNumberFormat="1" applyFont="1" applyFill="1" applyBorder="1">
      <alignment vertical="center"/>
    </xf>
    <xf numFmtId="0" fontId="6" fillId="0" borderId="0" xfId="2" applyFont="1" applyFill="1" applyAlignment="1" applyProtection="1">
      <alignment horizontal="left"/>
    </xf>
    <xf numFmtId="0" fontId="179" fillId="0" borderId="0" xfId="2" applyFont="1" applyFill="1" applyAlignment="1" applyProtection="1">
      <alignment horizontal="right"/>
    </xf>
    <xf numFmtId="0" fontId="6" fillId="0" borderId="19" xfId="2" applyFont="1" applyFill="1" applyBorder="1" applyAlignment="1" applyProtection="1">
      <alignment horizontal="center" vertical="center"/>
    </xf>
    <xf numFmtId="41" fontId="179" fillId="0" borderId="19" xfId="4228" applyFont="1" applyFill="1" applyBorder="1">
      <alignment vertical="center"/>
    </xf>
    <xf numFmtId="41" fontId="179" fillId="0" borderId="0" xfId="4228" applyFont="1" applyFill="1" applyBorder="1">
      <alignment vertical="center"/>
    </xf>
    <xf numFmtId="207" fontId="179" fillId="0" borderId="0" xfId="4228" applyNumberFormat="1" applyFont="1" applyFill="1" applyBorder="1">
      <alignment vertical="center"/>
    </xf>
    <xf numFmtId="41" fontId="179" fillId="0" borderId="67" xfId="4228" applyFont="1" applyFill="1" applyBorder="1">
      <alignment vertical="center"/>
    </xf>
    <xf numFmtId="3" fontId="179" fillId="0" borderId="0" xfId="1307" applyNumberFormat="1" applyFont="1" applyFill="1" applyBorder="1" applyAlignment="1">
      <alignment horizontal="right" shrinkToFit="1"/>
    </xf>
    <xf numFmtId="3" fontId="179" fillId="0" borderId="0" xfId="3" applyNumberFormat="1" applyFont="1" applyFill="1" applyBorder="1" applyAlignment="1" applyProtection="1">
      <alignment horizontal="right"/>
    </xf>
    <xf numFmtId="0" fontId="206" fillId="0" borderId="0" xfId="1" applyFont="1" applyFill="1" applyProtection="1"/>
    <xf numFmtId="0" fontId="179" fillId="0" borderId="0" xfId="1" applyFont="1" applyFill="1" applyAlignment="1" applyProtection="1">
      <alignment vertical="center"/>
    </xf>
    <xf numFmtId="0" fontId="225" fillId="0" borderId="0" xfId="1" applyFont="1" applyFill="1" applyBorder="1" applyAlignment="1" applyProtection="1">
      <alignment horizontal="left"/>
    </xf>
    <xf numFmtId="0" fontId="206" fillId="0" borderId="0" xfId="1" applyFont="1" applyFill="1" applyAlignment="1" applyProtection="1">
      <alignment horizontal="left"/>
    </xf>
    <xf numFmtId="0" fontId="225" fillId="0" borderId="0" xfId="1" applyFont="1" applyFill="1" applyAlignment="1" applyProtection="1">
      <alignment horizontal="right"/>
    </xf>
    <xf numFmtId="0" fontId="6" fillId="0" borderId="10" xfId="1" applyFont="1" applyFill="1" applyBorder="1" applyAlignment="1" applyProtection="1">
      <alignment horizontal="center" vertical="center"/>
    </xf>
    <xf numFmtId="0" fontId="6" fillId="0" borderId="15" xfId="1" applyFont="1" applyFill="1" applyBorder="1" applyAlignment="1" applyProtection="1">
      <alignment horizontal="center" vertical="center"/>
    </xf>
    <xf numFmtId="0" fontId="6" fillId="0" borderId="57" xfId="1" applyFont="1" applyFill="1" applyBorder="1" applyAlignment="1" applyProtection="1">
      <alignment horizontal="centerContinuous" vertical="center"/>
    </xf>
    <xf numFmtId="0" fontId="6" fillId="0" borderId="18" xfId="1" applyFont="1" applyFill="1" applyBorder="1" applyAlignment="1" applyProtection="1">
      <alignment horizontal="centerContinuous" vertical="center"/>
    </xf>
    <xf numFmtId="0" fontId="6" fillId="0" borderId="15" xfId="1" applyFont="1" applyFill="1" applyBorder="1" applyAlignment="1" applyProtection="1">
      <alignment vertical="center"/>
    </xf>
    <xf numFmtId="0" fontId="179" fillId="0" borderId="21" xfId="1" applyFont="1" applyFill="1" applyBorder="1" applyAlignment="1" applyProtection="1">
      <alignment horizontal="centerContinuous" vertical="center"/>
    </xf>
    <xf numFmtId="0" fontId="6" fillId="0" borderId="16" xfId="1" applyFont="1" applyFill="1" applyBorder="1" applyAlignment="1" applyProtection="1">
      <alignment horizontal="center" vertical="center"/>
    </xf>
    <xf numFmtId="0" fontId="6" fillId="0" borderId="57" xfId="1" applyFont="1" applyFill="1" applyBorder="1" applyAlignment="1" applyProtection="1">
      <alignment horizontal="center" vertical="center"/>
    </xf>
    <xf numFmtId="0" fontId="6" fillId="0" borderId="18" xfId="1" applyFont="1" applyFill="1" applyBorder="1" applyAlignment="1" applyProtection="1">
      <alignment horizontal="center" vertical="center"/>
    </xf>
    <xf numFmtId="0" fontId="6" fillId="0" borderId="17" xfId="1" applyFont="1" applyFill="1" applyBorder="1" applyAlignment="1" applyProtection="1">
      <alignment horizontal="center" vertical="center"/>
    </xf>
    <xf numFmtId="0" fontId="179" fillId="0" borderId="16" xfId="1" applyFont="1" applyFill="1" applyBorder="1" applyAlignment="1" applyProtection="1">
      <alignment horizontal="center" vertical="center"/>
    </xf>
    <xf numFmtId="0" fontId="6" fillId="0" borderId="19" xfId="1" applyFont="1" applyFill="1" applyBorder="1" applyAlignment="1" applyProtection="1">
      <alignment horizontal="center" vertical="center"/>
    </xf>
    <xf numFmtId="0" fontId="243" fillId="0" borderId="16" xfId="1" applyFont="1" applyFill="1" applyBorder="1" applyAlignment="1" applyProtection="1">
      <alignment horizontal="center" vertical="center"/>
    </xf>
    <xf numFmtId="0" fontId="179" fillId="0" borderId="19" xfId="1" applyFont="1" applyFill="1" applyBorder="1" applyAlignment="1" applyProtection="1">
      <alignment horizontal="center" vertical="center"/>
    </xf>
    <xf numFmtId="0" fontId="179" fillId="0" borderId="15" xfId="1" applyFont="1" applyFill="1" applyBorder="1" applyAlignment="1" applyProtection="1">
      <alignment horizontal="center" vertical="center"/>
    </xf>
    <xf numFmtId="0" fontId="6" fillId="0" borderId="20" xfId="1" applyFont="1" applyFill="1" applyBorder="1" applyAlignment="1" applyProtection="1">
      <alignment horizontal="center" vertical="center"/>
    </xf>
    <xf numFmtId="0" fontId="179" fillId="0" borderId="21" xfId="1" applyFont="1" applyFill="1" applyBorder="1" applyAlignment="1" applyProtection="1">
      <alignment horizontal="center" vertical="center"/>
    </xf>
    <xf numFmtId="0" fontId="179" fillId="0" borderId="22" xfId="1" applyFont="1" applyFill="1" applyBorder="1" applyAlignment="1" applyProtection="1">
      <alignment horizontal="center" vertical="center"/>
    </xf>
    <xf numFmtId="0" fontId="179" fillId="0" borderId="20" xfId="1" applyFont="1" applyFill="1" applyBorder="1" applyAlignment="1" applyProtection="1">
      <alignment horizontal="center" vertical="center"/>
    </xf>
    <xf numFmtId="41" fontId="179" fillId="0" borderId="0" xfId="4228" applyFont="1" applyFill="1" applyBorder="1" applyAlignment="1">
      <alignment horizontal="right" vertical="center"/>
    </xf>
    <xf numFmtId="0" fontId="205" fillId="0" borderId="0" xfId="1" applyFont="1" applyFill="1" applyBorder="1" applyAlignment="1" applyProtection="1"/>
    <xf numFmtId="0" fontId="6" fillId="0" borderId="56" xfId="2608" applyFont="1" applyFill="1" applyBorder="1" applyAlignment="1" applyProtection="1">
      <alignment horizontal="centerContinuous" vertical="center"/>
    </xf>
    <xf numFmtId="0" fontId="6" fillId="0" borderId="15" xfId="2608" applyFont="1" applyFill="1" applyBorder="1" applyAlignment="1" applyProtection="1">
      <alignment horizontal="center" vertical="center"/>
    </xf>
    <xf numFmtId="0" fontId="6" fillId="0" borderId="15" xfId="2608" applyFont="1" applyFill="1" applyBorder="1" applyAlignment="1" applyProtection="1">
      <alignment horizontal="center" vertical="center" shrinkToFit="1"/>
    </xf>
    <xf numFmtId="0" fontId="179" fillId="0" borderId="0" xfId="2608" applyFont="1" applyFill="1" applyAlignment="1" applyProtection="1">
      <alignment vertical="center" shrinkToFit="1"/>
    </xf>
    <xf numFmtId="0" fontId="6" fillId="0" borderId="16" xfId="2608" applyFont="1" applyFill="1" applyBorder="1" applyAlignment="1" applyProtection="1">
      <alignment horizontal="center" vertical="center" shrinkToFit="1"/>
    </xf>
    <xf numFmtId="0" fontId="179" fillId="0" borderId="16" xfId="2608" applyFont="1" applyFill="1" applyBorder="1" applyAlignment="1" applyProtection="1">
      <alignment horizontal="center" vertical="center" shrinkToFit="1"/>
    </xf>
    <xf numFmtId="0" fontId="179" fillId="0" borderId="19" xfId="2608" applyFont="1" applyFill="1" applyBorder="1" applyAlignment="1" applyProtection="1">
      <alignment horizontal="center" vertical="center" shrinkToFit="1"/>
    </xf>
    <xf numFmtId="0" fontId="179" fillId="0" borderId="0" xfId="1" applyFont="1" applyFill="1" applyAlignment="1" applyProtection="1">
      <alignment vertical="center" shrinkToFit="1"/>
    </xf>
    <xf numFmtId="209" fontId="179" fillId="0" borderId="0" xfId="4455" applyNumberFormat="1" applyFont="1" applyFill="1" applyBorder="1" applyAlignment="1" applyProtection="1"/>
    <xf numFmtId="209" fontId="179" fillId="0" borderId="0" xfId="4456" applyNumberFormat="1" applyFont="1" applyFill="1" applyBorder="1" applyAlignment="1" applyProtection="1"/>
    <xf numFmtId="209" fontId="179" fillId="0" borderId="0" xfId="4455" applyNumberFormat="1" applyFont="1" applyFill="1" applyBorder="1" applyAlignment="1" applyProtection="1">
      <alignment vertical="center"/>
    </xf>
    <xf numFmtId="209" fontId="179" fillId="0" borderId="0" xfId="4456" applyNumberFormat="1" applyFont="1" applyFill="1" applyBorder="1" applyAlignment="1" applyProtection="1">
      <alignment vertical="center"/>
    </xf>
    <xf numFmtId="0" fontId="252" fillId="0" borderId="0" xfId="0" applyFont="1">
      <alignment vertical="center"/>
    </xf>
    <xf numFmtId="41" fontId="252" fillId="0" borderId="0" xfId="0" applyNumberFormat="1" applyFont="1" applyFill="1" applyBorder="1" applyAlignment="1">
      <alignment vertical="center"/>
    </xf>
    <xf numFmtId="209" fontId="179" fillId="0" borderId="0" xfId="1548" applyNumberFormat="1" applyFont="1" applyFill="1" applyBorder="1" applyAlignment="1" applyProtection="1"/>
    <xf numFmtId="209" fontId="179" fillId="0" borderId="0" xfId="4227" applyNumberFormat="1" applyFont="1" applyFill="1" applyBorder="1" applyAlignment="1" applyProtection="1">
      <alignment vertical="center"/>
      <protection locked="0"/>
    </xf>
    <xf numFmtId="209" fontId="179" fillId="0" borderId="0" xfId="0" applyNumberFormat="1" applyFont="1" applyFill="1" applyBorder="1" applyAlignment="1">
      <alignment vertical="center"/>
    </xf>
    <xf numFmtId="0" fontId="207" fillId="0" borderId="66" xfId="1963" applyNumberFormat="1" applyFont="1" applyFill="1" applyBorder="1" applyAlignment="1" applyProtection="1">
      <alignment horizontal="center"/>
    </xf>
    <xf numFmtId="0" fontId="252" fillId="0" borderId="0" xfId="0" applyNumberFormat="1" applyFont="1">
      <alignment vertical="center"/>
    </xf>
    <xf numFmtId="0" fontId="179" fillId="0" borderId="0" xfId="2" applyFont="1" applyFill="1" applyBorder="1" applyAlignment="1" applyProtection="1">
      <alignment horizontal="center" vertical="center"/>
    </xf>
    <xf numFmtId="0" fontId="179" fillId="0" borderId="15" xfId="2" applyFont="1" applyFill="1" applyBorder="1" applyAlignment="1" applyProtection="1">
      <alignment horizontal="center" vertical="center"/>
    </xf>
    <xf numFmtId="0" fontId="179" fillId="0" borderId="22" xfId="2" applyFont="1" applyFill="1" applyBorder="1" applyAlignment="1" applyProtection="1">
      <alignment horizontal="center" vertical="center"/>
    </xf>
    <xf numFmtId="0" fontId="179" fillId="0" borderId="20" xfId="2" applyFont="1" applyFill="1" applyBorder="1" applyAlignment="1" applyProtection="1">
      <alignment horizontal="center" vertical="center"/>
    </xf>
    <xf numFmtId="0" fontId="6" fillId="0" borderId="10" xfId="2" applyFont="1" applyFill="1" applyBorder="1" applyAlignment="1" applyProtection="1">
      <alignment horizontal="center" vertical="center"/>
    </xf>
    <xf numFmtId="0" fontId="179" fillId="0" borderId="19" xfId="2" applyFont="1" applyFill="1" applyBorder="1" applyAlignment="1" applyProtection="1">
      <alignment horizontal="center" vertical="center"/>
    </xf>
    <xf numFmtId="0" fontId="6" fillId="0" borderId="18" xfId="2" applyFont="1" applyFill="1" applyBorder="1" applyAlignment="1" applyProtection="1">
      <alignment horizontal="center" vertical="center"/>
    </xf>
    <xf numFmtId="0" fontId="52" fillId="0" borderId="0" xfId="2" applyFont="1" applyFill="1" applyAlignment="1" applyProtection="1">
      <alignment horizontal="right" vertical="top"/>
    </xf>
    <xf numFmtId="0" fontId="206" fillId="0" borderId="0" xfId="2" applyFont="1" applyFill="1" applyAlignment="1" applyProtection="1">
      <alignment horizontal="left"/>
    </xf>
    <xf numFmtId="0" fontId="6" fillId="0" borderId="29" xfId="2" applyFont="1" applyFill="1" applyBorder="1" applyAlignment="1" applyProtection="1">
      <alignment horizontal="center" vertical="center" shrinkToFit="1"/>
    </xf>
    <xf numFmtId="0" fontId="179" fillId="0" borderId="60" xfId="2608" applyFont="1" applyFill="1" applyBorder="1" applyAlignment="1" applyProtection="1">
      <alignment horizontal="center" vertical="center"/>
    </xf>
    <xf numFmtId="0" fontId="6" fillId="0" borderId="16" xfId="2" applyFont="1" applyFill="1" applyBorder="1" applyAlignment="1" applyProtection="1">
      <alignment horizontal="center" vertical="center" shrinkToFit="1"/>
    </xf>
    <xf numFmtId="0" fontId="6" fillId="0" borderId="60" xfId="2" applyFont="1" applyFill="1" applyBorder="1" applyAlignment="1" applyProtection="1">
      <alignment horizontal="center" vertical="center"/>
    </xf>
    <xf numFmtId="0" fontId="6" fillId="0" borderId="57" xfId="2" applyFont="1" applyFill="1" applyBorder="1" applyAlignment="1" applyProtection="1">
      <alignment horizontal="center" vertical="center"/>
    </xf>
    <xf numFmtId="0" fontId="6" fillId="0" borderId="16" xfId="2" applyFont="1" applyFill="1" applyBorder="1" applyAlignment="1" applyProtection="1">
      <alignment horizontal="center" vertical="center"/>
    </xf>
    <xf numFmtId="0" fontId="179" fillId="0" borderId="23" xfId="2" applyFont="1" applyFill="1" applyBorder="1" applyAlignment="1" applyProtection="1">
      <alignment horizontal="center" vertical="center"/>
    </xf>
    <xf numFmtId="0" fontId="6" fillId="0" borderId="10" xfId="2608" applyFont="1" applyFill="1" applyBorder="1" applyAlignment="1" applyProtection="1">
      <alignment horizontal="center" vertical="center"/>
    </xf>
    <xf numFmtId="0" fontId="6" fillId="0" borderId="15" xfId="2" applyFont="1" applyFill="1" applyBorder="1" applyAlignment="1" applyProtection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</xf>
    <xf numFmtId="0" fontId="179" fillId="0" borderId="22" xfId="2" applyFont="1" applyFill="1" applyBorder="1" applyAlignment="1" applyProtection="1">
      <alignment horizontal="center" vertical="center" shrinkToFit="1"/>
    </xf>
    <xf numFmtId="0" fontId="179" fillId="0" borderId="20" xfId="2" applyFont="1" applyFill="1" applyBorder="1" applyAlignment="1" applyProtection="1">
      <alignment horizontal="center" vertical="center" shrinkToFit="1"/>
    </xf>
    <xf numFmtId="0" fontId="179" fillId="0" borderId="21" xfId="2" applyFont="1" applyFill="1" applyBorder="1" applyAlignment="1" applyProtection="1">
      <alignment horizontal="center" vertical="center"/>
    </xf>
    <xf numFmtId="0" fontId="179" fillId="0" borderId="20" xfId="2608" applyFont="1" applyFill="1" applyBorder="1" applyAlignment="1" applyProtection="1">
      <alignment horizontal="center" vertical="center"/>
    </xf>
    <xf numFmtId="0" fontId="52" fillId="0" borderId="0" xfId="2608" applyFont="1" applyFill="1" applyAlignment="1" applyProtection="1">
      <alignment horizontal="left" vertical="top"/>
    </xf>
    <xf numFmtId="0" fontId="241" fillId="0" borderId="0" xfId="2" applyFont="1" applyFill="1" applyAlignment="1" applyProtection="1">
      <alignment horizontal="left"/>
    </xf>
    <xf numFmtId="0" fontId="241" fillId="0" borderId="0" xfId="2" applyFont="1" applyFill="1" applyProtection="1"/>
    <xf numFmtId="0" fontId="6" fillId="0" borderId="11" xfId="2" applyFont="1" applyFill="1" applyBorder="1" applyAlignment="1" applyProtection="1">
      <alignment vertical="center"/>
    </xf>
    <xf numFmtId="0" fontId="179" fillId="0" borderId="36" xfId="2" applyFont="1" applyFill="1" applyBorder="1" applyAlignment="1" applyProtection="1">
      <alignment horizontal="center" vertical="center"/>
    </xf>
    <xf numFmtId="0" fontId="6" fillId="0" borderId="36" xfId="2" applyFont="1" applyFill="1" applyBorder="1" applyAlignment="1" applyProtection="1">
      <alignment horizontal="center" vertical="center" shrinkToFit="1"/>
    </xf>
    <xf numFmtId="41" fontId="179" fillId="0" borderId="19" xfId="4228" applyFont="1" applyFill="1" applyBorder="1" applyAlignment="1" applyProtection="1">
      <alignment horizontal="center"/>
    </xf>
    <xf numFmtId="41" fontId="179" fillId="0" borderId="0" xfId="4228" applyFont="1" applyFill="1" applyBorder="1" applyAlignment="1" applyProtection="1">
      <alignment horizontal="center"/>
    </xf>
    <xf numFmtId="41" fontId="179" fillId="0" borderId="15" xfId="4228" applyFont="1" applyFill="1" applyBorder="1" applyAlignment="1" applyProtection="1">
      <alignment horizontal="center"/>
    </xf>
    <xf numFmtId="41" fontId="179" fillId="0" borderId="19" xfId="4228" applyFont="1" applyFill="1" applyBorder="1" applyAlignment="1" applyProtection="1"/>
    <xf numFmtId="41" fontId="179" fillId="0" borderId="0" xfId="4228" applyFont="1" applyFill="1" applyBorder="1" applyAlignment="1" applyProtection="1"/>
    <xf numFmtId="41" fontId="179" fillId="0" borderId="15" xfId="4228" applyFont="1" applyFill="1" applyBorder="1" applyAlignment="1" applyProtection="1"/>
    <xf numFmtId="41" fontId="207" fillId="0" borderId="67" xfId="4228" applyFont="1" applyFill="1" applyBorder="1" applyAlignment="1" applyProtection="1"/>
    <xf numFmtId="41" fontId="207" fillId="0" borderId="39" xfId="4228" applyFont="1" applyFill="1" applyBorder="1" applyAlignment="1" applyProtection="1"/>
    <xf numFmtId="41" fontId="207" fillId="0" borderId="66" xfId="4228" applyFont="1" applyFill="1" applyBorder="1" applyAlignment="1" applyProtection="1"/>
    <xf numFmtId="41" fontId="207" fillId="0" borderId="39" xfId="4228" applyNumberFormat="1" applyFont="1" applyFill="1" applyBorder="1" applyAlignment="1" applyProtection="1">
      <alignment horizontal="right"/>
    </xf>
    <xf numFmtId="41" fontId="207" fillId="0" borderId="0" xfId="4228" applyNumberFormat="1" applyFont="1" applyFill="1" applyBorder="1" applyAlignment="1" applyProtection="1">
      <alignment horizontal="center"/>
    </xf>
    <xf numFmtId="41" fontId="207" fillId="0" borderId="0" xfId="4228" applyFont="1" applyFill="1" applyBorder="1" applyAlignment="1" applyProtection="1">
      <alignment horizontal="right"/>
    </xf>
    <xf numFmtId="41" fontId="207" fillId="0" borderId="0" xfId="4228" applyNumberFormat="1" applyFont="1" applyFill="1" applyBorder="1" applyAlignment="1" applyProtection="1">
      <alignment horizontal="right"/>
    </xf>
    <xf numFmtId="176" fontId="207" fillId="0" borderId="0" xfId="3" applyFont="1" applyFill="1" applyBorder="1" applyAlignment="1" applyProtection="1">
      <alignment horizontal="right"/>
    </xf>
    <xf numFmtId="41" fontId="179" fillId="0" borderId="0" xfId="2" applyNumberFormat="1" applyFont="1" applyFill="1" applyProtection="1"/>
    <xf numFmtId="41" fontId="206" fillId="0" borderId="0" xfId="4228" applyFont="1" applyFill="1" applyAlignment="1" applyProtection="1"/>
    <xf numFmtId="41" fontId="6" fillId="0" borderId="0" xfId="4228" applyFont="1" applyFill="1" applyAlignment="1" applyProtection="1"/>
    <xf numFmtId="0" fontId="213" fillId="0" borderId="0" xfId="4457" applyFont="1" applyFill="1" applyBorder="1" applyAlignment="1" applyProtection="1">
      <alignment horizontal="centerContinuous" vertical="center"/>
    </xf>
    <xf numFmtId="0" fontId="242" fillId="0" borderId="0" xfId="4457" applyFont="1" applyFill="1" applyAlignment="1">
      <alignment horizontal="centerContinuous" vertical="center"/>
    </xf>
    <xf numFmtId="0" fontId="242" fillId="0" borderId="0" xfId="4457" applyFont="1" applyFill="1" applyBorder="1" applyAlignment="1" applyProtection="1">
      <alignment horizontal="centerContinuous" vertical="center"/>
    </xf>
    <xf numFmtId="0" fontId="242" fillId="0" borderId="0" xfId="4457" applyFont="1" applyFill="1" applyAlignment="1">
      <alignment vertical="center"/>
    </xf>
    <xf numFmtId="0" fontId="214" fillId="0" borderId="0" xfId="4457" applyFont="1" applyFill="1" applyBorder="1" applyAlignment="1" applyProtection="1">
      <alignment horizontal="centerContinuous"/>
    </xf>
    <xf numFmtId="0" fontId="215" fillId="0" borderId="0" xfId="4457" applyFont="1" applyFill="1" applyAlignment="1">
      <alignment horizontal="centerContinuous"/>
    </xf>
    <xf numFmtId="0" fontId="215" fillId="0" borderId="0" xfId="4457" applyFont="1" applyFill="1"/>
    <xf numFmtId="41" fontId="206" fillId="0" borderId="39" xfId="4228" applyFont="1" applyFill="1" applyBorder="1" applyAlignment="1" applyProtection="1">
      <alignment horizontal="left"/>
    </xf>
    <xf numFmtId="41" fontId="206" fillId="0" borderId="0" xfId="4228" applyFont="1" applyFill="1" applyAlignment="1" applyProtection="1">
      <alignment horizontal="left"/>
    </xf>
    <xf numFmtId="41" fontId="225" fillId="0" borderId="0" xfId="4228" applyFont="1" applyFill="1" applyAlignment="1" applyProtection="1">
      <alignment horizontal="right"/>
    </xf>
    <xf numFmtId="0" fontId="205" fillId="0" borderId="56" xfId="2" applyFont="1" applyFill="1" applyBorder="1" applyAlignment="1" applyProtection="1">
      <alignment horizontal="center" vertical="center"/>
    </xf>
    <xf numFmtId="0" fontId="6" fillId="0" borderId="0" xfId="2" applyFont="1" applyFill="1" applyBorder="1" applyAlignment="1" applyProtection="1">
      <alignment vertical="center"/>
    </xf>
    <xf numFmtId="41" fontId="179" fillId="0" borderId="19" xfId="4228" applyFont="1" applyFill="1" applyBorder="1" applyAlignment="1" applyProtection="1">
      <alignment horizontal="centerContinuous" vertical="center"/>
    </xf>
    <xf numFmtId="41" fontId="179" fillId="0" borderId="0" xfId="4228" applyFont="1" applyFill="1" applyBorder="1" applyAlignment="1" applyProtection="1">
      <alignment horizontal="centerContinuous" vertical="center"/>
    </xf>
    <xf numFmtId="41" fontId="6" fillId="0" borderId="57" xfId="4228" applyFont="1" applyFill="1" applyBorder="1" applyAlignment="1" applyProtection="1">
      <alignment horizontal="center" vertical="center"/>
    </xf>
    <xf numFmtId="41" fontId="6" fillId="0" borderId="18" xfId="4228" applyFont="1" applyFill="1" applyBorder="1" applyAlignment="1" applyProtection="1">
      <alignment horizontal="center" vertical="center"/>
    </xf>
    <xf numFmtId="0" fontId="205" fillId="0" borderId="23" xfId="2" applyFont="1" applyFill="1" applyBorder="1" applyAlignment="1" applyProtection="1">
      <alignment horizontal="center" vertical="center"/>
    </xf>
    <xf numFmtId="41" fontId="179" fillId="0" borderId="21" xfId="4228" applyFont="1" applyFill="1" applyBorder="1" applyAlignment="1" applyProtection="1">
      <alignment horizontal="center" vertical="center"/>
    </xf>
    <xf numFmtId="41" fontId="179" fillId="0" borderId="22" xfId="4228" applyFont="1" applyFill="1" applyBorder="1" applyAlignment="1" applyProtection="1">
      <alignment horizontal="center" vertical="center"/>
    </xf>
    <xf numFmtId="0" fontId="207" fillId="0" borderId="15" xfId="2608" applyFont="1" applyFill="1" applyBorder="1" applyAlignment="1" applyProtection="1">
      <alignment horizontal="center"/>
    </xf>
    <xf numFmtId="0" fontId="6" fillId="0" borderId="15" xfId="2" applyFont="1" applyFill="1" applyBorder="1" applyAlignment="1" applyProtection="1">
      <alignment horizontal="centerContinuous"/>
    </xf>
    <xf numFmtId="0" fontId="6" fillId="0" borderId="66" xfId="2" applyFont="1" applyFill="1" applyBorder="1" applyAlignment="1" applyProtection="1">
      <alignment horizontal="centerContinuous"/>
    </xf>
    <xf numFmtId="0" fontId="205" fillId="0" borderId="19" xfId="2" applyFont="1" applyFill="1" applyBorder="1" applyAlignment="1" applyProtection="1"/>
    <xf numFmtId="41" fontId="206" fillId="0" borderId="0" xfId="4228" applyNumberFormat="1" applyFont="1" applyFill="1" applyBorder="1">
      <alignment vertical="center"/>
    </xf>
    <xf numFmtId="0" fontId="257" fillId="0" borderId="0" xfId="0" applyFont="1">
      <alignment vertical="center"/>
    </xf>
    <xf numFmtId="0" fontId="205" fillId="0" borderId="16" xfId="2" applyFont="1" applyFill="1" applyBorder="1" applyAlignment="1" applyProtection="1">
      <alignment horizontal="left" vertical="center"/>
    </xf>
    <xf numFmtId="41" fontId="249" fillId="0" borderId="0" xfId="4228" applyFont="1">
      <alignment vertical="center"/>
    </xf>
    <xf numFmtId="0" fontId="243" fillId="0" borderId="16" xfId="2" applyFont="1" applyFill="1" applyBorder="1" applyAlignment="1" applyProtection="1">
      <alignment horizontal="center" vertical="center"/>
    </xf>
    <xf numFmtId="0" fontId="179" fillId="0" borderId="15" xfId="4226" applyFont="1" applyFill="1" applyBorder="1" applyAlignment="1">
      <alignment horizontal="distributed"/>
    </xf>
    <xf numFmtId="0" fontId="179" fillId="0" borderId="66" xfId="4226" applyFont="1" applyFill="1" applyBorder="1" applyAlignment="1">
      <alignment horizontal="distributed"/>
    </xf>
    <xf numFmtId="41" fontId="179" fillId="0" borderId="0" xfId="4219" applyNumberFormat="1" applyFont="1" applyFill="1" applyBorder="1" applyAlignment="1" applyProtection="1">
      <alignment horizontal="right"/>
      <protection locked="0"/>
    </xf>
    <xf numFmtId="0" fontId="206" fillId="0" borderId="0" xfId="2608" applyFont="1" applyFill="1" applyBorder="1" applyAlignment="1" applyProtection="1">
      <alignment horizontal="right"/>
    </xf>
    <xf numFmtId="0" fontId="225" fillId="0" borderId="0" xfId="2608" applyFont="1" applyFill="1" applyBorder="1" applyAlignment="1" applyProtection="1">
      <alignment horizontal="right"/>
    </xf>
    <xf numFmtId="0" fontId="6" fillId="0" borderId="61" xfId="2608" applyFont="1" applyFill="1" applyBorder="1" applyAlignment="1" applyProtection="1">
      <alignment horizontal="center" vertical="center"/>
    </xf>
    <xf numFmtId="0" fontId="6" fillId="0" borderId="16" xfId="2608" applyFont="1" applyFill="1" applyBorder="1" applyAlignment="1" applyProtection="1">
      <alignment vertical="center"/>
    </xf>
    <xf numFmtId="0" fontId="243" fillId="0" borderId="57" xfId="2608" applyFont="1" applyFill="1" applyBorder="1" applyAlignment="1" applyProtection="1">
      <alignment horizontal="center" vertical="center"/>
    </xf>
    <xf numFmtId="0" fontId="6" fillId="0" borderId="57" xfId="2608" applyFont="1" applyFill="1" applyBorder="1" applyAlignment="1" applyProtection="1">
      <alignment horizontal="center" vertical="center"/>
    </xf>
    <xf numFmtId="0" fontId="6" fillId="0" borderId="19" xfId="2608" applyFont="1" applyFill="1" applyBorder="1" applyAlignment="1" applyProtection="1">
      <alignment horizontal="center" vertical="center"/>
    </xf>
    <xf numFmtId="0" fontId="179" fillId="0" borderId="0" xfId="2608" applyFont="1" applyFill="1" applyBorder="1" applyAlignment="1" applyProtection="1">
      <alignment horizontal="center" vertical="center" shrinkToFit="1"/>
    </xf>
    <xf numFmtId="0" fontId="247" fillId="0" borderId="16" xfId="2608" applyFont="1" applyFill="1" applyBorder="1" applyAlignment="1" applyProtection="1">
      <alignment horizontal="center" vertical="center"/>
    </xf>
    <xf numFmtId="0" fontId="243" fillId="0" borderId="19" xfId="2608" applyFont="1" applyFill="1" applyBorder="1" applyAlignment="1" applyProtection="1">
      <alignment horizontal="center" vertical="center"/>
    </xf>
    <xf numFmtId="0" fontId="243" fillId="0" borderId="16" xfId="2608" applyFont="1" applyFill="1" applyBorder="1" applyAlignment="1" applyProtection="1">
      <alignment horizontal="center" vertical="center" shrinkToFit="1"/>
    </xf>
    <xf numFmtId="0" fontId="179" fillId="0" borderId="19" xfId="2608" applyFont="1" applyFill="1" applyBorder="1" applyAlignment="1" applyProtection="1">
      <alignment horizontal="center" vertical="center"/>
    </xf>
    <xf numFmtId="0" fontId="179" fillId="0" borderId="15" xfId="2608" applyFont="1" applyFill="1" applyBorder="1" applyAlignment="1" applyProtection="1">
      <alignment horizontal="center" vertical="center" shrinkToFit="1"/>
    </xf>
    <xf numFmtId="0" fontId="179" fillId="0" borderId="16" xfId="2608" applyFont="1" applyFill="1" applyBorder="1" applyAlignment="1" applyProtection="1">
      <alignment horizontal="center" vertical="center"/>
    </xf>
    <xf numFmtId="0" fontId="179" fillId="0" borderId="16" xfId="2608" applyFont="1" applyFill="1" applyBorder="1" applyAlignment="1" applyProtection="1">
      <alignment vertical="center"/>
    </xf>
    <xf numFmtId="0" fontId="6" fillId="0" borderId="16" xfId="2608" applyFont="1" applyFill="1" applyBorder="1" applyAlignment="1" applyProtection="1">
      <alignment horizontal="center" vertical="center"/>
    </xf>
    <xf numFmtId="176" fontId="179" fillId="0" borderId="0" xfId="2608" applyNumberFormat="1" applyFont="1" applyFill="1" applyBorder="1" applyAlignment="1" applyProtection="1">
      <alignment horizontal="center"/>
    </xf>
    <xf numFmtId="41" fontId="179" fillId="0" borderId="0" xfId="4223" applyNumberFormat="1" applyFont="1" applyFill="1" applyBorder="1" applyAlignment="1" applyProtection="1">
      <alignment horizontal="right"/>
    </xf>
    <xf numFmtId="176" fontId="179" fillId="0" borderId="0" xfId="4220" applyNumberFormat="1" applyFont="1" applyFill="1" applyBorder="1" applyAlignment="1" applyProtection="1">
      <alignment horizontal="right"/>
    </xf>
    <xf numFmtId="176" fontId="179" fillId="0" borderId="0" xfId="2608" applyNumberFormat="1" applyFont="1" applyFill="1" applyBorder="1" applyAlignment="1" applyProtection="1">
      <alignment horizontal="right"/>
    </xf>
    <xf numFmtId="41" fontId="179" fillId="0" borderId="0" xfId="2608" applyNumberFormat="1" applyFont="1" applyFill="1" applyBorder="1" applyAlignment="1" applyProtection="1">
      <alignment horizontal="center"/>
    </xf>
    <xf numFmtId="41" fontId="179" fillId="0" borderId="0" xfId="2608" applyNumberFormat="1" applyFont="1" applyFill="1" applyBorder="1" applyAlignment="1" applyProtection="1">
      <alignment horizontal="right"/>
    </xf>
    <xf numFmtId="41" fontId="179" fillId="0" borderId="0" xfId="2608" applyNumberFormat="1" applyFont="1" applyFill="1" applyBorder="1" applyAlignment="1" applyProtection="1">
      <alignment horizontal="left"/>
    </xf>
    <xf numFmtId="0" fontId="207" fillId="0" borderId="0" xfId="2608" applyFont="1" applyFill="1" applyProtection="1"/>
    <xf numFmtId="0" fontId="258" fillId="0" borderId="0" xfId="2608" applyFont="1" applyFill="1" applyBorder="1" applyAlignment="1" applyProtection="1">
      <alignment horizontal="left"/>
    </xf>
    <xf numFmtId="176" fontId="206" fillId="0" borderId="0" xfId="4220" applyNumberFormat="1" applyFont="1" applyFill="1" applyBorder="1" applyAlignment="1" applyProtection="1">
      <alignment horizontal="right"/>
    </xf>
    <xf numFmtId="176" fontId="206" fillId="0" borderId="0" xfId="2608" applyNumberFormat="1" applyFont="1" applyFill="1" applyBorder="1" applyAlignment="1" applyProtection="1">
      <alignment horizontal="center"/>
    </xf>
    <xf numFmtId="176" fontId="206" fillId="0" borderId="0" xfId="4220" applyNumberFormat="1" applyFont="1" applyFill="1" applyBorder="1" applyAlignment="1" applyProtection="1">
      <alignment horizontal="center"/>
    </xf>
    <xf numFmtId="0" fontId="206" fillId="0" borderId="0" xfId="2608" applyFont="1" applyFill="1" applyAlignment="1" applyProtection="1"/>
    <xf numFmtId="0" fontId="206" fillId="0" borderId="0" xfId="2608" applyFont="1" applyFill="1" applyBorder="1" applyAlignment="1" applyProtection="1"/>
    <xf numFmtId="176" fontId="6" fillId="0" borderId="0" xfId="2" applyNumberFormat="1" applyFont="1" applyFill="1" applyProtection="1"/>
    <xf numFmtId="176" fontId="205" fillId="0" borderId="0" xfId="2" applyNumberFormat="1" applyFont="1" applyFill="1" applyProtection="1"/>
    <xf numFmtId="0" fontId="179" fillId="0" borderId="19" xfId="2" applyFont="1" applyFill="1" applyBorder="1" applyAlignment="1" applyProtection="1">
      <alignment vertical="center"/>
    </xf>
    <xf numFmtId="0" fontId="7" fillId="0" borderId="15" xfId="4226" applyFont="1" applyFill="1" applyBorder="1" applyAlignment="1">
      <alignment horizontal="distributed"/>
    </xf>
    <xf numFmtId="41" fontId="7" fillId="0" borderId="15" xfId="4228" applyFont="1" applyFill="1" applyBorder="1" applyAlignment="1">
      <alignment horizontal="center"/>
    </xf>
    <xf numFmtId="0" fontId="214" fillId="0" borderId="0" xfId="2" applyFont="1" applyFill="1" applyAlignment="1" applyProtection="1">
      <alignment horizontal="center" vertical="center"/>
    </xf>
    <xf numFmtId="0" fontId="52" fillId="0" borderId="0" xfId="2" applyFont="1" applyFill="1" applyAlignment="1" applyProtection="1">
      <alignment horizontal="right" vertical="top"/>
    </xf>
    <xf numFmtId="0" fontId="52" fillId="0" borderId="0" xfId="2" applyFont="1" applyFill="1" applyAlignment="1" applyProtection="1">
      <alignment horizontal="left" vertical="top"/>
    </xf>
    <xf numFmtId="0" fontId="213" fillId="0" borderId="0" xfId="2" applyFont="1" applyFill="1" applyAlignment="1" applyProtection="1">
      <alignment horizontal="center" vertical="center"/>
    </xf>
    <xf numFmtId="0" fontId="214" fillId="0" borderId="0" xfId="2" applyFont="1" applyFill="1" applyAlignment="1" applyProtection="1">
      <alignment horizontal="center"/>
    </xf>
    <xf numFmtId="0" fontId="216" fillId="0" borderId="0" xfId="2" applyFont="1" applyFill="1" applyAlignment="1" applyProtection="1">
      <alignment horizontal="left" vertical="top"/>
    </xf>
    <xf numFmtId="0" fontId="213" fillId="0" borderId="0" xfId="2" applyFont="1" applyFill="1" applyAlignment="1" applyProtection="1">
      <alignment horizontal="center" vertical="center" wrapText="1"/>
    </xf>
    <xf numFmtId="0" fontId="214" fillId="0" borderId="0" xfId="2608" applyFont="1" applyFill="1" applyAlignment="1" applyProtection="1">
      <alignment horizontal="center" vertical="center"/>
    </xf>
    <xf numFmtId="0" fontId="255" fillId="0" borderId="0" xfId="2" applyFont="1" applyFill="1" applyAlignment="1" applyProtection="1">
      <alignment horizontal="right"/>
    </xf>
    <xf numFmtId="0" fontId="218" fillId="0" borderId="0" xfId="2608" applyFont="1" applyFill="1" applyAlignment="1" applyProtection="1">
      <alignment horizontal="center"/>
    </xf>
    <xf numFmtId="0" fontId="227" fillId="0" borderId="0" xfId="2608" applyFont="1" applyFill="1" applyAlignment="1" applyProtection="1">
      <alignment horizontal="center"/>
    </xf>
    <xf numFmtId="0" fontId="249" fillId="0" borderId="0" xfId="0" applyFont="1" applyAlignment="1">
      <alignment horizontal="center" vertical="center"/>
    </xf>
    <xf numFmtId="0" fontId="248" fillId="0" borderId="0" xfId="2" applyFont="1" applyFill="1" applyAlignment="1" applyProtection="1">
      <alignment horizontal="center"/>
    </xf>
    <xf numFmtId="0" fontId="214" fillId="0" borderId="0" xfId="1" applyFont="1" applyFill="1" applyAlignment="1" applyProtection="1">
      <alignment horizontal="center" vertical="center"/>
    </xf>
    <xf numFmtId="0" fontId="214" fillId="0" borderId="0" xfId="2608" applyFont="1" applyFill="1" applyBorder="1" applyAlignment="1" applyProtection="1">
      <alignment horizontal="center" vertical="center"/>
    </xf>
    <xf numFmtId="0" fontId="248" fillId="0" borderId="0" xfId="2" applyFont="1" applyFill="1" applyAlignment="1" applyProtection="1">
      <alignment vertical="center"/>
    </xf>
    <xf numFmtId="0" fontId="214" fillId="0" borderId="0" xfId="2" applyFont="1" applyFill="1" applyAlignment="1" applyProtection="1">
      <alignment horizontal="center" vertical="center"/>
    </xf>
    <xf numFmtId="0" fontId="214" fillId="0" borderId="0" xfId="2" applyFont="1" applyFill="1" applyAlignment="1" applyProtection="1">
      <alignment horizontal="center"/>
    </xf>
    <xf numFmtId="0" fontId="217" fillId="0" borderId="0" xfId="2" applyFont="1" applyFill="1" applyAlignment="1" applyProtection="1">
      <alignment horizontal="center" vertical="center" wrapText="1"/>
    </xf>
    <xf numFmtId="0" fontId="216" fillId="0" borderId="0" xfId="2" applyFont="1" applyFill="1" applyAlignment="1" applyProtection="1">
      <alignment horizontal="right" vertical="top"/>
    </xf>
    <xf numFmtId="0" fontId="248" fillId="0" borderId="0" xfId="2" applyFont="1" applyFill="1" applyAlignment="1" applyProtection="1">
      <alignment horizontal="center" vertical="center"/>
    </xf>
    <xf numFmtId="0" fontId="218" fillId="0" borderId="0" xfId="2608" applyFont="1" applyFill="1" applyAlignment="1" applyProtection="1">
      <alignment horizontal="center" vertical="center" shrinkToFit="1"/>
    </xf>
    <xf numFmtId="0" fontId="218" fillId="0" borderId="0" xfId="2" applyFont="1" applyFill="1" applyAlignment="1" applyProtection="1">
      <alignment horizontal="center" vertical="center"/>
    </xf>
    <xf numFmtId="0" fontId="218" fillId="0" borderId="0" xfId="2" applyFont="1" applyFill="1" applyAlignment="1" applyProtection="1">
      <alignment horizontal="center"/>
    </xf>
    <xf numFmtId="0" fontId="52" fillId="0" borderId="0" xfId="2" applyFont="1" applyFill="1" applyAlignment="1" applyProtection="1">
      <alignment horizontal="right" vertical="top"/>
    </xf>
    <xf numFmtId="0" fontId="227" fillId="0" borderId="0" xfId="2608" applyFont="1" applyFill="1" applyAlignment="1" applyProtection="1">
      <alignment horizontal="center"/>
    </xf>
    <xf numFmtId="0" fontId="218" fillId="0" borderId="0" xfId="1" applyFont="1" applyFill="1" applyAlignment="1" applyProtection="1">
      <alignment horizontal="center" vertical="center"/>
    </xf>
    <xf numFmtId="0" fontId="255" fillId="0" borderId="0" xfId="2" applyFont="1" applyFill="1" applyAlignment="1" applyProtection="1"/>
    <xf numFmtId="0" fontId="260" fillId="0" borderId="15" xfId="2" applyFont="1" applyFill="1" applyBorder="1" applyAlignment="1" applyProtection="1">
      <alignment horizontal="center"/>
    </xf>
    <xf numFmtId="0" fontId="262" fillId="0" borderId="10" xfId="2" applyFont="1" applyFill="1" applyBorder="1" applyAlignment="1" applyProtection="1">
      <alignment horizontal="center" vertical="center"/>
    </xf>
    <xf numFmtId="0" fontId="260" fillId="0" borderId="56" xfId="2" applyFont="1" applyFill="1" applyBorder="1" applyAlignment="1" applyProtection="1">
      <alignment horizontal="centerContinuous" vertical="center"/>
    </xf>
    <xf numFmtId="0" fontId="260" fillId="0" borderId="11" xfId="2" applyFont="1" applyFill="1" applyBorder="1" applyAlignment="1" applyProtection="1">
      <alignment horizontal="centerContinuous" vertical="center"/>
    </xf>
    <xf numFmtId="0" fontId="262" fillId="0" borderId="56" xfId="2" applyFont="1" applyFill="1" applyBorder="1" applyAlignment="1" applyProtection="1">
      <alignment horizontal="centerContinuous" vertical="center"/>
    </xf>
    <xf numFmtId="0" fontId="262" fillId="0" borderId="14" xfId="2" applyFont="1" applyFill="1" applyBorder="1" applyAlignment="1" applyProtection="1">
      <alignment horizontal="centerContinuous" vertical="center"/>
    </xf>
    <xf numFmtId="0" fontId="262" fillId="0" borderId="15" xfId="2" applyFont="1" applyFill="1" applyBorder="1" applyAlignment="1" applyProtection="1">
      <alignment horizontal="center" vertical="center"/>
    </xf>
    <xf numFmtId="0" fontId="262" fillId="0" borderId="16" xfId="2" applyFont="1" applyFill="1" applyBorder="1" applyAlignment="1" applyProtection="1">
      <alignment horizontal="center" vertical="center"/>
    </xf>
    <xf numFmtId="0" fontId="262" fillId="0" borderId="17" xfId="2" applyFont="1" applyFill="1" applyBorder="1" applyAlignment="1" applyProtection="1">
      <alignment horizontal="center" vertical="center"/>
    </xf>
    <xf numFmtId="0" fontId="262" fillId="0" borderId="60" xfId="2" applyFont="1" applyFill="1" applyBorder="1" applyAlignment="1" applyProtection="1">
      <alignment horizontal="center" vertical="center"/>
    </xf>
    <xf numFmtId="0" fontId="262" fillId="0" borderId="20" xfId="2" applyFont="1" applyFill="1" applyBorder="1" applyAlignment="1" applyProtection="1">
      <alignment horizontal="center" vertical="center"/>
    </xf>
    <xf numFmtId="0" fontId="260" fillId="0" borderId="21" xfId="2" applyFont="1" applyFill="1" applyBorder="1" applyAlignment="1" applyProtection="1">
      <alignment horizontal="center" vertical="center"/>
    </xf>
    <xf numFmtId="0" fontId="260" fillId="0" borderId="20" xfId="2" applyFont="1" applyFill="1" applyBorder="1" applyAlignment="1" applyProtection="1">
      <alignment horizontal="center" vertical="center"/>
    </xf>
    <xf numFmtId="0" fontId="260" fillId="0" borderId="23" xfId="2" applyFont="1" applyFill="1" applyBorder="1" applyAlignment="1" applyProtection="1">
      <alignment horizontal="center" vertical="center"/>
    </xf>
    <xf numFmtId="41" fontId="260" fillId="0" borderId="0" xfId="4228" applyFont="1" applyFill="1" applyBorder="1">
      <alignment vertical="center"/>
    </xf>
    <xf numFmtId="0" fontId="259" fillId="0" borderId="10" xfId="2" applyFont="1" applyFill="1" applyBorder="1" applyAlignment="1" applyProtection="1">
      <alignment horizontal="center" vertical="center"/>
    </xf>
    <xf numFmtId="0" fontId="259" fillId="0" borderId="61" xfId="2" applyFont="1" applyFill="1" applyBorder="1" applyAlignment="1" applyProtection="1">
      <alignment horizontal="center" vertical="center"/>
    </xf>
    <xf numFmtId="0" fontId="259" fillId="0" borderId="11" xfId="2" applyFont="1" applyFill="1" applyBorder="1" applyAlignment="1" applyProtection="1">
      <alignment horizontal="center" vertical="center"/>
    </xf>
    <xf numFmtId="0" fontId="259" fillId="0" borderId="15" xfId="2" applyFont="1" applyFill="1" applyBorder="1" applyAlignment="1" applyProtection="1">
      <alignment horizontal="center" vertical="center"/>
    </xf>
    <xf numFmtId="0" fontId="259" fillId="0" borderId="16" xfId="2" applyFont="1" applyFill="1" applyBorder="1" applyAlignment="1" applyProtection="1">
      <alignment horizontal="center" vertical="center"/>
    </xf>
    <xf numFmtId="0" fontId="259" fillId="0" borderId="19" xfId="2" applyFont="1" applyFill="1" applyBorder="1" applyAlignment="1" applyProtection="1">
      <alignment horizontal="center" vertical="center"/>
    </xf>
    <xf numFmtId="0" fontId="259" fillId="0" borderId="20" xfId="2" applyFont="1" applyFill="1" applyBorder="1" applyAlignment="1" applyProtection="1">
      <alignment horizontal="center" vertical="center"/>
    </xf>
    <xf numFmtId="0" fontId="259" fillId="0" borderId="21" xfId="2" applyFont="1" applyFill="1" applyBorder="1" applyAlignment="1" applyProtection="1">
      <alignment horizontal="center" vertical="center"/>
    </xf>
    <xf numFmtId="0" fontId="259" fillId="0" borderId="22" xfId="2" applyFont="1" applyFill="1" applyBorder="1" applyAlignment="1" applyProtection="1">
      <alignment horizontal="center" vertical="center"/>
    </xf>
    <xf numFmtId="0" fontId="249" fillId="0" borderId="0" xfId="0" applyFont="1" applyAlignment="1">
      <alignment vertical="center"/>
    </xf>
    <xf numFmtId="0" fontId="52" fillId="0" borderId="0" xfId="1" applyFont="1" applyFill="1" applyAlignment="1" applyProtection="1">
      <alignment vertical="top"/>
    </xf>
    <xf numFmtId="0" fontId="52" fillId="0" borderId="0" xfId="2" applyFont="1" applyFill="1" applyAlignment="1" applyProtection="1"/>
    <xf numFmtId="41" fontId="179" fillId="131" borderId="0" xfId="0" applyNumberFormat="1" applyFont="1" applyFill="1" applyBorder="1">
      <alignment vertical="center"/>
    </xf>
    <xf numFmtId="41" fontId="207" fillId="131" borderId="0" xfId="0" applyNumberFormat="1" applyFont="1" applyFill="1" applyBorder="1">
      <alignment vertical="center"/>
    </xf>
    <xf numFmtId="41" fontId="179" fillId="131" borderId="67" xfId="0" applyNumberFormat="1" applyFont="1" applyFill="1" applyBorder="1">
      <alignment vertical="center"/>
    </xf>
    <xf numFmtId="41" fontId="179" fillId="131" borderId="39" xfId="0" applyNumberFormat="1" applyFont="1" applyFill="1" applyBorder="1">
      <alignment vertical="center"/>
    </xf>
    <xf numFmtId="41" fontId="207" fillId="131" borderId="19" xfId="0" applyNumberFormat="1" applyFont="1" applyFill="1" applyBorder="1" applyAlignment="1">
      <alignment vertical="center"/>
    </xf>
    <xf numFmtId="41" fontId="207" fillId="131" borderId="0" xfId="0" applyNumberFormat="1" applyFont="1" applyFill="1" applyBorder="1" applyAlignment="1">
      <alignment vertical="center"/>
    </xf>
    <xf numFmtId="41" fontId="179" fillId="131" borderId="19" xfId="0" applyNumberFormat="1" applyFont="1" applyFill="1" applyBorder="1" applyAlignment="1">
      <alignment vertical="center"/>
    </xf>
    <xf numFmtId="41" fontId="179" fillId="131" borderId="67" xfId="0" applyNumberFormat="1" applyFont="1" applyFill="1" applyBorder="1" applyAlignment="1">
      <alignment vertical="center"/>
    </xf>
    <xf numFmtId="41" fontId="219" fillId="131" borderId="67" xfId="2605" applyNumberFormat="1" applyFont="1" applyFill="1" applyBorder="1" applyAlignment="1" applyProtection="1">
      <alignment horizontal="right"/>
    </xf>
    <xf numFmtId="41" fontId="219" fillId="131" borderId="39" xfId="2605" applyNumberFormat="1" applyFont="1" applyFill="1" applyBorder="1" applyAlignment="1" applyProtection="1">
      <alignment horizontal="right"/>
    </xf>
    <xf numFmtId="41" fontId="207" fillId="131" borderId="0" xfId="0" applyNumberFormat="1" applyFont="1" applyFill="1" applyBorder="1" applyAlignment="1">
      <alignment horizontal="right"/>
    </xf>
    <xf numFmtId="41" fontId="207" fillId="131" borderId="0" xfId="3" applyNumberFormat="1" applyFont="1" applyFill="1" applyBorder="1" applyAlignment="1" applyProtection="1">
      <alignment horizontal="right"/>
    </xf>
    <xf numFmtId="41" fontId="179" fillId="131" borderId="0" xfId="0" applyNumberFormat="1" applyFont="1" applyFill="1" applyBorder="1" applyAlignment="1">
      <alignment horizontal="right"/>
    </xf>
    <xf numFmtId="41" fontId="207" fillId="131" borderId="0" xfId="2604" applyNumberFormat="1" applyFont="1" applyFill="1" applyBorder="1" applyProtection="1">
      <protection locked="0"/>
    </xf>
    <xf numFmtId="41" fontId="179" fillId="131" borderId="19" xfId="3" applyNumberFormat="1" applyFont="1" applyFill="1" applyBorder="1" applyAlignment="1" applyProtection="1">
      <alignment horizontal="right"/>
    </xf>
    <xf numFmtId="41" fontId="179" fillId="131" borderId="0" xfId="2604" applyNumberFormat="1" applyFont="1" applyFill="1" applyBorder="1" applyProtection="1">
      <protection locked="0"/>
    </xf>
    <xf numFmtId="41" fontId="179" fillId="131" borderId="67" xfId="3" applyNumberFormat="1" applyFont="1" applyFill="1" applyBorder="1" applyAlignment="1" applyProtection="1">
      <alignment horizontal="right"/>
    </xf>
    <xf numFmtId="41" fontId="207" fillId="131" borderId="39" xfId="4228" applyFont="1" applyFill="1" applyBorder="1" applyAlignment="1" applyProtection="1">
      <alignment horizontal="right"/>
    </xf>
    <xf numFmtId="41" fontId="207" fillId="131" borderId="39" xfId="4228" applyFont="1" applyFill="1" applyBorder="1" applyAlignment="1" applyProtection="1"/>
    <xf numFmtId="41" fontId="207" fillId="131" borderId="39" xfId="4228" applyFont="1" applyFill="1" applyBorder="1" applyAlignment="1" applyProtection="1">
      <alignment horizontal="center"/>
    </xf>
    <xf numFmtId="41" fontId="207" fillId="131" borderId="66" xfId="4228" applyFont="1" applyFill="1" applyBorder="1" applyAlignment="1" applyProtection="1">
      <alignment horizontal="center"/>
    </xf>
    <xf numFmtId="41" fontId="207" fillId="131" borderId="19" xfId="4228" applyFont="1" applyFill="1" applyBorder="1">
      <alignment vertical="center"/>
    </xf>
    <xf numFmtId="41" fontId="207" fillId="131" borderId="0" xfId="4228" applyFont="1" applyFill="1" applyBorder="1">
      <alignment vertical="center"/>
    </xf>
    <xf numFmtId="41" fontId="219" fillId="131" borderId="19" xfId="0" applyNumberFormat="1" applyFont="1" applyFill="1" applyBorder="1">
      <alignment vertical="center"/>
    </xf>
    <xf numFmtId="41" fontId="219" fillId="131" borderId="0" xfId="0" applyNumberFormat="1" applyFont="1" applyFill="1" applyBorder="1">
      <alignment vertical="center"/>
    </xf>
    <xf numFmtId="41" fontId="7" fillId="131" borderId="0" xfId="0" applyNumberFormat="1" applyFont="1" applyFill="1" applyBorder="1">
      <alignment vertical="center"/>
    </xf>
    <xf numFmtId="41" fontId="7" fillId="131" borderId="19" xfId="0" applyNumberFormat="1" applyFont="1" applyFill="1" applyBorder="1">
      <alignment vertical="center"/>
    </xf>
    <xf numFmtId="41" fontId="7" fillId="131" borderId="67" xfId="0" applyNumberFormat="1" applyFont="1" applyFill="1" applyBorder="1">
      <alignment vertical="center"/>
    </xf>
    <xf numFmtId="41" fontId="7" fillId="131" borderId="71" xfId="0" applyNumberFormat="1" applyFont="1" applyFill="1" applyBorder="1">
      <alignment vertical="center"/>
    </xf>
    <xf numFmtId="41" fontId="207" fillId="131" borderId="19" xfId="4228" applyNumberFormat="1" applyFont="1" applyFill="1" applyBorder="1">
      <alignment vertical="center"/>
    </xf>
    <xf numFmtId="41" fontId="207" fillId="131" borderId="0" xfId="4228" applyNumberFormat="1" applyFont="1" applyFill="1" applyBorder="1">
      <alignment vertical="center"/>
    </xf>
    <xf numFmtId="41" fontId="179" fillId="131" borderId="19" xfId="4228" applyNumberFormat="1" applyFont="1" applyFill="1" applyBorder="1">
      <alignment vertical="center"/>
    </xf>
    <xf numFmtId="41" fontId="179" fillId="131" borderId="0" xfId="4228" applyNumberFormat="1" applyFont="1" applyFill="1" applyBorder="1">
      <alignment vertical="center"/>
    </xf>
    <xf numFmtId="41" fontId="7" fillId="131" borderId="19" xfId="4228" applyNumberFormat="1" applyFont="1" applyFill="1" applyBorder="1">
      <alignment vertical="center"/>
    </xf>
    <xf numFmtId="41" fontId="7" fillId="131" borderId="0" xfId="4228" applyNumberFormat="1" applyFont="1" applyFill="1" applyBorder="1">
      <alignment vertical="center"/>
    </xf>
    <xf numFmtId="41" fontId="179" fillId="131" borderId="67" xfId="4228" applyNumberFormat="1" applyFont="1" applyFill="1" applyBorder="1">
      <alignment vertical="center"/>
    </xf>
    <xf numFmtId="41" fontId="179" fillId="131" borderId="71" xfId="4228" applyNumberFormat="1" applyFont="1" applyFill="1" applyBorder="1">
      <alignment vertical="center"/>
    </xf>
    <xf numFmtId="41" fontId="179" fillId="0" borderId="71" xfId="4228" applyNumberFormat="1" applyFont="1" applyFill="1" applyBorder="1">
      <alignment vertical="center"/>
    </xf>
    <xf numFmtId="41" fontId="179" fillId="131" borderId="19" xfId="0" applyNumberFormat="1" applyFont="1" applyFill="1" applyBorder="1">
      <alignment vertical="center"/>
    </xf>
    <xf numFmtId="41" fontId="207" fillId="131" borderId="71" xfId="0" applyNumberFormat="1" applyFont="1" applyFill="1" applyBorder="1">
      <alignment vertical="center"/>
    </xf>
    <xf numFmtId="0" fontId="179" fillId="0" borderId="22" xfId="2" applyFont="1" applyFill="1" applyBorder="1" applyAlignment="1" applyProtection="1">
      <alignment horizontal="center" vertical="center"/>
    </xf>
    <xf numFmtId="0" fontId="214" fillId="0" borderId="0" xfId="2" applyFont="1" applyFill="1" applyAlignment="1" applyProtection="1">
      <alignment horizontal="center" vertical="center"/>
    </xf>
    <xf numFmtId="0" fontId="6" fillId="0" borderId="10" xfId="2" applyFont="1" applyFill="1" applyBorder="1" applyAlignment="1" applyProtection="1">
      <alignment horizontal="center" vertical="center"/>
    </xf>
    <xf numFmtId="0" fontId="179" fillId="0" borderId="19" xfId="2" applyFont="1" applyFill="1" applyBorder="1" applyAlignment="1" applyProtection="1">
      <alignment horizontal="center" vertical="center"/>
    </xf>
    <xf numFmtId="0" fontId="52" fillId="0" borderId="0" xfId="2" applyFont="1" applyFill="1" applyAlignment="1" applyProtection="1">
      <alignment horizontal="right" vertical="top"/>
    </xf>
    <xf numFmtId="0" fontId="6" fillId="0" borderId="15" xfId="2" applyFont="1" applyFill="1" applyBorder="1" applyAlignment="1" applyProtection="1">
      <alignment horizontal="center" vertical="center"/>
    </xf>
    <xf numFmtId="0" fontId="179" fillId="0" borderId="21" xfId="2" applyFont="1" applyFill="1" applyBorder="1" applyAlignment="1" applyProtection="1">
      <alignment horizontal="center" vertical="center"/>
    </xf>
    <xf numFmtId="0" fontId="214" fillId="0" borderId="0" xfId="2608" applyFont="1" applyFill="1" applyBorder="1" applyAlignment="1" applyProtection="1">
      <alignment horizontal="center" vertical="center"/>
    </xf>
    <xf numFmtId="208" fontId="207" fillId="131" borderId="0" xfId="0" applyNumberFormat="1" applyFont="1" applyFill="1" applyBorder="1">
      <alignment vertical="center"/>
    </xf>
    <xf numFmtId="41" fontId="179" fillId="0" borderId="71" xfId="4228" applyFont="1" applyFill="1" applyBorder="1">
      <alignment vertical="center"/>
    </xf>
    <xf numFmtId="41" fontId="219" fillId="131" borderId="19" xfId="3" applyNumberFormat="1" applyFont="1" applyFill="1" applyBorder="1" applyAlignment="1" applyProtection="1">
      <alignment horizontal="right"/>
    </xf>
    <xf numFmtId="41" fontId="219" fillId="131" borderId="0" xfId="3" applyNumberFormat="1" applyFont="1" applyFill="1" applyBorder="1" applyAlignment="1" applyProtection="1">
      <alignment horizontal="right"/>
    </xf>
    <xf numFmtId="41" fontId="7" fillId="131" borderId="19" xfId="3" applyNumberFormat="1" applyFont="1" applyFill="1" applyBorder="1" applyAlignment="1" applyProtection="1">
      <alignment horizontal="right"/>
    </xf>
    <xf numFmtId="41" fontId="7" fillId="131" borderId="67" xfId="3" applyNumberFormat="1" applyFont="1" applyFill="1" applyBorder="1" applyAlignment="1" applyProtection="1">
      <alignment horizontal="right"/>
    </xf>
    <xf numFmtId="176" fontId="219" fillId="131" borderId="67" xfId="3" applyNumberFormat="1" applyFont="1" applyFill="1" applyBorder="1" applyAlignment="1" applyProtection="1">
      <alignment horizontal="right"/>
    </xf>
    <xf numFmtId="41" fontId="219" fillId="131" borderId="19" xfId="1523" applyFont="1" applyFill="1" applyBorder="1" applyAlignment="1" applyProtection="1">
      <alignment horizontal="center"/>
    </xf>
    <xf numFmtId="41" fontId="219" fillId="131" borderId="0" xfId="1523" applyFont="1" applyFill="1" applyBorder="1" applyAlignment="1" applyProtection="1">
      <alignment horizontal="center"/>
    </xf>
    <xf numFmtId="41" fontId="219" fillId="131" borderId="0" xfId="1597" applyNumberFormat="1" applyFont="1" applyFill="1" applyBorder="1" applyProtection="1"/>
    <xf numFmtId="41" fontId="7" fillId="131" borderId="19" xfId="1523" applyFont="1" applyFill="1" applyBorder="1" applyAlignment="1" applyProtection="1">
      <alignment horizontal="center"/>
    </xf>
    <xf numFmtId="41" fontId="7" fillId="131" borderId="67" xfId="1523" applyFont="1" applyFill="1" applyBorder="1" applyAlignment="1" applyProtection="1">
      <alignment horizontal="center"/>
    </xf>
    <xf numFmtId="41" fontId="7" fillId="131" borderId="0" xfId="1597" applyNumberFormat="1" applyFont="1" applyFill="1" applyBorder="1" applyProtection="1"/>
    <xf numFmtId="41" fontId="179" fillId="0" borderId="71" xfId="0" applyNumberFormat="1" applyFont="1" applyFill="1" applyBorder="1">
      <alignment vertical="center"/>
    </xf>
    <xf numFmtId="0" fontId="227" fillId="0" borderId="0" xfId="2608" applyFont="1" applyFill="1" applyAlignment="1" applyProtection="1">
      <alignment horizontal="center"/>
    </xf>
    <xf numFmtId="0" fontId="7" fillId="0" borderId="22" xfId="2" applyFont="1" applyFill="1" applyBorder="1" applyAlignment="1" applyProtection="1">
      <alignment horizontal="center" vertical="center"/>
    </xf>
    <xf numFmtId="0" fontId="7" fillId="0" borderId="23" xfId="2" applyFont="1" applyFill="1" applyBorder="1" applyAlignment="1" applyProtection="1">
      <alignment horizontal="center" vertical="center"/>
    </xf>
    <xf numFmtId="0" fontId="7" fillId="0" borderId="20" xfId="2" applyFont="1" applyFill="1" applyBorder="1" applyAlignment="1" applyProtection="1">
      <alignment horizontal="center" vertical="center"/>
    </xf>
    <xf numFmtId="0" fontId="7" fillId="0" borderId="20" xfId="2" applyFont="1" applyFill="1" applyBorder="1" applyAlignment="1" applyProtection="1">
      <alignment horizontal="center" vertical="center"/>
    </xf>
    <xf numFmtId="0" fontId="208" fillId="0" borderId="16" xfId="2" applyFont="1" applyFill="1" applyBorder="1" applyAlignment="1" applyProtection="1">
      <alignment horizontal="centerContinuous" vertical="center"/>
    </xf>
    <xf numFmtId="41" fontId="179" fillId="0" borderId="15" xfId="0" applyNumberFormat="1" applyFont="1" applyFill="1" applyBorder="1">
      <alignment vertical="center"/>
    </xf>
    <xf numFmtId="41" fontId="207" fillId="131" borderId="15" xfId="0" applyNumberFormat="1" applyFont="1" applyFill="1" applyBorder="1">
      <alignment vertical="center"/>
    </xf>
    <xf numFmtId="41" fontId="179" fillId="0" borderId="66" xfId="0" applyNumberFormat="1" applyFont="1" applyFill="1" applyBorder="1">
      <alignment vertical="center"/>
    </xf>
    <xf numFmtId="0" fontId="7" fillId="0" borderId="61" xfId="2" applyFont="1" applyFill="1" applyBorder="1" applyAlignment="1" applyProtection="1">
      <alignment horizontal="centerContinuous" vertical="center"/>
    </xf>
    <xf numFmtId="0" fontId="208" fillId="0" borderId="61" xfId="2" applyFont="1" applyFill="1" applyBorder="1" applyAlignment="1" applyProtection="1">
      <alignment horizontal="center" vertical="center"/>
    </xf>
    <xf numFmtId="0" fontId="208" fillId="0" borderId="11" xfId="2" applyFont="1" applyFill="1" applyBorder="1" applyAlignment="1" applyProtection="1">
      <alignment horizontal="centerContinuous" vertical="center" wrapText="1"/>
    </xf>
    <xf numFmtId="41" fontId="179" fillId="0" borderId="71" xfId="0" applyNumberFormat="1" applyFont="1" applyFill="1" applyBorder="1" applyAlignment="1">
      <alignment horizontal="right"/>
    </xf>
    <xf numFmtId="0" fontId="7" fillId="0" borderId="20" xfId="2608" applyFont="1" applyFill="1" applyBorder="1" applyAlignment="1" applyProtection="1">
      <alignment horizontal="center" vertical="center" wrapText="1"/>
    </xf>
    <xf numFmtId="41" fontId="219" fillId="0" borderId="71" xfId="4219" applyNumberFormat="1" applyFont="1" applyFill="1" applyBorder="1" applyAlignment="1" applyProtection="1">
      <alignment horizontal="right"/>
    </xf>
    <xf numFmtId="0" fontId="7" fillId="0" borderId="36" xfId="2608" applyFont="1" applyFill="1" applyBorder="1" applyAlignment="1" applyProtection="1">
      <alignment horizontal="center" vertical="center"/>
    </xf>
    <xf numFmtId="0" fontId="263" fillId="0" borderId="0" xfId="2608" applyFont="1" applyFill="1" applyBorder="1" applyAlignment="1" applyProtection="1"/>
    <xf numFmtId="176" fontId="263" fillId="0" borderId="0" xfId="4219" applyNumberFormat="1" applyFont="1" applyFill="1" applyBorder="1" applyAlignment="1" applyProtection="1">
      <alignment horizontal="center"/>
    </xf>
    <xf numFmtId="0" fontId="263" fillId="0" borderId="0" xfId="2608" applyFont="1" applyFill="1" applyBorder="1" applyProtection="1"/>
    <xf numFmtId="0" fontId="263" fillId="0" borderId="0" xfId="2608" applyFont="1" applyFill="1" applyProtection="1"/>
    <xf numFmtId="0" fontId="263" fillId="0" borderId="0" xfId="0" applyFont="1" applyFill="1" applyBorder="1" applyAlignment="1">
      <alignment horizontal="left" vertical="center"/>
    </xf>
    <xf numFmtId="0" fontId="240" fillId="0" borderId="0" xfId="2608" applyFont="1" applyFill="1" applyBorder="1" applyProtection="1"/>
    <xf numFmtId="0" fontId="7" fillId="0" borderId="0" xfId="2608" applyFont="1" applyFill="1" applyBorder="1" applyAlignment="1" applyProtection="1">
      <alignment horizontal="centerContinuous" vertical="center"/>
    </xf>
    <xf numFmtId="0" fontId="208" fillId="0" borderId="57" xfId="2608" applyFont="1" applyFill="1" applyBorder="1" applyAlignment="1" applyProtection="1">
      <alignment horizontal="center" vertical="center" shrinkToFit="1"/>
    </xf>
    <xf numFmtId="0" fontId="208" fillId="0" borderId="18" xfId="2608" applyFont="1" applyFill="1" applyBorder="1" applyAlignment="1" applyProtection="1">
      <alignment horizontal="center" vertical="center" shrinkToFit="1"/>
    </xf>
    <xf numFmtId="0" fontId="208" fillId="0" borderId="16" xfId="2608" applyFont="1" applyFill="1" applyBorder="1" applyAlignment="1" applyProtection="1">
      <alignment horizontal="center" vertical="center" shrinkToFit="1"/>
    </xf>
    <xf numFmtId="0" fontId="208" fillId="0" borderId="19" xfId="2608" applyFont="1" applyFill="1" applyBorder="1" applyAlignment="1" applyProtection="1">
      <alignment horizontal="center" vertical="center" shrinkToFit="1"/>
    </xf>
    <xf numFmtId="0" fontId="7" fillId="0" borderId="16" xfId="2608" applyFont="1" applyFill="1" applyBorder="1" applyAlignment="1" applyProtection="1">
      <alignment horizontal="center" vertical="center" shrinkToFit="1"/>
    </xf>
    <xf numFmtId="0" fontId="7" fillId="0" borderId="19" xfId="2608" applyFont="1" applyFill="1" applyBorder="1" applyAlignment="1" applyProtection="1">
      <alignment horizontal="center" vertical="center" shrinkToFit="1"/>
    </xf>
    <xf numFmtId="0" fontId="218" fillId="0" borderId="0" xfId="2608" applyFont="1" applyFill="1" applyAlignment="1" applyProtection="1">
      <alignment horizontal="center" vertical="center" shrinkToFit="1"/>
    </xf>
    <xf numFmtId="0" fontId="7" fillId="0" borderId="14" xfId="2608" applyFont="1" applyFill="1" applyBorder="1" applyAlignment="1" applyProtection="1">
      <alignment horizontal="center" vertical="center"/>
    </xf>
    <xf numFmtId="0" fontId="52" fillId="0" borderId="0" xfId="2" applyFont="1" applyFill="1" applyAlignment="1" applyProtection="1">
      <alignment horizontal="right" vertical="top"/>
    </xf>
    <xf numFmtId="0" fontId="7" fillId="0" borderId="0" xfId="4457" applyFont="1" applyFill="1" applyAlignment="1">
      <alignment vertical="top"/>
    </xf>
    <xf numFmtId="0" fontId="7" fillId="0" borderId="0" xfId="4457" applyFont="1" applyFill="1" applyBorder="1" applyAlignment="1">
      <alignment horizontal="right" vertical="top"/>
    </xf>
    <xf numFmtId="0" fontId="218" fillId="0" borderId="0" xfId="4457" applyFont="1" applyFill="1" applyBorder="1" applyAlignment="1" applyProtection="1">
      <alignment horizontal="centerContinuous" vertical="center"/>
    </xf>
    <xf numFmtId="0" fontId="227" fillId="0" borderId="0" xfId="4457" applyFont="1" applyFill="1" applyBorder="1" applyAlignment="1" applyProtection="1">
      <alignment horizontal="centerContinuous" vertical="center"/>
    </xf>
    <xf numFmtId="41" fontId="7" fillId="0" borderId="0" xfId="4228" applyFont="1" applyFill="1" applyAlignment="1" applyProtection="1">
      <alignment horizontal="right"/>
    </xf>
    <xf numFmtId="0" fontId="7" fillId="0" borderId="10" xfId="2" applyFont="1" applyFill="1" applyBorder="1" applyAlignment="1" applyProtection="1">
      <alignment horizontal="center" vertical="center"/>
    </xf>
    <xf numFmtId="41" fontId="7" fillId="0" borderId="61" xfId="4228" applyFont="1" applyFill="1" applyBorder="1" applyAlignment="1" applyProtection="1">
      <alignment horizontal="center" vertical="center"/>
    </xf>
    <xf numFmtId="0" fontId="7" fillId="0" borderId="16" xfId="4228" applyNumberFormat="1" applyFont="1" applyFill="1" applyBorder="1" applyAlignment="1" applyProtection="1">
      <alignment horizontal="center" vertical="center"/>
    </xf>
    <xf numFmtId="41" fontId="7" fillId="0" borderId="57" xfId="4228" applyFont="1" applyFill="1" applyBorder="1" applyAlignment="1" applyProtection="1">
      <alignment horizontal="center" vertical="center"/>
    </xf>
    <xf numFmtId="41" fontId="7" fillId="0" borderId="18" xfId="4228" applyFont="1" applyFill="1" applyBorder="1" applyAlignment="1" applyProtection="1">
      <alignment horizontal="center" vertical="center"/>
    </xf>
    <xf numFmtId="41" fontId="260" fillId="0" borderId="19" xfId="4228" applyFont="1" applyFill="1" applyBorder="1">
      <alignment vertical="center"/>
    </xf>
    <xf numFmtId="41" fontId="260" fillId="0" borderId="0" xfId="4228" applyFont="1" applyFill="1" applyBorder="1" applyAlignment="1">
      <alignment horizontal="right" vertical="center"/>
    </xf>
    <xf numFmtId="0" fontId="261" fillId="0" borderId="15" xfId="2608" applyFont="1" applyFill="1" applyBorder="1" applyAlignment="1" applyProtection="1">
      <alignment horizontal="center"/>
    </xf>
    <xf numFmtId="41" fontId="261" fillId="131" borderId="19" xfId="4228" applyFont="1" applyFill="1" applyBorder="1">
      <alignment vertical="center"/>
    </xf>
    <xf numFmtId="41" fontId="261" fillId="131" borderId="0" xfId="4228" applyFont="1" applyFill="1" applyBorder="1">
      <alignment vertical="center"/>
    </xf>
    <xf numFmtId="0" fontId="260" fillId="0" borderId="15" xfId="2" applyFont="1" applyFill="1" applyBorder="1" applyAlignment="1" applyProtection="1">
      <alignment horizontal="centerContinuous"/>
    </xf>
    <xf numFmtId="41" fontId="260" fillId="0" borderId="19" xfId="4228" applyNumberFormat="1" applyFont="1" applyFill="1" applyBorder="1">
      <alignment vertical="center"/>
    </xf>
    <xf numFmtId="41" fontId="260" fillId="0" borderId="0" xfId="4228" applyNumberFormat="1" applyFont="1" applyFill="1" applyBorder="1">
      <alignment vertical="center"/>
    </xf>
    <xf numFmtId="41" fontId="260" fillId="131" borderId="0" xfId="4228" applyFont="1" applyFill="1" applyBorder="1">
      <alignment vertical="center"/>
    </xf>
    <xf numFmtId="0" fontId="260" fillId="0" borderId="66" xfId="2" applyFont="1" applyFill="1" applyBorder="1" applyAlignment="1" applyProtection="1">
      <alignment horizontal="centerContinuous"/>
    </xf>
    <xf numFmtId="41" fontId="260" fillId="0" borderId="67" xfId="4228" applyNumberFormat="1" applyFont="1" applyFill="1" applyBorder="1">
      <alignment vertical="center"/>
    </xf>
    <xf numFmtId="41" fontId="260" fillId="0" borderId="39" xfId="4228" applyNumberFormat="1" applyFont="1" applyFill="1" applyBorder="1">
      <alignment vertical="center"/>
    </xf>
    <xf numFmtId="41" fontId="260" fillId="131" borderId="71" xfId="4228" applyFont="1" applyFill="1" applyBorder="1">
      <alignment vertical="center"/>
    </xf>
    <xf numFmtId="0" fontId="221" fillId="0" borderId="0" xfId="0" applyFont="1" applyFill="1">
      <alignment vertical="center"/>
    </xf>
    <xf numFmtId="41" fontId="260" fillId="0" borderId="0" xfId="4228" applyFont="1" applyFill="1">
      <alignment vertical="center"/>
    </xf>
    <xf numFmtId="176" fontId="7" fillId="0" borderId="0" xfId="4221" applyNumberFormat="1" applyFont="1" applyFill="1" applyBorder="1" applyAlignment="1" applyProtection="1">
      <alignment horizontal="right"/>
    </xf>
    <xf numFmtId="0" fontId="231" fillId="0" borderId="15" xfId="4225" applyFont="1" applyFill="1" applyBorder="1" applyAlignment="1" applyProtection="1">
      <alignment horizontal="center"/>
    </xf>
    <xf numFmtId="0" fontId="232" fillId="0" borderId="66" xfId="2" applyFont="1" applyFill="1" applyBorder="1" applyAlignment="1" applyProtection="1">
      <alignment horizontal="center"/>
    </xf>
    <xf numFmtId="41" fontId="232" fillId="131" borderId="67" xfId="4228" applyFont="1" applyFill="1" applyBorder="1" applyAlignment="1" applyProtection="1">
      <alignment horizontal="right"/>
    </xf>
    <xf numFmtId="0" fontId="6" fillId="0" borderId="57" xfId="2608" applyFont="1" applyFill="1" applyBorder="1" applyAlignment="1" applyProtection="1">
      <alignment horizontal="center" vertical="center" shrinkToFit="1"/>
    </xf>
    <xf numFmtId="0" fontId="6" fillId="0" borderId="16" xfId="2608" applyFont="1" applyFill="1" applyBorder="1" applyAlignment="1" applyProtection="1">
      <alignment horizontal="center" vertical="center" shrinkToFit="1"/>
    </xf>
    <xf numFmtId="0" fontId="218" fillId="0" borderId="0" xfId="1" applyFont="1" applyFill="1" applyAlignment="1" applyProtection="1">
      <alignment horizontal="center" vertical="center"/>
    </xf>
    <xf numFmtId="0" fontId="7" fillId="0" borderId="71" xfId="0" applyFont="1" applyFill="1" applyBorder="1">
      <alignment vertical="center"/>
    </xf>
    <xf numFmtId="41" fontId="7" fillId="131" borderId="71" xfId="1597" applyNumberFormat="1" applyFont="1" applyFill="1" applyBorder="1" applyProtection="1"/>
    <xf numFmtId="0" fontId="7" fillId="0" borderId="18" xfId="2608" applyFont="1" applyFill="1" applyBorder="1" applyAlignment="1" applyProtection="1">
      <alignment horizontal="center" vertical="center"/>
    </xf>
    <xf numFmtId="0" fontId="7" fillId="0" borderId="60" xfId="2608" applyFont="1" applyFill="1" applyBorder="1" applyAlignment="1" applyProtection="1">
      <alignment horizontal="center" vertical="center"/>
    </xf>
    <xf numFmtId="0" fontId="7" fillId="0" borderId="22" xfId="2608" applyFont="1" applyFill="1" applyBorder="1" applyAlignment="1" applyProtection="1">
      <alignment horizontal="center" vertical="center"/>
    </xf>
    <xf numFmtId="0" fontId="179" fillId="0" borderId="60" xfId="2608" applyFont="1" applyFill="1" applyBorder="1" applyAlignment="1" applyProtection="1">
      <alignment horizontal="center" vertical="center"/>
    </xf>
    <xf numFmtId="0" fontId="179" fillId="0" borderId="20" xfId="2608" applyFont="1" applyFill="1" applyBorder="1" applyAlignment="1" applyProtection="1">
      <alignment horizontal="center" vertical="center"/>
    </xf>
    <xf numFmtId="0" fontId="7" fillId="0" borderId="20" xfId="2608" applyFont="1" applyFill="1" applyBorder="1" applyAlignment="1" applyProtection="1">
      <alignment horizontal="center" vertical="center"/>
    </xf>
    <xf numFmtId="0" fontId="179" fillId="0" borderId="14" xfId="2608" applyFont="1" applyFill="1" applyBorder="1" applyAlignment="1" applyProtection="1">
      <alignment vertical="center"/>
    </xf>
    <xf numFmtId="176" fontId="221" fillId="0" borderId="0" xfId="4219" applyNumberFormat="1" applyFont="1" applyFill="1" applyBorder="1" applyAlignment="1" applyProtection="1">
      <alignment horizontal="center"/>
    </xf>
    <xf numFmtId="0" fontId="220" fillId="0" borderId="0" xfId="2608" applyFont="1" applyFill="1" applyBorder="1" applyAlignment="1" applyProtection="1"/>
    <xf numFmtId="0" fontId="220" fillId="0" borderId="0" xfId="0" applyFont="1" applyFill="1" applyBorder="1" applyAlignment="1">
      <alignment horizontal="left" vertical="center"/>
    </xf>
    <xf numFmtId="0" fontId="220" fillId="0" borderId="0" xfId="2608" applyFont="1" applyFill="1" applyProtection="1"/>
    <xf numFmtId="0" fontId="208" fillId="0" borderId="57" xfId="2608" applyFont="1" applyFill="1" applyBorder="1" applyAlignment="1" applyProtection="1">
      <alignment horizontal="center" vertical="center" shrinkToFit="1"/>
    </xf>
    <xf numFmtId="0" fontId="208" fillId="0" borderId="16" xfId="2608" applyFont="1" applyFill="1" applyBorder="1" applyAlignment="1" applyProtection="1">
      <alignment horizontal="center" vertical="center" shrinkToFit="1"/>
    </xf>
    <xf numFmtId="0" fontId="7" fillId="0" borderId="60" xfId="4225" applyFont="1" applyFill="1" applyBorder="1" applyAlignment="1" applyProtection="1">
      <alignment horizontal="center"/>
    </xf>
    <xf numFmtId="3" fontId="7" fillId="0" borderId="60" xfId="0" applyNumberFormat="1" applyFont="1" applyFill="1" applyBorder="1" applyAlignment="1">
      <alignment horizontal="right" wrapText="1"/>
    </xf>
    <xf numFmtId="0" fontId="7" fillId="0" borderId="0" xfId="4225" applyFont="1" applyFill="1" applyBorder="1" applyAlignment="1" applyProtection="1">
      <alignment horizontal="center"/>
    </xf>
    <xf numFmtId="3" fontId="7" fillId="0" borderId="0" xfId="0" applyNumberFormat="1" applyFont="1" applyFill="1" applyBorder="1" applyAlignment="1">
      <alignment horizontal="right" wrapText="1"/>
    </xf>
    <xf numFmtId="0" fontId="219" fillId="0" borderId="71" xfId="4225" applyFont="1" applyFill="1" applyBorder="1" applyAlignment="1" applyProtection="1">
      <alignment horizontal="center"/>
    </xf>
    <xf numFmtId="176" fontId="221" fillId="0" borderId="0" xfId="3" applyFont="1" applyFill="1" applyBorder="1" applyAlignment="1" applyProtection="1">
      <alignment horizontal="center"/>
    </xf>
    <xf numFmtId="41" fontId="7" fillId="132" borderId="60" xfId="0" applyNumberFormat="1" applyFont="1" applyFill="1" applyBorder="1" applyAlignment="1">
      <alignment horizontal="right" wrapText="1"/>
    </xf>
    <xf numFmtId="41" fontId="7" fillId="132" borderId="0" xfId="0" applyNumberFormat="1" applyFont="1" applyFill="1" applyBorder="1" applyAlignment="1">
      <alignment horizontal="right" wrapText="1"/>
    </xf>
    <xf numFmtId="41" fontId="179" fillId="0" borderId="19" xfId="0" applyNumberFormat="1" applyFont="1" applyFill="1" applyBorder="1" applyAlignment="1">
      <alignment horizontal="right"/>
    </xf>
    <xf numFmtId="41" fontId="7" fillId="0" borderId="60" xfId="0" applyNumberFormat="1" applyFont="1" applyFill="1" applyBorder="1" applyAlignment="1">
      <alignment horizontal="right" wrapText="1"/>
    </xf>
    <xf numFmtId="41" fontId="7" fillId="0" borderId="60" xfId="0" applyNumberFormat="1" applyFont="1" applyFill="1" applyBorder="1" applyAlignment="1">
      <alignment horizontal="right"/>
    </xf>
    <xf numFmtId="41" fontId="7" fillId="0" borderId="0" xfId="0" applyNumberFormat="1" applyFont="1" applyFill="1" applyBorder="1" applyAlignment="1">
      <alignment horizontal="right" wrapText="1"/>
    </xf>
    <xf numFmtId="41" fontId="7" fillId="0" borderId="0" xfId="0" applyNumberFormat="1" applyFont="1" applyFill="1" applyBorder="1" applyAlignment="1">
      <alignment horizontal="right"/>
    </xf>
    <xf numFmtId="41" fontId="219" fillId="0" borderId="71" xfId="3" applyNumberFormat="1" applyFont="1" applyFill="1" applyBorder="1" applyAlignment="1" applyProtection="1">
      <alignment horizontal="right" wrapText="1"/>
    </xf>
    <xf numFmtId="178" fontId="219" fillId="0" borderId="71" xfId="3" applyNumberFormat="1" applyFont="1" applyFill="1" applyBorder="1" applyAlignment="1" applyProtection="1">
      <alignment horizontal="right" wrapText="1"/>
    </xf>
    <xf numFmtId="0" fontId="220" fillId="0" borderId="0" xfId="2608" quotePrefix="1" applyFont="1" applyFill="1" applyBorder="1" applyAlignment="1" applyProtection="1"/>
    <xf numFmtId="41" fontId="219" fillId="131" borderId="67" xfId="4219" applyNumberFormat="1" applyFont="1" applyFill="1" applyBorder="1" applyAlignment="1" applyProtection="1">
      <alignment horizontal="center"/>
    </xf>
    <xf numFmtId="41" fontId="219" fillId="0" borderId="71" xfId="4219" applyNumberFormat="1" applyFont="1" applyFill="1" applyBorder="1" applyAlignment="1" applyProtection="1">
      <alignment horizontal="center"/>
    </xf>
    <xf numFmtId="41" fontId="219" fillId="131" borderId="71" xfId="4219" applyNumberFormat="1" applyFont="1" applyFill="1" applyBorder="1" applyAlignment="1" applyProtection="1">
      <alignment horizontal="right"/>
    </xf>
    <xf numFmtId="176" fontId="219" fillId="0" borderId="71" xfId="4219" applyNumberFormat="1" applyFont="1" applyFill="1" applyBorder="1" applyAlignment="1" applyProtection="1">
      <alignment horizontal="right"/>
    </xf>
    <xf numFmtId="176" fontId="219" fillId="0" borderId="69" xfId="4219" applyNumberFormat="1" applyFont="1" applyFill="1" applyBorder="1" applyAlignment="1" applyProtection="1">
      <alignment horizontal="right"/>
    </xf>
    <xf numFmtId="41" fontId="219" fillId="0" borderId="71" xfId="2608" applyNumberFormat="1" applyFont="1" applyFill="1" applyBorder="1" applyAlignment="1" applyProtection="1">
      <alignment horizontal="right"/>
    </xf>
    <xf numFmtId="0" fontId="219" fillId="0" borderId="71" xfId="2608" applyFont="1" applyFill="1" applyBorder="1" applyAlignment="1" applyProtection="1">
      <alignment horizontal="right"/>
    </xf>
    <xf numFmtId="41" fontId="219" fillId="0" borderId="71" xfId="2608" applyNumberFormat="1" applyFont="1" applyFill="1" applyBorder="1" applyAlignment="1" applyProtection="1"/>
    <xf numFmtId="41" fontId="179" fillId="0" borderId="19" xfId="4228" applyFont="1" applyBorder="1" applyAlignment="1">
      <alignment horizontal="right"/>
    </xf>
    <xf numFmtId="41" fontId="179" fillId="0" borderId="0" xfId="4228" applyFont="1" applyBorder="1" applyAlignment="1">
      <alignment horizontal="right"/>
    </xf>
    <xf numFmtId="41" fontId="7" fillId="0" borderId="0" xfId="4228" applyFont="1" applyFill="1" applyBorder="1" applyAlignment="1">
      <alignment horizontal="right"/>
    </xf>
    <xf numFmtId="41" fontId="231" fillId="0" borderId="0" xfId="4228" applyFont="1" applyFill="1" applyBorder="1" applyAlignment="1">
      <alignment horizontal="right"/>
    </xf>
    <xf numFmtId="41" fontId="7" fillId="0" borderId="71" xfId="0" applyNumberFormat="1" applyFont="1" applyFill="1" applyBorder="1">
      <alignment vertical="center"/>
    </xf>
    <xf numFmtId="41" fontId="207" fillId="131" borderId="19" xfId="0" applyNumberFormat="1" applyFont="1" applyFill="1" applyBorder="1" applyAlignment="1">
      <alignment horizontal="right"/>
    </xf>
    <xf numFmtId="41" fontId="179" fillId="131" borderId="19" xfId="0" applyNumberFormat="1" applyFont="1" applyFill="1" applyBorder="1" applyAlignment="1">
      <alignment horizontal="right"/>
    </xf>
    <xf numFmtId="41" fontId="207" fillId="0" borderId="0" xfId="0" applyNumberFormat="1" applyFont="1" applyFill="1" applyBorder="1" applyAlignment="1">
      <alignment horizontal="right"/>
    </xf>
    <xf numFmtId="41" fontId="179" fillId="131" borderId="67" xfId="0" applyNumberFormat="1" applyFont="1" applyFill="1" applyBorder="1" applyAlignment="1">
      <alignment horizontal="right"/>
    </xf>
    <xf numFmtId="41" fontId="207" fillId="131" borderId="71" xfId="0" applyNumberFormat="1" applyFont="1" applyFill="1" applyBorder="1" applyAlignment="1">
      <alignment horizontal="right"/>
    </xf>
    <xf numFmtId="41" fontId="179" fillId="131" borderId="71" xfId="0" applyNumberFormat="1" applyFont="1" applyFill="1" applyBorder="1" applyAlignment="1">
      <alignment horizontal="right"/>
    </xf>
    <xf numFmtId="41" fontId="207" fillId="0" borderId="71" xfId="0" applyNumberFormat="1" applyFont="1" applyFill="1" applyBorder="1" applyAlignment="1">
      <alignment horizontal="right"/>
    </xf>
    <xf numFmtId="176" fontId="219" fillId="0" borderId="16" xfId="3" applyFont="1" applyFill="1" applyBorder="1" applyAlignment="1" applyProtection="1">
      <alignment horizontal="right"/>
    </xf>
    <xf numFmtId="176" fontId="219" fillId="0" borderId="16" xfId="3" applyFont="1" applyFill="1" applyBorder="1" applyAlignment="1" applyProtection="1">
      <alignment horizontal="center"/>
    </xf>
    <xf numFmtId="176" fontId="207" fillId="0" borderId="16" xfId="3" applyFont="1" applyFill="1" applyBorder="1" applyAlignment="1" applyProtection="1">
      <alignment horizontal="right"/>
    </xf>
    <xf numFmtId="176" fontId="207" fillId="0" borderId="16" xfId="3" applyFont="1" applyFill="1" applyBorder="1" applyAlignment="1" applyProtection="1">
      <alignment horizontal="center"/>
    </xf>
    <xf numFmtId="176" fontId="207" fillId="131" borderId="70" xfId="3" applyFont="1" applyFill="1" applyBorder="1" applyAlignment="1" applyProtection="1">
      <alignment horizontal="right"/>
    </xf>
    <xf numFmtId="176" fontId="207" fillId="0" borderId="70" xfId="4218" applyNumberFormat="1" applyFont="1" applyFill="1" applyBorder="1" applyAlignment="1" applyProtection="1">
      <alignment horizontal="right"/>
    </xf>
    <xf numFmtId="176" fontId="207" fillId="0" borderId="70" xfId="4218" applyNumberFormat="1" applyFont="1" applyFill="1" applyBorder="1" applyAlignment="1" applyProtection="1">
      <alignment horizontal="center"/>
    </xf>
    <xf numFmtId="176" fontId="207" fillId="131" borderId="70" xfId="3" applyFont="1" applyFill="1" applyBorder="1" applyAlignment="1" applyProtection="1">
      <alignment horizontal="center"/>
    </xf>
    <xf numFmtId="176" fontId="207" fillId="0" borderId="67" xfId="4218" applyNumberFormat="1" applyFont="1" applyFill="1" applyBorder="1" applyAlignment="1" applyProtection="1">
      <alignment horizontal="right"/>
    </xf>
    <xf numFmtId="41" fontId="207" fillId="0" borderId="71" xfId="0" applyNumberFormat="1" applyFont="1" applyFill="1" applyBorder="1">
      <alignment vertical="center"/>
    </xf>
    <xf numFmtId="176" fontId="219" fillId="131" borderId="71" xfId="3" applyNumberFormat="1" applyFont="1" applyFill="1" applyBorder="1" applyAlignment="1" applyProtection="1">
      <alignment horizontal="right"/>
    </xf>
    <xf numFmtId="176" fontId="219" fillId="0" borderId="71" xfId="3" applyNumberFormat="1" applyFont="1" applyFill="1" applyBorder="1" applyAlignment="1" applyProtection="1">
      <alignment horizontal="center"/>
    </xf>
    <xf numFmtId="176" fontId="219" fillId="0" borderId="71" xfId="3" applyFont="1" applyFill="1" applyBorder="1" applyAlignment="1" applyProtection="1">
      <alignment horizontal="center"/>
    </xf>
    <xf numFmtId="176" fontId="219" fillId="0" borderId="71" xfId="3" applyFont="1" applyFill="1" applyBorder="1" applyAlignment="1" applyProtection="1">
      <alignment horizontal="right"/>
    </xf>
    <xf numFmtId="41" fontId="207" fillId="131" borderId="19" xfId="0" applyNumberFormat="1" applyFont="1" applyFill="1" applyBorder="1">
      <alignment vertical="center"/>
    </xf>
    <xf numFmtId="41" fontId="219" fillId="0" borderId="71" xfId="2" applyNumberFormat="1" applyFont="1" applyFill="1" applyBorder="1" applyProtection="1"/>
    <xf numFmtId="41" fontId="219" fillId="131" borderId="71" xfId="2" applyNumberFormat="1" applyFont="1" applyFill="1" applyBorder="1" applyProtection="1"/>
    <xf numFmtId="41" fontId="219" fillId="0" borderId="71" xfId="2" applyNumberFormat="1" applyFont="1" applyFill="1" applyBorder="1" applyAlignment="1" applyProtection="1">
      <alignment horizontal="right"/>
    </xf>
    <xf numFmtId="176" fontId="219" fillId="0" borderId="71" xfId="1558" applyNumberFormat="1" applyFont="1" applyFill="1" applyBorder="1" applyAlignment="1" applyProtection="1">
      <alignment horizontal="right"/>
    </xf>
    <xf numFmtId="41" fontId="207" fillId="0" borderId="71" xfId="4228" applyFont="1" applyFill="1" applyBorder="1">
      <alignment vertical="center"/>
    </xf>
    <xf numFmtId="0" fontId="271" fillId="0" borderId="0" xfId="0" applyFont="1" applyFill="1">
      <alignment vertical="center"/>
    </xf>
    <xf numFmtId="41" fontId="207" fillId="0" borderId="71" xfId="0" applyNumberFormat="1" applyFont="1" applyFill="1" applyBorder="1" applyAlignment="1">
      <alignment horizontal="right" vertical="center"/>
    </xf>
    <xf numFmtId="41" fontId="254" fillId="0" borderId="71" xfId="0" applyNumberFormat="1" applyFont="1" applyFill="1" applyBorder="1">
      <alignment vertical="center"/>
    </xf>
    <xf numFmtId="41" fontId="7" fillId="131" borderId="0" xfId="2" applyNumberFormat="1" applyFont="1" applyFill="1" applyBorder="1" applyAlignment="1" applyProtection="1">
      <alignment horizontal="right"/>
    </xf>
    <xf numFmtId="41" fontId="7" fillId="131" borderId="71" xfId="2" applyNumberFormat="1" applyFont="1" applyFill="1" applyBorder="1" applyAlignment="1" applyProtection="1">
      <alignment horizontal="right"/>
    </xf>
    <xf numFmtId="41" fontId="219" fillId="132" borderId="71" xfId="0" applyNumberFormat="1" applyFont="1" applyFill="1" applyBorder="1" applyAlignment="1">
      <alignment horizontal="right" wrapText="1"/>
    </xf>
    <xf numFmtId="41" fontId="219" fillId="132" borderId="66" xfId="0" applyNumberFormat="1" applyFont="1" applyFill="1" applyBorder="1" applyAlignment="1">
      <alignment horizontal="center" vertical="center" wrapText="1"/>
    </xf>
    <xf numFmtId="41" fontId="7" fillId="0" borderId="0" xfId="2608" applyNumberFormat="1" applyFont="1" applyFill="1" applyBorder="1" applyAlignment="1" applyProtection="1">
      <alignment horizontal="right"/>
    </xf>
    <xf numFmtId="41" fontId="7" fillId="0" borderId="0" xfId="4228" applyNumberFormat="1" applyFont="1" applyFill="1" applyBorder="1" applyAlignment="1" applyProtection="1">
      <alignment horizontal="right"/>
    </xf>
    <xf numFmtId="0" fontId="179" fillId="0" borderId="0" xfId="2608" applyFont="1" applyFill="1" applyBorder="1" applyAlignment="1" applyProtection="1">
      <alignment horizontal="center"/>
    </xf>
    <xf numFmtId="0" fontId="220" fillId="0" borderId="0" xfId="2608" applyFont="1" applyFill="1" applyAlignment="1" applyProtection="1">
      <alignment vertical="center"/>
    </xf>
    <xf numFmtId="0" fontId="205" fillId="0" borderId="0" xfId="2608" applyFont="1" applyFill="1" applyAlignment="1" applyProtection="1">
      <alignment vertical="center"/>
    </xf>
    <xf numFmtId="0" fontId="205" fillId="0" borderId="0" xfId="1" applyFont="1" applyFill="1" applyBorder="1" applyAlignment="1" applyProtection="1">
      <alignment vertical="center"/>
    </xf>
    <xf numFmtId="0" fontId="7" fillId="0" borderId="60" xfId="0" applyFont="1" applyFill="1" applyBorder="1" applyAlignment="1">
      <alignment horizontal="center" vertical="center" wrapText="1"/>
    </xf>
    <xf numFmtId="41" fontId="7" fillId="0" borderId="18" xfId="0" applyNumberFormat="1" applyFont="1" applyFill="1" applyBorder="1" applyAlignment="1">
      <alignment horizontal="right"/>
    </xf>
    <xf numFmtId="41" fontId="7" fillId="0" borderId="60" xfId="4459" applyNumberFormat="1" applyFont="1" applyFill="1" applyBorder="1" applyAlignment="1">
      <alignment horizontal="right" wrapText="1"/>
    </xf>
    <xf numFmtId="0" fontId="7" fillId="0" borderId="0" xfId="0" applyFont="1" applyFill="1" applyBorder="1" applyAlignment="1">
      <alignment horizontal="center" vertical="center" wrapText="1"/>
    </xf>
    <xf numFmtId="41" fontId="7" fillId="0" borderId="19" xfId="0" applyNumberFormat="1" applyFont="1" applyFill="1" applyBorder="1" applyAlignment="1">
      <alignment horizontal="right"/>
    </xf>
    <xf numFmtId="41" fontId="7" fillId="0" borderId="0" xfId="4459" applyNumberFormat="1" applyFont="1" applyFill="1" applyBorder="1" applyAlignment="1">
      <alignment horizontal="right" wrapText="1"/>
    </xf>
    <xf numFmtId="0" fontId="219" fillId="0" borderId="71" xfId="2" applyFont="1" applyFill="1" applyBorder="1" applyAlignment="1" applyProtection="1">
      <alignment horizontal="center"/>
    </xf>
    <xf numFmtId="41" fontId="219" fillId="0" borderId="71" xfId="0" applyNumberFormat="1" applyFont="1" applyFill="1" applyBorder="1" applyAlignment="1">
      <alignment horizontal="right"/>
    </xf>
    <xf numFmtId="41" fontId="219" fillId="0" borderId="71" xfId="0" applyNumberFormat="1" applyFont="1" applyFill="1" applyBorder="1" applyAlignment="1">
      <alignment horizontal="right" wrapText="1"/>
    </xf>
    <xf numFmtId="41" fontId="219" fillId="0" borderId="71" xfId="4459" applyNumberFormat="1" applyFont="1" applyFill="1" applyBorder="1" applyAlignment="1">
      <alignment horizontal="right" wrapText="1"/>
    </xf>
    <xf numFmtId="0" fontId="273" fillId="0" borderId="0" xfId="2" applyFont="1" applyFill="1" applyProtection="1"/>
    <xf numFmtId="0" fontId="274" fillId="0" borderId="0" xfId="2" applyFont="1" applyFill="1" applyAlignment="1" applyProtection="1">
      <alignment horizontal="right"/>
    </xf>
    <xf numFmtId="0" fontId="219" fillId="0" borderId="0" xfId="2" applyFont="1" applyFill="1" applyBorder="1" applyAlignment="1" applyProtection="1">
      <alignment horizontal="center"/>
    </xf>
    <xf numFmtId="41" fontId="219" fillId="0" borderId="0" xfId="0" applyNumberFormat="1" applyFont="1" applyFill="1" applyBorder="1" applyAlignment="1">
      <alignment horizontal="right"/>
    </xf>
    <xf numFmtId="41" fontId="219" fillId="0" borderId="0" xfId="0" applyNumberFormat="1" applyFont="1" applyFill="1" applyBorder="1" applyAlignment="1">
      <alignment horizontal="right" wrapText="1"/>
    </xf>
    <xf numFmtId="41" fontId="219" fillId="0" borderId="0" xfId="4459" applyNumberFormat="1" applyFont="1" applyFill="1" applyBorder="1" applyAlignment="1">
      <alignment horizontal="right" wrapText="1"/>
    </xf>
    <xf numFmtId="41" fontId="219" fillId="132" borderId="0" xfId="0" applyNumberFormat="1" applyFont="1" applyFill="1" applyBorder="1" applyAlignment="1">
      <alignment horizontal="right" wrapText="1"/>
    </xf>
    <xf numFmtId="41" fontId="219" fillId="132" borderId="15" xfId="0" applyNumberFormat="1" applyFont="1" applyFill="1" applyBorder="1" applyAlignment="1">
      <alignment horizontal="center" vertical="center" wrapText="1"/>
    </xf>
    <xf numFmtId="41" fontId="219" fillId="0" borderId="19" xfId="0" applyNumberFormat="1" applyFont="1" applyFill="1" applyBorder="1" applyAlignment="1">
      <alignment horizontal="right"/>
    </xf>
    <xf numFmtId="0" fontId="219" fillId="0" borderId="0" xfId="4225" applyFont="1" applyFill="1" applyBorder="1" applyAlignment="1" applyProtection="1">
      <alignment horizontal="center"/>
    </xf>
    <xf numFmtId="41" fontId="219" fillId="0" borderId="0" xfId="3" applyNumberFormat="1" applyFont="1" applyFill="1" applyBorder="1" applyAlignment="1" applyProtection="1">
      <alignment horizontal="right" wrapText="1"/>
    </xf>
    <xf numFmtId="178" fontId="219" fillId="0" borderId="0" xfId="3" applyNumberFormat="1" applyFont="1" applyFill="1" applyBorder="1" applyAlignment="1" applyProtection="1">
      <alignment horizontal="right" wrapText="1"/>
    </xf>
    <xf numFmtId="41" fontId="7" fillId="0" borderId="19" xfId="4219" applyNumberFormat="1" applyFont="1" applyFill="1" applyBorder="1" applyAlignment="1" applyProtection="1">
      <alignment horizontal="center"/>
    </xf>
    <xf numFmtId="41" fontId="7" fillId="0" borderId="0" xfId="4219" applyNumberFormat="1" applyFont="1" applyFill="1" applyBorder="1" applyAlignment="1" applyProtection="1">
      <alignment horizontal="center"/>
    </xf>
    <xf numFmtId="176" fontId="7" fillId="0" borderId="0" xfId="4219" applyNumberFormat="1" applyFont="1" applyFill="1" applyBorder="1" applyAlignment="1" applyProtection="1">
      <alignment horizontal="right"/>
    </xf>
    <xf numFmtId="0" fontId="7" fillId="0" borderId="0" xfId="2608" applyFont="1" applyFill="1" applyBorder="1" applyAlignment="1" applyProtection="1">
      <alignment horizontal="right"/>
    </xf>
    <xf numFmtId="210" fontId="7" fillId="0" borderId="0" xfId="2608" applyNumberFormat="1" applyFont="1" applyFill="1" applyBorder="1" applyAlignment="1" applyProtection="1"/>
    <xf numFmtId="176" fontId="7" fillId="0" borderId="64" xfId="4219" applyNumberFormat="1" applyFont="1" applyFill="1" applyBorder="1" applyAlignment="1" applyProtection="1">
      <alignment horizontal="right"/>
    </xf>
    <xf numFmtId="176" fontId="7" fillId="0" borderId="65" xfId="4219" applyNumberFormat="1" applyFont="1" applyFill="1" applyBorder="1" applyAlignment="1" applyProtection="1">
      <alignment horizontal="right"/>
    </xf>
    <xf numFmtId="41" fontId="207" fillId="0" borderId="0" xfId="4228" applyFont="1" applyFill="1" applyBorder="1" applyAlignment="1">
      <alignment horizontal="right"/>
    </xf>
    <xf numFmtId="41" fontId="207" fillId="0" borderId="19" xfId="4228" applyFont="1" applyFill="1" applyBorder="1" applyAlignment="1">
      <alignment horizontal="right"/>
    </xf>
    <xf numFmtId="176" fontId="207" fillId="0" borderId="16" xfId="4218" applyNumberFormat="1" applyFont="1" applyFill="1" applyBorder="1" applyAlignment="1" applyProtection="1">
      <alignment horizontal="right"/>
    </xf>
    <xf numFmtId="176" fontId="207" fillId="0" borderId="16" xfId="4218" applyNumberFormat="1" applyFont="1" applyFill="1" applyBorder="1" applyAlignment="1" applyProtection="1">
      <alignment horizontal="center"/>
    </xf>
    <xf numFmtId="176" fontId="207" fillId="0" borderId="19" xfId="4218" applyNumberFormat="1" applyFont="1" applyFill="1" applyBorder="1" applyAlignment="1" applyProtection="1">
      <alignment horizontal="right"/>
    </xf>
    <xf numFmtId="41" fontId="219" fillId="0" borderId="0" xfId="4228" applyFont="1" applyFill="1" applyBorder="1" applyAlignment="1">
      <alignment horizontal="right"/>
    </xf>
    <xf numFmtId="41" fontId="219" fillId="0" borderId="19" xfId="4228" applyFont="1" applyFill="1" applyBorder="1" applyAlignment="1">
      <alignment horizontal="right"/>
    </xf>
    <xf numFmtId="41" fontId="219" fillId="0" borderId="0" xfId="4228" applyFont="1" applyFill="1" applyBorder="1">
      <alignment vertical="center"/>
    </xf>
    <xf numFmtId="41" fontId="219" fillId="0" borderId="0" xfId="4228" applyFont="1" applyFill="1" applyBorder="1" applyAlignment="1">
      <alignment horizontal="right" vertical="center"/>
    </xf>
    <xf numFmtId="41" fontId="219" fillId="0" borderId="19" xfId="4228" applyFont="1" applyFill="1" applyBorder="1">
      <alignment vertical="center"/>
    </xf>
    <xf numFmtId="176" fontId="219" fillId="0" borderId="19" xfId="3" applyFont="1" applyFill="1" applyBorder="1" applyAlignment="1" applyProtection="1">
      <alignment horizontal="right" vertical="center"/>
    </xf>
    <xf numFmtId="176" fontId="7" fillId="0" borderId="0" xfId="3" applyFont="1" applyFill="1" applyBorder="1" applyAlignment="1" applyProtection="1">
      <alignment horizontal="center"/>
    </xf>
    <xf numFmtId="41" fontId="219" fillId="131" borderId="67" xfId="3" applyNumberFormat="1" applyFont="1" applyFill="1" applyBorder="1" applyAlignment="1" applyProtection="1">
      <alignment horizontal="center"/>
    </xf>
    <xf numFmtId="176" fontId="219" fillId="131" borderId="71" xfId="3" applyFont="1" applyFill="1" applyBorder="1" applyAlignment="1" applyProtection="1">
      <alignment horizontal="center"/>
    </xf>
    <xf numFmtId="176" fontId="219" fillId="131" borderId="71" xfId="3" applyFont="1" applyFill="1" applyBorder="1" applyAlignment="1" applyProtection="1">
      <alignment horizontal="right"/>
    </xf>
    <xf numFmtId="41" fontId="219" fillId="0" borderId="19" xfId="3" applyNumberFormat="1" applyFont="1" applyFill="1" applyBorder="1" applyAlignment="1" applyProtection="1">
      <alignment horizontal="center"/>
    </xf>
    <xf numFmtId="176" fontId="219" fillId="0" borderId="0" xfId="3" applyFont="1" applyFill="1" applyBorder="1" applyAlignment="1" applyProtection="1">
      <alignment horizontal="center"/>
    </xf>
    <xf numFmtId="176" fontId="219" fillId="0" borderId="0" xfId="3" applyFont="1" applyFill="1" applyBorder="1" applyAlignment="1" applyProtection="1">
      <alignment horizontal="right"/>
    </xf>
    <xf numFmtId="41" fontId="7" fillId="0" borderId="0" xfId="2620" applyNumberFormat="1" applyFont="1" applyFill="1" applyBorder="1" applyAlignment="1" applyProtection="1">
      <alignment horizontal="center"/>
    </xf>
    <xf numFmtId="0" fontId="136" fillId="0" borderId="0" xfId="2618" applyFont="1" applyFill="1" applyProtection="1"/>
    <xf numFmtId="41" fontId="7" fillId="0" borderId="0" xfId="2620" applyNumberFormat="1" applyFont="1" applyFill="1" applyBorder="1" applyAlignment="1" applyProtection="1">
      <alignment horizontal="right"/>
    </xf>
    <xf numFmtId="0" fontId="7" fillId="0" borderId="0" xfId="2618" applyFont="1" applyFill="1" applyProtection="1"/>
    <xf numFmtId="41" fontId="219" fillId="0" borderId="71" xfId="3" applyNumberFormat="1" applyFont="1" applyFill="1" applyBorder="1" applyAlignment="1" applyProtection="1">
      <alignment horizontal="right"/>
    </xf>
    <xf numFmtId="0" fontId="275" fillId="0" borderId="0" xfId="2618" applyFont="1" applyFill="1" applyBorder="1" applyProtection="1"/>
    <xf numFmtId="41" fontId="219" fillId="0" borderId="71" xfId="4228" applyFont="1" applyFill="1" applyBorder="1">
      <alignment vertical="center"/>
    </xf>
    <xf numFmtId="41" fontId="207" fillId="0" borderId="19" xfId="4228" applyFont="1" applyFill="1" applyBorder="1">
      <alignment vertical="center"/>
    </xf>
    <xf numFmtId="41" fontId="207" fillId="0" borderId="0" xfId="0" applyNumberFormat="1" applyFont="1" applyFill="1" applyBorder="1" applyAlignment="1">
      <alignment horizontal="right" vertical="center"/>
    </xf>
    <xf numFmtId="41" fontId="254" fillId="0" borderId="0" xfId="0" applyNumberFormat="1" applyFont="1" applyFill="1" applyBorder="1">
      <alignment vertical="center"/>
    </xf>
    <xf numFmtId="0" fontId="207" fillId="0" borderId="15" xfId="1963" applyNumberFormat="1" applyFont="1" applyFill="1" applyBorder="1" applyAlignment="1" applyProtection="1">
      <alignment horizontal="center"/>
    </xf>
    <xf numFmtId="41" fontId="207" fillId="0" borderId="19" xfId="0" applyNumberFormat="1" applyFont="1" applyFill="1" applyBorder="1">
      <alignment vertical="center"/>
    </xf>
    <xf numFmtId="0" fontId="252" fillId="0" borderId="0" xfId="0" applyNumberFormat="1" applyFont="1" applyFill="1">
      <alignment vertical="center"/>
    </xf>
    <xf numFmtId="41" fontId="219" fillId="0" borderId="19" xfId="2608" applyNumberFormat="1" applyFont="1" applyFill="1" applyBorder="1" applyAlignment="1" applyProtection="1">
      <alignment horizontal="centerContinuous"/>
      <protection locked="0"/>
    </xf>
    <xf numFmtId="41" fontId="219" fillId="0" borderId="0" xfId="2608" applyNumberFormat="1" applyFont="1" applyFill="1" applyBorder="1" applyAlignment="1" applyProtection="1">
      <alignment horizontal="center"/>
      <protection locked="0"/>
    </xf>
    <xf numFmtId="41" fontId="219" fillId="0" borderId="0" xfId="4220" applyNumberFormat="1" applyFont="1" applyFill="1" applyBorder="1" applyAlignment="1" applyProtection="1">
      <alignment horizontal="right"/>
      <protection locked="0"/>
    </xf>
    <xf numFmtId="41" fontId="219" fillId="0" borderId="0" xfId="4220" applyNumberFormat="1" applyFont="1" applyFill="1" applyBorder="1" applyAlignment="1" applyProtection="1">
      <alignment horizontal="right"/>
    </xf>
    <xf numFmtId="41" fontId="219" fillId="0" borderId="0" xfId="2608" applyNumberFormat="1" applyFont="1" applyFill="1" applyBorder="1" applyAlignment="1" applyProtection="1">
      <alignment horizontal="centerContinuous"/>
      <protection locked="0"/>
    </xf>
    <xf numFmtId="41" fontId="219" fillId="0" borderId="0" xfId="4220" applyNumberFormat="1" applyFont="1" applyFill="1" applyBorder="1" applyAlignment="1" applyProtection="1">
      <alignment horizontal="centerContinuous"/>
      <protection locked="0"/>
    </xf>
    <xf numFmtId="41" fontId="219" fillId="0" borderId="71" xfId="2605" applyNumberFormat="1" applyFont="1" applyFill="1" applyBorder="1" applyAlignment="1" applyProtection="1">
      <alignment horizontal="center"/>
    </xf>
    <xf numFmtId="41" fontId="219" fillId="0" borderId="71" xfId="3" applyNumberFormat="1" applyFont="1" applyFill="1" applyBorder="1" applyAlignment="1" applyProtection="1">
      <alignment horizontal="center"/>
    </xf>
    <xf numFmtId="0" fontId="276" fillId="0" borderId="0" xfId="1852" applyFont="1" applyFill="1" applyBorder="1" applyAlignment="1">
      <alignment horizontal="right" vertical="center"/>
    </xf>
    <xf numFmtId="41" fontId="277" fillId="0" borderId="0" xfId="0" applyNumberFormat="1" applyFont="1" applyFill="1" applyBorder="1" applyAlignment="1">
      <alignment horizontal="right" vertical="center"/>
    </xf>
    <xf numFmtId="41" fontId="277" fillId="0" borderId="0" xfId="2" applyNumberFormat="1" applyFont="1" applyFill="1" applyBorder="1" applyAlignment="1" applyProtection="1">
      <alignment horizontal="right"/>
    </xf>
    <xf numFmtId="0" fontId="278" fillId="0" borderId="0" xfId="1852" applyFont="1" applyFill="1" applyBorder="1" applyAlignment="1">
      <alignment horizontal="right" vertical="center"/>
    </xf>
    <xf numFmtId="41" fontId="207" fillId="0" borderId="71" xfId="3" applyNumberFormat="1" applyFont="1" applyFill="1" applyBorder="1" applyAlignment="1" applyProtection="1">
      <alignment horizontal="right"/>
    </xf>
    <xf numFmtId="41" fontId="207" fillId="0" borderId="71" xfId="3" applyNumberFormat="1" applyFont="1" applyFill="1" applyBorder="1" applyAlignment="1" applyProtection="1">
      <alignment horizontal="center"/>
    </xf>
    <xf numFmtId="41" fontId="207" fillId="0" borderId="71" xfId="2" applyNumberFormat="1" applyFont="1" applyFill="1" applyBorder="1" applyAlignment="1" applyProtection="1">
      <alignment horizontal="right"/>
    </xf>
    <xf numFmtId="41" fontId="219" fillId="0" borderId="71" xfId="4219" quotePrefix="1" applyNumberFormat="1" applyFont="1" applyFill="1" applyBorder="1" applyAlignment="1" applyProtection="1">
      <alignment horizontal="right"/>
    </xf>
    <xf numFmtId="41" fontId="179" fillId="0" borderId="71" xfId="4219" applyNumberFormat="1" applyFont="1" applyFill="1" applyBorder="1" applyAlignment="1" applyProtection="1">
      <alignment horizontal="right"/>
    </xf>
    <xf numFmtId="41" fontId="179" fillId="0" borderId="71" xfId="4228" applyFont="1" applyFill="1" applyBorder="1" applyAlignment="1" applyProtection="1">
      <alignment horizontal="right"/>
    </xf>
    <xf numFmtId="41" fontId="231" fillId="0" borderId="71" xfId="0" applyNumberFormat="1" applyFont="1" applyFill="1" applyBorder="1" applyAlignment="1">
      <alignment horizontal="right"/>
    </xf>
    <xf numFmtId="41" fontId="7" fillId="131" borderId="67" xfId="4220" applyNumberFormat="1" applyFont="1" applyFill="1" applyBorder="1" applyAlignment="1" applyProtection="1">
      <alignment horizontal="center"/>
    </xf>
    <xf numFmtId="41" fontId="7" fillId="0" borderId="71" xfId="4220" applyNumberFormat="1" applyFont="1" applyFill="1" applyBorder="1" applyAlignment="1" applyProtection="1">
      <alignment horizontal="center"/>
    </xf>
    <xf numFmtId="41" fontId="7" fillId="131" borderId="71" xfId="4220" applyNumberFormat="1" applyFont="1" applyFill="1" applyBorder="1" applyAlignment="1" applyProtection="1">
      <alignment horizontal="center"/>
    </xf>
    <xf numFmtId="41" fontId="7" fillId="0" borderId="71" xfId="4220" applyNumberFormat="1" applyFont="1" applyFill="1" applyBorder="1" applyAlignment="1" applyProtection="1">
      <alignment horizontal="right"/>
    </xf>
    <xf numFmtId="41" fontId="7" fillId="0" borderId="66" xfId="4220" applyNumberFormat="1" applyFont="1" applyFill="1" applyBorder="1" applyAlignment="1" applyProtection="1">
      <alignment horizontal="right"/>
    </xf>
    <xf numFmtId="41" fontId="7" fillId="0" borderId="67" xfId="4220" applyNumberFormat="1" applyFont="1" applyFill="1" applyBorder="1" applyAlignment="1" applyProtection="1">
      <alignment horizontal="right"/>
    </xf>
    <xf numFmtId="41" fontId="7" fillId="0" borderId="66" xfId="4220" applyNumberFormat="1" applyFont="1" applyFill="1" applyBorder="1" applyAlignment="1" applyProtection="1">
      <alignment horizontal="center"/>
    </xf>
    <xf numFmtId="176" fontId="219" fillId="0" borderId="71" xfId="3" applyFont="1" applyFill="1" applyBorder="1" applyAlignment="1" applyProtection="1">
      <alignment horizontal="right" vertical="center"/>
    </xf>
    <xf numFmtId="176" fontId="219" fillId="131" borderId="71" xfId="3" applyFont="1" applyFill="1" applyBorder="1" applyAlignment="1" applyProtection="1">
      <alignment horizontal="right" vertical="center"/>
    </xf>
    <xf numFmtId="41" fontId="207" fillId="131" borderId="19" xfId="4461" applyFont="1" applyFill="1" applyBorder="1">
      <alignment vertical="center"/>
    </xf>
    <xf numFmtId="41" fontId="207" fillId="131" borderId="0" xfId="4461" applyFont="1" applyFill="1" applyBorder="1">
      <alignment vertical="center"/>
    </xf>
    <xf numFmtId="207" fontId="207" fillId="131" borderId="0" xfId="4461" applyNumberFormat="1" applyFont="1" applyFill="1" applyBorder="1">
      <alignment vertical="center"/>
    </xf>
    <xf numFmtId="41" fontId="179" fillId="131" borderId="19" xfId="4461" applyFont="1" applyFill="1" applyBorder="1">
      <alignment vertical="center"/>
    </xf>
    <xf numFmtId="41" fontId="179" fillId="0" borderId="0" xfId="4461" applyFont="1" applyFill="1" applyBorder="1">
      <alignment vertical="center"/>
    </xf>
    <xf numFmtId="41" fontId="179" fillId="131" borderId="0" xfId="4461" applyFont="1" applyFill="1" applyBorder="1">
      <alignment vertical="center"/>
    </xf>
    <xf numFmtId="41" fontId="179" fillId="131" borderId="67" xfId="4461" applyFont="1" applyFill="1" applyBorder="1">
      <alignment vertical="center"/>
    </xf>
    <xf numFmtId="41" fontId="179" fillId="0" borderId="71" xfId="4461" applyFont="1" applyFill="1" applyBorder="1">
      <alignment vertical="center"/>
    </xf>
    <xf numFmtId="41" fontId="179" fillId="131" borderId="71" xfId="4461" applyFont="1" applyFill="1" applyBorder="1">
      <alignment vertical="center"/>
    </xf>
    <xf numFmtId="41" fontId="7" fillId="0" borderId="0" xfId="4228" applyFont="1" applyFill="1" applyBorder="1" applyAlignment="1" applyProtection="1"/>
    <xf numFmtId="41" fontId="7" fillId="0" borderId="71" xfId="4228" applyFont="1" applyFill="1" applyBorder="1">
      <alignment vertical="center"/>
    </xf>
    <xf numFmtId="41" fontId="219" fillId="131" borderId="71" xfId="4228" applyFont="1" applyFill="1" applyBorder="1" applyAlignment="1">
      <alignment horizontal="right"/>
    </xf>
    <xf numFmtId="41" fontId="219" fillId="0" borderId="71" xfId="4228" applyFont="1" applyFill="1" applyBorder="1" applyAlignment="1">
      <alignment horizontal="right"/>
    </xf>
    <xf numFmtId="41" fontId="7" fillId="0" borderId="71" xfId="4228" applyFont="1" applyFill="1" applyBorder="1" applyAlignment="1">
      <alignment horizontal="right"/>
    </xf>
    <xf numFmtId="41" fontId="219" fillId="133" borderId="67" xfId="1374" applyFont="1" applyFill="1" applyBorder="1">
      <alignment vertical="center"/>
    </xf>
    <xf numFmtId="41" fontId="219" fillId="0" borderId="71" xfId="1374" applyFont="1" applyBorder="1">
      <alignment vertical="center"/>
    </xf>
    <xf numFmtId="41" fontId="219" fillId="133" borderId="71" xfId="1374" applyFont="1" applyFill="1" applyBorder="1" applyAlignment="1">
      <alignment horizontal="right" vertical="center"/>
    </xf>
    <xf numFmtId="41" fontId="219" fillId="0" borderId="71" xfId="1374" applyFont="1" applyBorder="1" applyAlignment="1">
      <alignment horizontal="right" vertical="center"/>
    </xf>
    <xf numFmtId="41" fontId="232" fillId="0" borderId="71" xfId="4228" applyFont="1" applyFill="1" applyBorder="1" applyAlignment="1" applyProtection="1">
      <alignment horizontal="right"/>
      <protection locked="0"/>
    </xf>
    <xf numFmtId="176" fontId="219" fillId="0" borderId="67" xfId="4221" applyNumberFormat="1" applyFont="1" applyFill="1" applyBorder="1" applyAlignment="1" applyProtection="1">
      <alignment horizontal="right"/>
    </xf>
    <xf numFmtId="41" fontId="219" fillId="0" borderId="71" xfId="1985" applyNumberFormat="1" applyFont="1" applyFill="1" applyBorder="1" applyAlignment="1" applyProtection="1">
      <alignment horizontal="right"/>
      <protection locked="0"/>
    </xf>
    <xf numFmtId="41" fontId="207" fillId="0" borderId="67" xfId="4228" applyFont="1" applyFill="1" applyBorder="1" applyAlignment="1">
      <alignment horizontal="right"/>
    </xf>
    <xf numFmtId="41" fontId="207" fillId="0" borderId="71" xfId="4228" applyFont="1" applyFill="1" applyBorder="1" applyAlignment="1">
      <alignment horizontal="right"/>
    </xf>
    <xf numFmtId="41" fontId="207" fillId="0" borderId="67" xfId="2608" applyNumberFormat="1" applyFont="1" applyFill="1" applyBorder="1" applyAlignment="1" applyProtection="1">
      <alignment horizontal="centerContinuous"/>
      <protection locked="0"/>
    </xf>
    <xf numFmtId="41" fontId="207" fillId="131" borderId="71" xfId="2608" applyNumberFormat="1" applyFont="1" applyFill="1" applyBorder="1" applyAlignment="1" applyProtection="1">
      <alignment horizontal="centerContinuous"/>
      <protection locked="0"/>
    </xf>
    <xf numFmtId="41" fontId="207" fillId="0" borderId="71" xfId="2608" applyNumberFormat="1" applyFont="1" applyFill="1" applyBorder="1" applyAlignment="1" applyProtection="1">
      <alignment horizontal="center"/>
      <protection locked="0"/>
    </xf>
    <xf numFmtId="41" fontId="207" fillId="131" borderId="71" xfId="2608" applyNumberFormat="1" applyFont="1" applyFill="1" applyBorder="1" applyAlignment="1" applyProtection="1">
      <alignment horizontal="center"/>
      <protection locked="0"/>
    </xf>
    <xf numFmtId="41" fontId="207" fillId="0" borderId="71" xfId="4220" applyNumberFormat="1" applyFont="1" applyFill="1" applyBorder="1" applyAlignment="1" applyProtection="1">
      <alignment horizontal="right"/>
      <protection locked="0"/>
    </xf>
    <xf numFmtId="41" fontId="207" fillId="131" borderId="71" xfId="4220" applyNumberFormat="1" applyFont="1" applyFill="1" applyBorder="1" applyAlignment="1" applyProtection="1">
      <alignment horizontal="right"/>
    </xf>
    <xf numFmtId="41" fontId="207" fillId="0" borderId="71" xfId="4220" applyNumberFormat="1" applyFont="1" applyFill="1" applyBorder="1" applyAlignment="1" applyProtection="1">
      <alignment horizontal="right"/>
    </xf>
    <xf numFmtId="41" fontId="207" fillId="0" borderId="71" xfId="2608" applyNumberFormat="1" applyFont="1" applyFill="1" applyBorder="1" applyAlignment="1" applyProtection="1">
      <alignment horizontal="centerContinuous"/>
      <protection locked="0"/>
    </xf>
    <xf numFmtId="41" fontId="207" fillId="0" borderId="71" xfId="4220" applyNumberFormat="1" applyFont="1" applyFill="1" applyBorder="1" applyAlignment="1" applyProtection="1">
      <alignment horizontal="centerContinuous"/>
      <protection locked="0"/>
    </xf>
    <xf numFmtId="41" fontId="7" fillId="0" borderId="71" xfId="2604" applyNumberFormat="1" applyFont="1" applyFill="1" applyBorder="1" applyAlignment="1" applyProtection="1">
      <alignment horizontal="right"/>
    </xf>
    <xf numFmtId="176" fontId="219" fillId="133" borderId="67" xfId="1558" applyNumberFormat="1" applyFont="1" applyFill="1" applyBorder="1" applyAlignment="1" applyProtection="1">
      <alignment horizontal="center"/>
    </xf>
    <xf numFmtId="176" fontId="219" fillId="133" borderId="71" xfId="1558" applyNumberFormat="1" applyFont="1" applyFill="1" applyBorder="1" applyAlignment="1" applyProtection="1">
      <alignment horizontal="center"/>
    </xf>
    <xf numFmtId="41" fontId="219" fillId="0" borderId="71" xfId="1558" applyNumberFormat="1" applyFont="1" applyFill="1" applyBorder="1" applyAlignment="1" applyProtection="1">
      <alignment horizontal="center"/>
    </xf>
    <xf numFmtId="41" fontId="7" fillId="0" borderId="19" xfId="2608" applyNumberFormat="1" applyFont="1" applyFill="1" applyBorder="1" applyAlignment="1" applyProtection="1">
      <alignment horizontal="center" vertical="center" wrapText="1"/>
    </xf>
    <xf numFmtId="176" fontId="179" fillId="0" borderId="0" xfId="4460" applyNumberFormat="1" applyFont="1" applyFill="1" applyBorder="1" applyAlignment="1" applyProtection="1">
      <alignment horizontal="right"/>
    </xf>
    <xf numFmtId="41" fontId="219" fillId="0" borderId="19" xfId="4228" applyNumberFormat="1" applyFont="1" applyFill="1" applyBorder="1" applyAlignment="1" applyProtection="1">
      <alignment horizontal="center"/>
    </xf>
    <xf numFmtId="41" fontId="7" fillId="0" borderId="64" xfId="4228" applyNumberFormat="1" applyFont="1" applyFill="1" applyBorder="1" applyAlignment="1" applyProtection="1">
      <alignment horizontal="right"/>
    </xf>
    <xf numFmtId="41" fontId="219" fillId="0" borderId="0" xfId="4228" applyNumberFormat="1" applyFont="1" applyFill="1" applyBorder="1" applyAlignment="1" applyProtection="1">
      <alignment horizontal="right"/>
    </xf>
    <xf numFmtId="41" fontId="219" fillId="0" borderId="71" xfId="2620" applyNumberFormat="1" applyFont="1" applyFill="1" applyBorder="1" applyAlignment="1" applyProtection="1">
      <alignment horizontal="center"/>
    </xf>
    <xf numFmtId="41" fontId="219" fillId="0" borderId="71" xfId="3" applyNumberFormat="1" applyFont="1" applyFill="1" applyBorder="1" applyAlignment="1" applyProtection="1">
      <alignment horizontal="right"/>
    </xf>
    <xf numFmtId="41" fontId="219" fillId="0" borderId="71" xfId="2620" applyNumberFormat="1" applyFont="1" applyFill="1" applyBorder="1" applyAlignment="1" applyProtection="1">
      <alignment horizontal="right"/>
    </xf>
    <xf numFmtId="41" fontId="219" fillId="0" borderId="71" xfId="2618" applyNumberFormat="1" applyFont="1" applyFill="1" applyBorder="1" applyProtection="1"/>
    <xf numFmtId="41" fontId="179" fillId="131" borderId="71" xfId="2604" applyNumberFormat="1" applyFont="1" applyFill="1" applyBorder="1" applyProtection="1">
      <protection locked="0"/>
    </xf>
    <xf numFmtId="41" fontId="277" fillId="0" borderId="71" xfId="2" applyNumberFormat="1" applyFont="1" applyFill="1" applyBorder="1" applyAlignment="1" applyProtection="1">
      <alignment horizontal="right"/>
    </xf>
    <xf numFmtId="0" fontId="221" fillId="0" borderId="0" xfId="2" applyFont="1" applyFill="1" applyAlignment="1" applyProtection="1">
      <alignment vertical="center"/>
    </xf>
    <xf numFmtId="0" fontId="282" fillId="0" borderId="0" xfId="2" applyFont="1" applyFill="1" applyAlignment="1" applyProtection="1"/>
    <xf numFmtId="0" fontId="207" fillId="0" borderId="71" xfId="2608" applyFont="1" applyFill="1" applyBorder="1" applyAlignment="1" applyProtection="1">
      <alignment horizontal="center"/>
    </xf>
    <xf numFmtId="41" fontId="179" fillId="0" borderId="0" xfId="0" applyNumberFormat="1" applyFont="1" applyFill="1" applyBorder="1" applyAlignment="1">
      <alignment horizontal="right" vertical="center"/>
    </xf>
    <xf numFmtId="41" fontId="219" fillId="0" borderId="0" xfId="0" applyNumberFormat="1" applyFont="1" applyFill="1" applyBorder="1" applyAlignment="1">
      <alignment horizontal="right" vertical="center"/>
    </xf>
    <xf numFmtId="41" fontId="179" fillId="0" borderId="71" xfId="0" applyNumberFormat="1" applyFont="1" applyFill="1" applyBorder="1" applyAlignment="1">
      <alignment horizontal="right" vertical="center"/>
    </xf>
    <xf numFmtId="208" fontId="179" fillId="0" borderId="0" xfId="0" applyNumberFormat="1" applyFont="1" applyFill="1" applyBorder="1">
      <alignment vertical="center"/>
    </xf>
    <xf numFmtId="207" fontId="179" fillId="0" borderId="0" xfId="4461" applyNumberFormat="1" applyFont="1" applyFill="1" applyBorder="1">
      <alignment vertical="center"/>
    </xf>
    <xf numFmtId="208" fontId="179" fillId="0" borderId="71" xfId="0" applyNumberFormat="1" applyFont="1" applyFill="1" applyBorder="1">
      <alignment vertical="center"/>
    </xf>
    <xf numFmtId="207" fontId="179" fillId="0" borderId="71" xfId="4461" applyNumberFormat="1" applyFont="1" applyFill="1" applyBorder="1">
      <alignment vertical="center"/>
    </xf>
    <xf numFmtId="41" fontId="7" fillId="0" borderId="71" xfId="4224" applyNumberFormat="1" applyFont="1" applyFill="1" applyBorder="1" applyAlignment="1" applyProtection="1">
      <alignment horizontal="center"/>
    </xf>
    <xf numFmtId="0" fontId="283" fillId="0" borderId="0" xfId="2" applyFont="1" applyFill="1" applyAlignment="1" applyProtection="1">
      <alignment horizontal="left"/>
    </xf>
    <xf numFmtId="0" fontId="220" fillId="0" borderId="0" xfId="2" applyFont="1" applyFill="1" applyBorder="1" applyAlignment="1" applyProtection="1">
      <alignment horizontal="left"/>
    </xf>
    <xf numFmtId="0" fontId="216" fillId="0" borderId="0" xfId="2" applyFont="1" applyFill="1" applyAlignment="1" applyProtection="1">
      <alignment horizontal="left" vertical="top"/>
    </xf>
    <xf numFmtId="0" fontId="216" fillId="0" borderId="0" xfId="2" applyFont="1" applyFill="1" applyAlignment="1" applyProtection="1">
      <alignment horizontal="right" vertical="top"/>
    </xf>
    <xf numFmtId="0" fontId="217" fillId="0" borderId="0" xfId="2" applyFont="1" applyFill="1" applyAlignment="1" applyProtection="1">
      <alignment horizontal="center" vertical="center"/>
    </xf>
    <xf numFmtId="0" fontId="218" fillId="0" borderId="0" xfId="2" applyFont="1" applyFill="1" applyAlignment="1" applyProtection="1">
      <alignment horizontal="center" vertical="center"/>
    </xf>
    <xf numFmtId="0" fontId="218" fillId="0" borderId="0" xfId="2" applyFont="1" applyFill="1" applyAlignment="1" applyProtection="1">
      <alignment horizontal="center"/>
    </xf>
    <xf numFmtId="0" fontId="7" fillId="0" borderId="19" xfId="2" applyFont="1" applyFill="1" applyBorder="1" applyAlignment="1" applyProtection="1">
      <alignment horizontal="center" vertical="center" shrinkToFit="1"/>
    </xf>
    <xf numFmtId="0" fontId="7" fillId="0" borderId="22" xfId="2" applyFont="1" applyFill="1" applyBorder="1" applyAlignment="1" applyProtection="1">
      <alignment horizontal="center" vertical="center"/>
    </xf>
    <xf numFmtId="0" fontId="220" fillId="0" borderId="0" xfId="2" applyFont="1" applyFill="1" applyBorder="1" applyAlignment="1" applyProtection="1">
      <alignment horizontal="left"/>
    </xf>
    <xf numFmtId="0" fontId="208" fillId="0" borderId="56" xfId="2" applyFont="1" applyFill="1" applyBorder="1" applyAlignment="1" applyProtection="1">
      <alignment horizontal="center" vertical="center"/>
    </xf>
    <xf numFmtId="0" fontId="216" fillId="0" borderId="0" xfId="2" applyFont="1" applyFill="1" applyAlignment="1" applyProtection="1">
      <alignment horizontal="right" vertical="top"/>
    </xf>
    <xf numFmtId="0" fontId="220" fillId="0" borderId="0" xfId="0" applyFont="1" applyFill="1" applyBorder="1" applyAlignment="1">
      <alignment horizontal="left" vertical="center"/>
    </xf>
    <xf numFmtId="0" fontId="7" fillId="0" borderId="14" xfId="2608" applyFont="1" applyFill="1" applyBorder="1" applyAlignment="1" applyProtection="1">
      <alignment horizontal="center" vertical="center"/>
    </xf>
    <xf numFmtId="0" fontId="7" fillId="0" borderId="18" xfId="2608" applyFont="1" applyFill="1" applyBorder="1" applyAlignment="1" applyProtection="1">
      <alignment horizontal="center" vertical="center"/>
    </xf>
    <xf numFmtId="0" fontId="7" fillId="0" borderId="60" xfId="2608" applyFont="1" applyFill="1" applyBorder="1" applyAlignment="1" applyProtection="1">
      <alignment horizontal="center" vertical="center"/>
    </xf>
    <xf numFmtId="0" fontId="7" fillId="0" borderId="22" xfId="2608" applyFont="1" applyFill="1" applyBorder="1" applyAlignment="1" applyProtection="1">
      <alignment horizontal="center" vertical="center"/>
    </xf>
    <xf numFmtId="0" fontId="7" fillId="0" borderId="56" xfId="2608" applyFont="1" applyFill="1" applyBorder="1" applyAlignment="1" applyProtection="1">
      <alignment horizontal="center" vertical="center"/>
    </xf>
    <xf numFmtId="0" fontId="218" fillId="0" borderId="0" xfId="2" applyFont="1" applyFill="1" applyAlignment="1" applyProtection="1">
      <alignment horizontal="center"/>
    </xf>
    <xf numFmtId="0" fontId="7" fillId="0" borderId="15" xfId="2608" applyFont="1" applyFill="1" applyBorder="1" applyAlignment="1" applyProtection="1">
      <alignment horizontal="center" vertical="center"/>
    </xf>
    <xf numFmtId="0" fontId="7" fillId="0" borderId="19" xfId="2" applyFont="1" applyFill="1" applyBorder="1" applyAlignment="1" applyProtection="1">
      <alignment horizontal="center" vertical="center" shrinkToFit="1"/>
    </xf>
    <xf numFmtId="0" fontId="221" fillId="0" borderId="0" xfId="2" applyFont="1" applyFill="1" applyBorder="1" applyAlignment="1" applyProtection="1">
      <alignment horizontal="right"/>
    </xf>
    <xf numFmtId="0" fontId="208" fillId="0" borderId="10" xfId="2" applyFont="1" applyFill="1" applyBorder="1" applyAlignment="1" applyProtection="1">
      <alignment horizontal="center" vertical="center"/>
    </xf>
    <xf numFmtId="0" fontId="7" fillId="0" borderId="22" xfId="2" applyFont="1" applyFill="1" applyBorder="1" applyAlignment="1" applyProtection="1">
      <alignment horizontal="center" vertical="center"/>
    </xf>
    <xf numFmtId="0" fontId="7" fillId="0" borderId="23" xfId="2" applyFont="1" applyFill="1" applyBorder="1" applyAlignment="1" applyProtection="1">
      <alignment horizontal="center" vertical="center"/>
    </xf>
    <xf numFmtId="0" fontId="7" fillId="0" borderId="20" xfId="2" applyFont="1" applyFill="1" applyBorder="1" applyAlignment="1" applyProtection="1">
      <alignment horizontal="center" vertical="center"/>
    </xf>
    <xf numFmtId="0" fontId="7" fillId="0" borderId="20" xfId="2608" applyFont="1" applyFill="1" applyBorder="1" applyAlignment="1" applyProtection="1">
      <alignment horizontal="center" vertical="center"/>
    </xf>
    <xf numFmtId="0" fontId="208" fillId="0" borderId="15" xfId="1" applyFont="1" applyFill="1" applyBorder="1" applyAlignment="1" applyProtection="1">
      <alignment horizontal="center" vertical="center"/>
    </xf>
    <xf numFmtId="0" fontId="218" fillId="0" borderId="0" xfId="1" applyFont="1" applyFill="1" applyAlignment="1" applyProtection="1">
      <alignment horizontal="center"/>
    </xf>
    <xf numFmtId="0" fontId="7" fillId="0" borderId="19" xfId="1" applyFont="1" applyFill="1" applyBorder="1" applyAlignment="1" applyProtection="1">
      <alignment horizontal="center" vertical="center" shrinkToFit="1"/>
    </xf>
    <xf numFmtId="0" fontId="7" fillId="0" borderId="22" xfId="1" applyFont="1" applyFill="1" applyBorder="1" applyAlignment="1" applyProtection="1">
      <alignment horizontal="center" vertical="center" shrinkToFit="1"/>
    </xf>
    <xf numFmtId="0" fontId="218" fillId="0" borderId="0" xfId="1" applyFont="1" applyFill="1" applyAlignment="1" applyProtection="1">
      <alignment horizontal="center" vertical="center"/>
    </xf>
    <xf numFmtId="0" fontId="227" fillId="0" borderId="0" xfId="2" applyFont="1" applyFill="1" applyAlignment="1" applyProtection="1">
      <alignment vertical="center"/>
    </xf>
    <xf numFmtId="0" fontId="227" fillId="0" borderId="0" xfId="2" applyFont="1" applyFill="1" applyAlignment="1" applyProtection="1">
      <alignment horizontal="center" vertical="center"/>
    </xf>
    <xf numFmtId="176" fontId="7" fillId="0" borderId="0" xfId="3" applyFont="1" applyFill="1" applyBorder="1" applyAlignment="1" applyProtection="1">
      <alignment horizontal="left"/>
    </xf>
    <xf numFmtId="3" fontId="221" fillId="0" borderId="0" xfId="2" applyNumberFormat="1" applyFont="1" applyFill="1" applyBorder="1" applyAlignment="1" applyProtection="1"/>
    <xf numFmtId="3" fontId="221" fillId="0" borderId="0" xfId="2" applyNumberFormat="1" applyFont="1" applyFill="1" applyBorder="1" applyAlignment="1" applyProtection="1">
      <alignment horizontal="left"/>
    </xf>
    <xf numFmtId="0" fontId="230" fillId="0" borderId="0" xfId="2" applyFont="1" applyFill="1" applyBorder="1" applyAlignment="1" applyProtection="1">
      <alignment horizontal="left"/>
    </xf>
    <xf numFmtId="41" fontId="221" fillId="0" borderId="0" xfId="2" applyNumberFormat="1" applyFont="1" applyFill="1" applyAlignment="1" applyProtection="1"/>
    <xf numFmtId="0" fontId="221" fillId="0" borderId="0" xfId="2" applyFont="1" applyFill="1" applyAlignment="1" applyProtection="1">
      <alignment horizontal="left"/>
    </xf>
    <xf numFmtId="41" fontId="208" fillId="0" borderId="0" xfId="2" applyNumberFormat="1" applyFont="1" applyFill="1" applyProtection="1"/>
    <xf numFmtId="0" fontId="7" fillId="0" borderId="60" xfId="0" applyFont="1" applyFill="1" applyBorder="1" applyAlignment="1">
      <alignment horizontal="right" wrapText="1"/>
    </xf>
    <xf numFmtId="176" fontId="7" fillId="0" borderId="60" xfId="4459" applyFont="1" applyFill="1" applyBorder="1" applyAlignment="1">
      <alignment horizontal="right" wrapText="1"/>
    </xf>
    <xf numFmtId="0" fontId="7" fillId="0" borderId="0" xfId="0" applyFont="1" applyFill="1" applyBorder="1" applyAlignment="1">
      <alignment horizontal="right" wrapText="1"/>
    </xf>
    <xf numFmtId="176" fontId="7" fillId="0" borderId="0" xfId="4459" applyFont="1" applyFill="1" applyBorder="1" applyAlignment="1">
      <alignment horizontal="right" wrapText="1"/>
    </xf>
    <xf numFmtId="41" fontId="273" fillId="0" borderId="0" xfId="2" applyNumberFormat="1" applyFont="1" applyFill="1" applyBorder="1" applyAlignment="1" applyProtection="1">
      <alignment horizontal="right" wrapText="1"/>
    </xf>
    <xf numFmtId="41" fontId="273" fillId="0" borderId="71" xfId="2" applyNumberFormat="1" applyFont="1" applyFill="1" applyBorder="1" applyAlignment="1" applyProtection="1">
      <alignment horizontal="right" wrapText="1"/>
    </xf>
    <xf numFmtId="176" fontId="221" fillId="0" borderId="0" xfId="3" applyFont="1" applyFill="1" applyBorder="1" applyAlignment="1" applyProtection="1">
      <alignment horizontal="left"/>
    </xf>
    <xf numFmtId="176" fontId="221" fillId="0" borderId="0" xfId="3" applyFont="1" applyFill="1" applyBorder="1" applyAlignment="1" applyProtection="1">
      <alignment horizontal="right"/>
    </xf>
    <xf numFmtId="0" fontId="230" fillId="0" borderId="0" xfId="2" applyFont="1" applyFill="1" applyAlignment="1" applyProtection="1">
      <alignment vertical="center"/>
    </xf>
    <xf numFmtId="0" fontId="208" fillId="0" borderId="10" xfId="2" applyFont="1" applyFill="1" applyBorder="1" applyAlignment="1" applyProtection="1">
      <alignment horizontal="left"/>
    </xf>
    <xf numFmtId="0" fontId="7" fillId="0" borderId="57" xfId="2" applyFont="1" applyFill="1" applyBorder="1" applyAlignment="1" applyProtection="1">
      <alignment horizontal="centerContinuous" vertical="center"/>
    </xf>
    <xf numFmtId="0" fontId="7" fillId="0" borderId="17" xfId="2" applyFont="1" applyFill="1" applyBorder="1" applyAlignment="1" applyProtection="1">
      <alignment horizontal="centerContinuous" vertical="center"/>
    </xf>
    <xf numFmtId="0" fontId="208" fillId="0" borderId="18" xfId="2" applyFont="1" applyFill="1" applyBorder="1" applyAlignment="1" applyProtection="1">
      <alignment horizontal="centerContinuous" vertical="center"/>
    </xf>
    <xf numFmtId="0" fontId="7" fillId="0" borderId="57" xfId="2" applyFont="1" applyFill="1" applyBorder="1" applyAlignment="1" applyProtection="1">
      <alignment horizontal="center" vertical="center" shrinkToFit="1"/>
    </xf>
    <xf numFmtId="0" fontId="7" fillId="0" borderId="16" xfId="2" applyFont="1" applyFill="1" applyBorder="1" applyAlignment="1" applyProtection="1">
      <alignment horizontal="left" vertical="center"/>
    </xf>
    <xf numFmtId="0" fontId="220" fillId="0" borderId="0" xfId="0" applyFont="1" applyFill="1" applyBorder="1" applyAlignment="1">
      <alignment vertical="center" wrapText="1"/>
    </xf>
    <xf numFmtId="41" fontId="219" fillId="131" borderId="0" xfId="0" applyNumberFormat="1" applyFont="1" applyFill="1" applyBorder="1" applyAlignment="1">
      <alignment horizontal="right"/>
    </xf>
    <xf numFmtId="41" fontId="7" fillId="131" borderId="0" xfId="0" applyNumberFormat="1" applyFont="1" applyFill="1" applyBorder="1" applyAlignment="1">
      <alignment horizontal="right"/>
    </xf>
    <xf numFmtId="0" fontId="284" fillId="0" borderId="0" xfId="0" applyFont="1" applyFill="1" applyBorder="1" applyAlignment="1">
      <alignment horizontal="right" vertical="center"/>
    </xf>
    <xf numFmtId="41" fontId="7" fillId="131" borderId="67" xfId="0" applyNumberFormat="1" applyFont="1" applyFill="1" applyBorder="1" applyAlignment="1">
      <alignment horizontal="right"/>
    </xf>
    <xf numFmtId="41" fontId="7" fillId="131" borderId="71" xfId="0" applyNumberFormat="1" applyFont="1" applyFill="1" applyBorder="1" applyAlignment="1">
      <alignment horizontal="right"/>
    </xf>
    <xf numFmtId="0" fontId="284" fillId="0" borderId="71" xfId="0" applyFont="1" applyFill="1" applyBorder="1" applyAlignment="1">
      <alignment horizontal="right" vertical="center"/>
    </xf>
    <xf numFmtId="41" fontId="7" fillId="0" borderId="71" xfId="2" applyNumberFormat="1" applyFont="1" applyFill="1" applyBorder="1" applyAlignment="1" applyProtection="1">
      <alignment horizontal="right"/>
    </xf>
    <xf numFmtId="41" fontId="7" fillId="0" borderId="71" xfId="3" applyNumberFormat="1" applyFont="1" applyFill="1" applyBorder="1" applyAlignment="1" applyProtection="1">
      <alignment horizontal="right"/>
    </xf>
    <xf numFmtId="0" fontId="208" fillId="0" borderId="0" xfId="2608" applyFont="1" applyFill="1" applyBorder="1" applyProtection="1"/>
    <xf numFmtId="41" fontId="219" fillId="0" borderId="0" xfId="4219" applyNumberFormat="1" applyFont="1" applyFill="1" applyBorder="1" applyAlignment="1" applyProtection="1">
      <alignment horizontal="right"/>
    </xf>
    <xf numFmtId="41" fontId="7" fillId="0" borderId="0" xfId="2608" applyNumberFormat="1" applyFont="1" applyFill="1" applyBorder="1" applyAlignment="1" applyProtection="1"/>
    <xf numFmtId="41" fontId="7" fillId="0" borderId="19" xfId="4228" applyNumberFormat="1" applyFont="1" applyFill="1" applyBorder="1" applyAlignment="1" applyProtection="1">
      <alignment horizontal="center"/>
    </xf>
    <xf numFmtId="0" fontId="7" fillId="0" borderId="15" xfId="2608" applyFont="1" applyFill="1" applyBorder="1" applyAlignment="1" applyProtection="1">
      <alignment horizontal="center"/>
    </xf>
    <xf numFmtId="41" fontId="7" fillId="0" borderId="0" xfId="4228" applyNumberFormat="1" applyFont="1" applyFill="1" applyBorder="1" applyAlignment="1" applyProtection="1">
      <alignment horizontal="center"/>
    </xf>
    <xf numFmtId="0" fontId="219" fillId="0" borderId="71" xfId="2608" applyFont="1" applyFill="1" applyBorder="1" applyAlignment="1" applyProtection="1">
      <alignment horizontal="center"/>
    </xf>
    <xf numFmtId="41" fontId="219" fillId="0" borderId="0" xfId="2608" applyNumberFormat="1" applyFont="1" applyFill="1" applyBorder="1" applyAlignment="1" applyProtection="1"/>
    <xf numFmtId="0" fontId="221" fillId="0" borderId="0" xfId="2608" applyFont="1" applyFill="1" applyBorder="1" applyProtection="1"/>
    <xf numFmtId="41" fontId="208" fillId="0" borderId="0" xfId="2608" applyNumberFormat="1" applyFont="1" applyFill="1" applyProtection="1"/>
    <xf numFmtId="0" fontId="7" fillId="0" borderId="0" xfId="2" applyFont="1" applyFill="1" applyAlignment="1" applyProtection="1">
      <alignment vertical="top"/>
    </xf>
    <xf numFmtId="0" fontId="229" fillId="0" borderId="0" xfId="2" applyFont="1" applyFill="1" applyAlignment="1" applyProtection="1">
      <alignment vertical="center"/>
    </xf>
    <xf numFmtId="0" fontId="286" fillId="0" borderId="0" xfId="2" applyFont="1" applyFill="1" applyAlignment="1" applyProtection="1">
      <alignment vertical="center"/>
    </xf>
    <xf numFmtId="41" fontId="230" fillId="0" borderId="0" xfId="4228" applyFont="1" applyFill="1" applyAlignment="1" applyProtection="1"/>
    <xf numFmtId="0" fontId="217" fillId="0" borderId="0" xfId="2619" applyFont="1" applyFill="1" applyAlignment="1" applyProtection="1">
      <alignment vertical="center"/>
    </xf>
    <xf numFmtId="0" fontId="218" fillId="0" borderId="0" xfId="1" applyFont="1" applyFill="1" applyAlignment="1" applyProtection="1">
      <alignment vertical="center"/>
    </xf>
    <xf numFmtId="0" fontId="228" fillId="0" borderId="0" xfId="2619" applyFont="1" applyFill="1" applyBorder="1" applyAlignment="1" applyProtection="1">
      <alignment horizontal="left"/>
    </xf>
    <xf numFmtId="0" fontId="221" fillId="0" borderId="0" xfId="2619" applyFont="1" applyFill="1" applyAlignment="1" applyProtection="1">
      <alignment horizontal="left"/>
    </xf>
    <xf numFmtId="0" fontId="221" fillId="0" borderId="0" xfId="2619" applyFont="1" applyFill="1" applyProtection="1"/>
    <xf numFmtId="0" fontId="221" fillId="0" borderId="0" xfId="2618" applyFont="1" applyFill="1" applyProtection="1"/>
    <xf numFmtId="0" fontId="221" fillId="0" borderId="0" xfId="2619" applyFont="1" applyFill="1" applyAlignment="1" applyProtection="1">
      <alignment horizontal="right"/>
    </xf>
    <xf numFmtId="0" fontId="221" fillId="0" borderId="0" xfId="2619" applyFont="1" applyFill="1" applyBorder="1" applyProtection="1"/>
    <xf numFmtId="0" fontId="228" fillId="0" borderId="0" xfId="2619" applyFont="1" applyFill="1" applyBorder="1" applyAlignment="1" applyProtection="1">
      <alignment horizontal="right"/>
    </xf>
    <xf numFmtId="0" fontId="7" fillId="0" borderId="10" xfId="2619" applyFont="1" applyFill="1" applyBorder="1" applyAlignment="1" applyProtection="1">
      <alignment horizontal="center" vertical="center"/>
    </xf>
    <xf numFmtId="0" fontId="260" fillId="0" borderId="0" xfId="2618" applyFont="1" applyFill="1" applyProtection="1"/>
    <xf numFmtId="0" fontId="7" fillId="0" borderId="15" xfId="2619" applyFont="1" applyFill="1" applyBorder="1" applyAlignment="1" applyProtection="1">
      <alignment horizontal="center" vertical="center"/>
    </xf>
    <xf numFmtId="0" fontId="7" fillId="0" borderId="60" xfId="2619" applyFont="1" applyFill="1" applyBorder="1" applyAlignment="1" applyProtection="1">
      <alignment horizontal="centerContinuous"/>
    </xf>
    <xf numFmtId="0" fontId="7" fillId="0" borderId="18" xfId="2619" applyFont="1" applyFill="1" applyBorder="1" applyAlignment="1" applyProtection="1">
      <alignment horizontal="centerContinuous"/>
    </xf>
    <xf numFmtId="0" fontId="7" fillId="0" borderId="17" xfId="2619" applyFont="1" applyFill="1" applyBorder="1" applyAlignment="1" applyProtection="1">
      <alignment horizontal="centerContinuous"/>
    </xf>
    <xf numFmtId="0" fontId="7" fillId="0" borderId="19" xfId="2619" applyFont="1" applyFill="1" applyBorder="1" applyAlignment="1" applyProtection="1">
      <alignment horizontal="center" vertical="center"/>
    </xf>
    <xf numFmtId="0" fontId="7" fillId="0" borderId="0" xfId="2619" applyFont="1" applyFill="1" applyBorder="1" applyAlignment="1" applyProtection="1">
      <alignment horizontal="center" vertical="center"/>
    </xf>
    <xf numFmtId="0" fontId="260" fillId="0" borderId="0" xfId="2618" applyFont="1" applyFill="1" applyBorder="1" applyProtection="1"/>
    <xf numFmtId="0" fontId="7" fillId="0" borderId="15" xfId="2619" applyFont="1" applyFill="1" applyBorder="1" applyAlignment="1" applyProtection="1">
      <alignment horizontal="center" vertical="center" shrinkToFit="1"/>
    </xf>
    <xf numFmtId="0" fontId="208" fillId="0" borderId="57" xfId="2619" applyFont="1" applyFill="1" applyBorder="1" applyAlignment="1" applyProtection="1">
      <alignment horizontal="center" vertical="center" shrinkToFit="1"/>
    </xf>
    <xf numFmtId="0" fontId="208" fillId="0" borderId="18" xfId="2619" applyFont="1" applyFill="1" applyBorder="1" applyAlignment="1" applyProtection="1">
      <alignment horizontal="center" vertical="center" shrinkToFit="1"/>
    </xf>
    <xf numFmtId="0" fontId="221" fillId="0" borderId="0" xfId="2618" applyFont="1" applyFill="1" applyAlignment="1" applyProtection="1">
      <alignment shrinkToFit="1"/>
    </xf>
    <xf numFmtId="0" fontId="208" fillId="0" borderId="16" xfId="2619" applyFont="1" applyFill="1" applyBorder="1" applyAlignment="1" applyProtection="1">
      <alignment horizontal="center" vertical="center" shrinkToFit="1"/>
    </xf>
    <xf numFmtId="0" fontId="208" fillId="0" borderId="19" xfId="2619" applyFont="1" applyFill="1" applyBorder="1" applyAlignment="1" applyProtection="1">
      <alignment horizontal="center" vertical="center" shrinkToFit="1"/>
    </xf>
    <xf numFmtId="0" fontId="7" fillId="0" borderId="16" xfId="2619" applyFont="1" applyFill="1" applyBorder="1" applyAlignment="1" applyProtection="1">
      <alignment horizontal="center" vertical="center" shrinkToFit="1"/>
    </xf>
    <xf numFmtId="0" fontId="7" fillId="0" borderId="19" xfId="2619" applyFont="1" applyFill="1" applyBorder="1" applyAlignment="1" applyProtection="1">
      <alignment horizontal="center" vertical="center" shrinkToFit="1"/>
    </xf>
    <xf numFmtId="0" fontId="260" fillId="0" borderId="0" xfId="2618" applyFont="1" applyFill="1" applyAlignment="1" applyProtection="1">
      <alignment shrinkToFit="1"/>
    </xf>
    <xf numFmtId="0" fontId="208" fillId="0" borderId="20" xfId="2619" applyFont="1" applyFill="1" applyBorder="1" applyAlignment="1" applyProtection="1">
      <alignment horizontal="center" vertical="center" shrinkToFit="1"/>
    </xf>
    <xf numFmtId="0" fontId="7" fillId="0" borderId="21" xfId="2619" applyFont="1" applyFill="1" applyBorder="1" applyAlignment="1" applyProtection="1">
      <alignment horizontal="center" vertical="center" shrinkToFit="1"/>
    </xf>
    <xf numFmtId="0" fontId="7" fillId="0" borderId="22" xfId="2619" applyFont="1" applyFill="1" applyBorder="1" applyAlignment="1" applyProtection="1">
      <alignment horizontal="center" vertical="center" shrinkToFit="1"/>
    </xf>
    <xf numFmtId="0" fontId="136" fillId="0" borderId="0" xfId="2618" applyFont="1" applyFill="1" applyAlignment="1" applyProtection="1">
      <alignment shrinkToFit="1"/>
    </xf>
    <xf numFmtId="176" fontId="7" fillId="0" borderId="0" xfId="2620" applyNumberFormat="1" applyFont="1" applyFill="1" applyBorder="1" applyAlignment="1" applyProtection="1">
      <alignment horizontal="center"/>
    </xf>
    <xf numFmtId="176" fontId="7" fillId="0" borderId="0" xfId="2620" applyNumberFormat="1" applyFont="1" applyFill="1" applyBorder="1" applyAlignment="1" applyProtection="1">
      <alignment horizontal="right"/>
    </xf>
    <xf numFmtId="0" fontId="136" fillId="0" borderId="0" xfId="2618" applyFont="1" applyFill="1" applyBorder="1" applyProtection="1"/>
    <xf numFmtId="176" fontId="221" fillId="0" borderId="0" xfId="2620" applyNumberFormat="1" applyFont="1" applyFill="1" applyBorder="1" applyAlignment="1" applyProtection="1">
      <alignment horizontal="right"/>
    </xf>
    <xf numFmtId="0" fontId="220" fillId="0" borderId="0" xfId="2619" applyFont="1" applyFill="1" applyBorder="1" applyAlignment="1" applyProtection="1">
      <alignment shrinkToFit="1"/>
    </xf>
    <xf numFmtId="0" fontId="287" fillId="0" borderId="0" xfId="2618" applyFont="1" applyFill="1" applyBorder="1" applyAlignment="1" applyProtection="1"/>
    <xf numFmtId="0" fontId="287" fillId="0" borderId="0" xfId="2618" applyFont="1" applyFill="1" applyAlignment="1" applyProtection="1"/>
    <xf numFmtId="0" fontId="220" fillId="0" borderId="0" xfId="2619" applyFont="1" applyFill="1" applyBorder="1" applyAlignment="1" applyProtection="1"/>
    <xf numFmtId="176" fontId="221" fillId="0" borderId="0" xfId="2620" applyNumberFormat="1" applyFont="1" applyFill="1" applyBorder="1" applyAlignment="1" applyProtection="1">
      <alignment horizontal="center"/>
    </xf>
    <xf numFmtId="41" fontId="7" fillId="0" borderId="19" xfId="2620" applyNumberFormat="1" applyFont="1" applyFill="1" applyBorder="1" applyAlignment="1" applyProtection="1">
      <alignment horizontal="center"/>
    </xf>
    <xf numFmtId="41" fontId="7" fillId="0" borderId="15" xfId="2620" applyNumberFormat="1" applyFont="1" applyFill="1" applyBorder="1" applyAlignment="1" applyProtection="1">
      <alignment horizontal="center"/>
    </xf>
    <xf numFmtId="41" fontId="219" fillId="0" borderId="67" xfId="2620" applyNumberFormat="1" applyFont="1" applyFill="1" applyBorder="1" applyAlignment="1" applyProtection="1">
      <alignment horizontal="right"/>
    </xf>
    <xf numFmtId="41" fontId="219" fillId="0" borderId="66" xfId="2620" applyNumberFormat="1" applyFont="1" applyFill="1" applyBorder="1" applyAlignment="1" applyProtection="1">
      <alignment horizontal="right"/>
    </xf>
    <xf numFmtId="41" fontId="207" fillId="0" borderId="67" xfId="4228" applyFont="1" applyFill="1" applyBorder="1">
      <alignment vertical="center"/>
    </xf>
    <xf numFmtId="41" fontId="179" fillId="0" borderId="71" xfId="4223" applyNumberFormat="1" applyFont="1" applyFill="1" applyBorder="1" applyAlignment="1" applyProtection="1">
      <alignment horizontal="right"/>
    </xf>
    <xf numFmtId="41" fontId="179" fillId="0" borderId="71" xfId="2608" applyNumberFormat="1" applyFont="1" applyFill="1" applyBorder="1" applyAlignment="1" applyProtection="1">
      <alignment horizontal="left"/>
    </xf>
    <xf numFmtId="0" fontId="282" fillId="0" borderId="0" xfId="1" applyFont="1" applyFill="1" applyBorder="1" applyProtection="1"/>
    <xf numFmtId="176" fontId="221" fillId="0" borderId="0" xfId="1558" applyNumberFormat="1" applyFont="1" applyFill="1" applyBorder="1" applyAlignment="1" applyProtection="1">
      <alignment horizontal="center"/>
    </xf>
    <xf numFmtId="176" fontId="221" fillId="0" borderId="0" xfId="1558" applyNumberFormat="1" applyFont="1" applyFill="1" applyBorder="1" applyAlignment="1" applyProtection="1">
      <alignment horizontal="right"/>
    </xf>
    <xf numFmtId="0" fontId="221" fillId="0" borderId="0" xfId="1" applyFont="1" applyFill="1" applyBorder="1" applyProtection="1"/>
    <xf numFmtId="0" fontId="6" fillId="0" borderId="12" xfId="2" applyFont="1" applyFill="1" applyBorder="1" applyAlignment="1" applyProtection="1">
      <alignment horizontal="center" vertical="center"/>
    </xf>
    <xf numFmtId="0" fontId="6" fillId="0" borderId="14" xfId="2" applyFont="1" applyFill="1" applyBorder="1" applyAlignment="1" applyProtection="1">
      <alignment horizontal="center" vertical="center"/>
    </xf>
    <xf numFmtId="0" fontId="6" fillId="0" borderId="13" xfId="2" applyFont="1" applyFill="1" applyBorder="1" applyAlignment="1" applyProtection="1">
      <alignment horizontal="center" vertical="center"/>
    </xf>
    <xf numFmtId="0" fontId="214" fillId="0" borderId="0" xfId="2" applyFont="1" applyFill="1" applyAlignment="1" applyProtection="1">
      <alignment horizontal="center" vertical="center"/>
    </xf>
    <xf numFmtId="0" fontId="179" fillId="0" borderId="22" xfId="2" applyFont="1" applyFill="1" applyBorder="1" applyAlignment="1" applyProtection="1">
      <alignment horizontal="center" vertical="center"/>
    </xf>
    <xf numFmtId="0" fontId="179" fillId="0" borderId="20" xfId="2" applyFont="1" applyFill="1" applyBorder="1" applyAlignment="1" applyProtection="1">
      <alignment horizontal="center" vertical="center"/>
    </xf>
    <xf numFmtId="0" fontId="250" fillId="0" borderId="0" xfId="2" applyFont="1" applyFill="1" applyAlignment="1" applyProtection="1">
      <alignment horizontal="center" vertical="center"/>
    </xf>
    <xf numFmtId="0" fontId="179" fillId="0" borderId="0" xfId="2" applyFont="1" applyFill="1" applyBorder="1" applyAlignment="1" applyProtection="1">
      <alignment horizontal="center" vertical="center"/>
    </xf>
    <xf numFmtId="0" fontId="179" fillId="0" borderId="15" xfId="2" applyFont="1" applyFill="1" applyBorder="1" applyAlignment="1" applyProtection="1">
      <alignment horizontal="center" vertical="center"/>
    </xf>
    <xf numFmtId="0" fontId="6" fillId="0" borderId="11" xfId="2" applyFont="1" applyFill="1" applyBorder="1" applyAlignment="1" applyProtection="1">
      <alignment horizontal="center" vertical="center"/>
    </xf>
    <xf numFmtId="0" fontId="6" fillId="0" borderId="10" xfId="2" applyFont="1" applyFill="1" applyBorder="1" applyAlignment="1" applyProtection="1">
      <alignment horizontal="center" vertical="center"/>
    </xf>
    <xf numFmtId="0" fontId="179" fillId="0" borderId="19" xfId="2" applyFont="1" applyFill="1" applyBorder="1" applyAlignment="1" applyProtection="1">
      <alignment horizontal="center" vertical="center"/>
    </xf>
    <xf numFmtId="0" fontId="243" fillId="0" borderId="19" xfId="2" applyFont="1" applyFill="1" applyBorder="1" applyAlignment="1" applyProtection="1">
      <alignment horizontal="center" vertical="center"/>
    </xf>
    <xf numFmtId="0" fontId="243" fillId="0" borderId="18" xfId="2" applyFont="1" applyFill="1" applyBorder="1" applyAlignment="1" applyProtection="1">
      <alignment horizontal="center" vertical="center"/>
    </xf>
    <xf numFmtId="0" fontId="243" fillId="0" borderId="17" xfId="2" applyFont="1" applyFill="1" applyBorder="1" applyAlignment="1" applyProtection="1">
      <alignment horizontal="center" vertical="center"/>
    </xf>
    <xf numFmtId="0" fontId="6" fillId="0" borderId="18" xfId="2" applyFont="1" applyFill="1" applyBorder="1" applyAlignment="1" applyProtection="1">
      <alignment horizontal="center" vertical="center"/>
    </xf>
    <xf numFmtId="0" fontId="6" fillId="0" borderId="17" xfId="2" applyFont="1" applyFill="1" applyBorder="1" applyAlignment="1" applyProtection="1">
      <alignment horizontal="center" vertical="center"/>
    </xf>
    <xf numFmtId="0" fontId="243" fillId="0" borderId="60" xfId="2" applyFont="1" applyFill="1" applyBorder="1" applyAlignment="1" applyProtection="1">
      <alignment horizontal="center" vertical="center"/>
    </xf>
    <xf numFmtId="0" fontId="213" fillId="0" borderId="0" xfId="2" applyFont="1" applyFill="1" applyAlignment="1" applyProtection="1">
      <alignment horizontal="center" vertical="center"/>
    </xf>
    <xf numFmtId="0" fontId="52" fillId="0" borderId="0" xfId="2" applyFont="1" applyFill="1" applyAlignment="1" applyProtection="1">
      <alignment horizontal="left" vertical="top"/>
    </xf>
    <xf numFmtId="0" fontId="216" fillId="0" borderId="0" xfId="2" applyFont="1" applyFill="1" applyAlignment="1" applyProtection="1">
      <alignment horizontal="left" vertical="top"/>
    </xf>
    <xf numFmtId="0" fontId="217" fillId="0" borderId="0" xfId="2" applyFont="1" applyFill="1" applyAlignment="1" applyProtection="1">
      <alignment horizontal="center" vertical="center"/>
    </xf>
    <xf numFmtId="0" fontId="218" fillId="0" borderId="0" xfId="2" applyFont="1" applyFill="1" applyAlignment="1" applyProtection="1">
      <alignment horizontal="center" vertical="center"/>
    </xf>
    <xf numFmtId="3" fontId="7" fillId="0" borderId="36" xfId="0" applyNumberFormat="1" applyFont="1" applyFill="1" applyBorder="1" applyAlignment="1">
      <alignment horizontal="center" vertical="center" wrapText="1"/>
    </xf>
    <xf numFmtId="3" fontId="7" fillId="0" borderId="36" xfId="0" applyNumberFormat="1" applyFont="1" applyFill="1" applyBorder="1" applyAlignment="1">
      <alignment horizontal="center" vertical="center"/>
    </xf>
    <xf numFmtId="0" fontId="7" fillId="0" borderId="61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208" fillId="0" borderId="36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68" xfId="0" applyFont="1" applyFill="1" applyBorder="1" applyAlignment="1">
      <alignment horizontal="center" vertical="center" wrapText="1"/>
    </xf>
    <xf numFmtId="3" fontId="7" fillId="0" borderId="13" xfId="0" applyNumberFormat="1" applyFont="1" applyFill="1" applyBorder="1" applyAlignment="1">
      <alignment horizontal="center" vertical="center" wrapText="1"/>
    </xf>
    <xf numFmtId="3" fontId="7" fillId="0" borderId="58" xfId="0" applyNumberFormat="1" applyFont="1" applyFill="1" applyBorder="1" applyAlignment="1">
      <alignment horizontal="center" vertical="center" wrapText="1"/>
    </xf>
    <xf numFmtId="3" fontId="7" fillId="0" borderId="68" xfId="0" applyNumberFormat="1" applyFont="1" applyFill="1" applyBorder="1" applyAlignment="1">
      <alignment horizontal="center" vertical="center" wrapText="1"/>
    </xf>
    <xf numFmtId="0" fontId="221" fillId="0" borderId="0" xfId="2" applyFont="1" applyFill="1" applyAlignment="1" applyProtection="1">
      <alignment horizontal="left"/>
    </xf>
    <xf numFmtId="0" fontId="230" fillId="0" borderId="0" xfId="2" applyFont="1" applyFill="1" applyAlignment="1" applyProtection="1">
      <alignment horizontal="left"/>
    </xf>
    <xf numFmtId="0" fontId="7" fillId="0" borderId="59" xfId="0" applyFont="1" applyFill="1" applyBorder="1" applyAlignment="1">
      <alignment horizontal="center" vertical="center" wrapText="1"/>
    </xf>
    <xf numFmtId="176" fontId="7" fillId="0" borderId="0" xfId="3" applyFont="1" applyFill="1" applyBorder="1" applyAlignment="1" applyProtection="1">
      <alignment horizontal="left"/>
    </xf>
    <xf numFmtId="3" fontId="221" fillId="0" borderId="0" xfId="2" applyNumberFormat="1" applyFont="1" applyFill="1" applyBorder="1" applyAlignment="1" applyProtection="1">
      <alignment horizontal="left"/>
    </xf>
    <xf numFmtId="0" fontId="230" fillId="0" borderId="0" xfId="2" applyFont="1" applyFill="1" applyBorder="1" applyAlignment="1" applyProtection="1">
      <alignment horizontal="left"/>
    </xf>
    <xf numFmtId="176" fontId="7" fillId="0" borderId="36" xfId="4459" applyFont="1" applyFill="1" applyBorder="1" applyAlignment="1">
      <alignment horizontal="center" vertical="center" wrapText="1"/>
    </xf>
    <xf numFmtId="0" fontId="220" fillId="0" borderId="0" xfId="0" applyFont="1" applyFill="1" applyBorder="1" applyAlignment="1">
      <alignment horizontal="left" vertical="center"/>
    </xf>
    <xf numFmtId="0" fontId="220" fillId="0" borderId="0" xfId="2" applyFont="1" applyFill="1" applyBorder="1" applyAlignment="1" applyProtection="1">
      <alignment horizontal="left"/>
    </xf>
    <xf numFmtId="0" fontId="7" fillId="0" borderId="57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top" wrapText="1"/>
    </xf>
    <xf numFmtId="0" fontId="7" fillId="0" borderId="29" xfId="0" applyFont="1" applyFill="1" applyBorder="1" applyAlignment="1">
      <alignment horizontal="center" vertical="top" wrapText="1"/>
    </xf>
    <xf numFmtId="0" fontId="208" fillId="0" borderId="57" xfId="0" applyFont="1" applyFill="1" applyBorder="1" applyAlignment="1">
      <alignment horizontal="center" vertical="center" wrapText="1"/>
    </xf>
    <xf numFmtId="0" fontId="208" fillId="0" borderId="16" xfId="0" applyFont="1" applyFill="1" applyBorder="1" applyAlignment="1">
      <alignment horizontal="center" vertical="center" wrapText="1"/>
    </xf>
    <xf numFmtId="0" fontId="208" fillId="0" borderId="21" xfId="0" applyFont="1" applyFill="1" applyBorder="1" applyAlignment="1">
      <alignment horizontal="center" vertical="center" wrapText="1"/>
    </xf>
    <xf numFmtId="0" fontId="218" fillId="0" borderId="0" xfId="2" applyFont="1" applyFill="1" applyAlignment="1" applyProtection="1">
      <alignment horizontal="center"/>
    </xf>
    <xf numFmtId="176" fontId="221" fillId="0" borderId="0" xfId="3" applyFont="1" applyFill="1" applyBorder="1" applyAlignment="1" applyProtection="1">
      <alignment horizontal="left"/>
    </xf>
    <xf numFmtId="0" fontId="270" fillId="0" borderId="10" xfId="0" applyFont="1" applyFill="1" applyBorder="1" applyAlignment="1">
      <alignment horizontal="center" vertical="top" wrapText="1"/>
    </xf>
    <xf numFmtId="0" fontId="270" fillId="0" borderId="15" xfId="0" applyFont="1" applyFill="1" applyBorder="1" applyAlignment="1">
      <alignment horizontal="center" vertical="top" wrapText="1"/>
    </xf>
    <xf numFmtId="0" fontId="270" fillId="0" borderId="20" xfId="0" applyFont="1" applyFill="1" applyBorder="1" applyAlignment="1">
      <alignment horizontal="center" vertical="top" wrapText="1"/>
    </xf>
    <xf numFmtId="0" fontId="208" fillId="0" borderId="11" xfId="2" applyFont="1" applyFill="1" applyBorder="1" applyAlignment="1" applyProtection="1">
      <alignment horizontal="center" vertical="center"/>
    </xf>
    <xf numFmtId="0" fontId="208" fillId="0" borderId="14" xfId="2" applyFont="1" applyFill="1" applyBorder="1" applyAlignment="1" applyProtection="1">
      <alignment horizontal="center" vertical="center"/>
    </xf>
    <xf numFmtId="0" fontId="208" fillId="0" borderId="13" xfId="2" applyFont="1" applyFill="1" applyBorder="1" applyAlignment="1" applyProtection="1">
      <alignment horizontal="center" vertical="center"/>
    </xf>
    <xf numFmtId="0" fontId="208" fillId="0" borderId="56" xfId="2" applyFont="1" applyFill="1" applyBorder="1" applyAlignment="1" applyProtection="1">
      <alignment horizontal="center" vertical="center"/>
    </xf>
    <xf numFmtId="0" fontId="217" fillId="0" borderId="0" xfId="2" applyFont="1" applyFill="1" applyAlignment="1" applyProtection="1">
      <alignment horizontal="center" vertical="center" wrapText="1"/>
    </xf>
    <xf numFmtId="0" fontId="216" fillId="0" borderId="0" xfId="2" applyFont="1" applyFill="1" applyAlignment="1" applyProtection="1">
      <alignment horizontal="right" vertical="top"/>
    </xf>
    <xf numFmtId="0" fontId="281" fillId="0" borderId="0" xfId="0" applyFont="1" applyFill="1" applyBorder="1" applyAlignment="1">
      <alignment horizontal="left" vertical="center" wrapText="1"/>
    </xf>
    <xf numFmtId="0" fontId="220" fillId="0" borderId="0" xfId="0" applyFont="1" applyFill="1" applyBorder="1" applyAlignment="1">
      <alignment horizontal="left" vertical="center" wrapText="1"/>
    </xf>
    <xf numFmtId="0" fontId="222" fillId="0" borderId="18" xfId="2" applyFont="1" applyFill="1" applyBorder="1" applyAlignment="1" applyProtection="1">
      <alignment horizontal="center" vertical="center" wrapText="1" shrinkToFit="1"/>
    </xf>
    <xf numFmtId="0" fontId="208" fillId="0" borderId="29" xfId="2" applyFont="1" applyFill="1" applyBorder="1" applyAlignment="1" applyProtection="1">
      <alignment horizontal="center" vertical="center" shrinkToFit="1"/>
    </xf>
    <xf numFmtId="0" fontId="208" fillId="0" borderId="58" xfId="2" applyFont="1" applyFill="1" applyBorder="1" applyAlignment="1" applyProtection="1">
      <alignment horizontal="center" vertical="center" shrinkToFit="1"/>
    </xf>
    <xf numFmtId="0" fontId="208" fillId="0" borderId="29" xfId="2" applyFont="1" applyFill="1" applyBorder="1" applyAlignment="1" applyProtection="1">
      <alignment horizontal="center" vertical="center" wrapText="1" shrinkToFit="1"/>
    </xf>
    <xf numFmtId="0" fontId="208" fillId="0" borderId="58" xfId="2" applyFont="1" applyFill="1" applyBorder="1" applyAlignment="1" applyProtection="1">
      <alignment horizontal="center" vertical="center" wrapText="1" shrinkToFit="1"/>
    </xf>
    <xf numFmtId="0" fontId="7" fillId="0" borderId="18" xfId="2" applyFont="1" applyFill="1" applyBorder="1" applyAlignment="1" applyProtection="1">
      <alignment horizontal="center" vertical="center" wrapText="1" shrinkToFit="1"/>
    </xf>
    <xf numFmtId="0" fontId="208" fillId="0" borderId="10" xfId="2" applyFont="1" applyFill="1" applyBorder="1" applyAlignment="1" applyProtection="1">
      <alignment horizontal="center" vertical="center"/>
    </xf>
    <xf numFmtId="0" fontId="208" fillId="0" borderId="11" xfId="2" applyFont="1" applyFill="1" applyBorder="1" applyAlignment="1" applyProtection="1">
      <alignment horizontal="center" vertical="center" wrapText="1"/>
    </xf>
    <xf numFmtId="0" fontId="205" fillId="0" borderId="0" xfId="2" applyFont="1" applyFill="1" applyBorder="1" applyAlignment="1" applyProtection="1">
      <alignment horizontal="left" wrapText="1"/>
    </xf>
    <xf numFmtId="0" fontId="205" fillId="0" borderId="0" xfId="1854" applyFont="1" applyFill="1" applyBorder="1" applyAlignment="1">
      <alignment horizontal="left" vertical="center"/>
    </xf>
    <xf numFmtId="0" fontId="248" fillId="0" borderId="0" xfId="2" applyFont="1" applyFill="1" applyAlignment="1" applyProtection="1">
      <alignment horizontal="center" vertical="center"/>
    </xf>
    <xf numFmtId="0" fontId="6" fillId="0" borderId="11" xfId="2" applyFont="1" applyFill="1" applyBorder="1" applyAlignment="1" applyProtection="1">
      <alignment horizontal="center" vertical="center" wrapText="1" shrinkToFit="1"/>
    </xf>
    <xf numFmtId="0" fontId="6" fillId="0" borderId="56" xfId="2" applyFont="1" applyFill="1" applyBorder="1" applyAlignment="1" applyProtection="1">
      <alignment horizontal="center" vertical="center" shrinkToFit="1"/>
    </xf>
    <xf numFmtId="0" fontId="6" fillId="0" borderId="10" xfId="2" applyFont="1" applyFill="1" applyBorder="1" applyAlignment="1" applyProtection="1">
      <alignment horizontal="center" vertical="center" shrinkToFit="1"/>
    </xf>
    <xf numFmtId="0" fontId="213" fillId="0" borderId="0" xfId="2" applyFont="1" applyFill="1" applyAlignment="1" applyProtection="1">
      <alignment horizontal="center" vertical="center" wrapText="1"/>
    </xf>
    <xf numFmtId="0" fontId="282" fillId="0" borderId="0" xfId="0" applyFont="1" applyFill="1" applyBorder="1" applyAlignment="1">
      <alignment horizontal="left" vertical="center"/>
    </xf>
    <xf numFmtId="0" fontId="214" fillId="0" borderId="0" xfId="2" applyFont="1" applyFill="1" applyAlignment="1" applyProtection="1">
      <alignment horizontal="center"/>
    </xf>
    <xf numFmtId="0" fontId="7" fillId="0" borderId="14" xfId="2608" applyFont="1" applyFill="1" applyBorder="1" applyAlignment="1" applyProtection="1">
      <alignment horizontal="center" vertical="center"/>
    </xf>
    <xf numFmtId="0" fontId="208" fillId="0" borderId="62" xfId="2608" applyFont="1" applyFill="1" applyBorder="1" applyAlignment="1" applyProtection="1">
      <alignment horizontal="center" vertical="center" wrapText="1"/>
    </xf>
    <xf numFmtId="0" fontId="208" fillId="0" borderId="60" xfId="2608" applyFont="1" applyFill="1" applyBorder="1" applyAlignment="1" applyProtection="1">
      <alignment horizontal="center" vertical="center"/>
    </xf>
    <xf numFmtId="0" fontId="208" fillId="0" borderId="17" xfId="2608" applyFont="1" applyFill="1" applyBorder="1" applyAlignment="1" applyProtection="1">
      <alignment horizontal="center" vertical="center"/>
    </xf>
    <xf numFmtId="0" fontId="208" fillId="0" borderId="74" xfId="2608" applyFont="1" applyFill="1" applyBorder="1" applyAlignment="1" applyProtection="1">
      <alignment horizontal="center" vertical="center"/>
    </xf>
    <xf numFmtId="0" fontId="208" fillId="0" borderId="72" xfId="2608" applyFont="1" applyFill="1" applyBorder="1" applyAlignment="1" applyProtection="1">
      <alignment horizontal="center" vertical="center"/>
    </xf>
    <xf numFmtId="0" fontId="224" fillId="0" borderId="62" xfId="2608" applyFont="1" applyFill="1" applyBorder="1" applyAlignment="1" applyProtection="1">
      <alignment horizontal="center" vertical="center" wrapText="1"/>
    </xf>
    <xf numFmtId="0" fontId="224" fillId="0" borderId="75" xfId="2608" applyFont="1" applyFill="1" applyBorder="1" applyAlignment="1" applyProtection="1">
      <alignment horizontal="center" vertical="center" wrapText="1"/>
    </xf>
    <xf numFmtId="0" fontId="224" fillId="0" borderId="72" xfId="2608" applyFont="1" applyFill="1" applyBorder="1" applyAlignment="1" applyProtection="1">
      <alignment horizontal="center" vertical="center" wrapText="1"/>
    </xf>
    <xf numFmtId="0" fontId="208" fillId="0" borderId="18" xfId="2608" applyFont="1" applyFill="1" applyBorder="1" applyAlignment="1" applyProtection="1">
      <alignment horizontal="center" vertical="center"/>
    </xf>
    <xf numFmtId="0" fontId="7" fillId="0" borderId="63" xfId="2608" applyFont="1" applyFill="1" applyBorder="1" applyAlignment="1" applyProtection="1">
      <alignment horizontal="center" vertical="center" wrapText="1" shrinkToFit="1"/>
    </xf>
    <xf numFmtId="0" fontId="217" fillId="0" borderId="0" xfId="2608" applyFont="1" applyFill="1" applyAlignment="1" applyProtection="1">
      <alignment horizontal="center" vertical="center" shrinkToFit="1"/>
    </xf>
    <xf numFmtId="0" fontId="218" fillId="0" borderId="0" xfId="2608" applyFont="1" applyFill="1" applyAlignment="1" applyProtection="1">
      <alignment horizontal="center" vertical="center" shrinkToFit="1"/>
    </xf>
    <xf numFmtId="0" fontId="7" fillId="0" borderId="23" xfId="2608" applyFont="1" applyFill="1" applyBorder="1" applyAlignment="1" applyProtection="1">
      <alignment horizontal="center" vertical="center" wrapText="1" shrinkToFit="1"/>
    </xf>
    <xf numFmtId="0" fontId="7" fillId="0" borderId="18" xfId="2608" applyFont="1" applyFill="1" applyBorder="1" applyAlignment="1" applyProtection="1">
      <alignment horizontal="center" vertical="center"/>
    </xf>
    <xf numFmtId="0" fontId="7" fillId="0" borderId="60" xfId="2608" applyFont="1" applyFill="1" applyBorder="1" applyAlignment="1" applyProtection="1">
      <alignment horizontal="center" vertical="center"/>
    </xf>
    <xf numFmtId="0" fontId="7" fillId="0" borderId="17" xfId="2608" applyFont="1" applyFill="1" applyBorder="1" applyAlignment="1" applyProtection="1">
      <alignment horizontal="center" vertical="center"/>
    </xf>
    <xf numFmtId="0" fontId="208" fillId="0" borderId="60" xfId="2608" applyFont="1" applyFill="1" applyBorder="1" applyAlignment="1" applyProtection="1">
      <alignment horizontal="center" vertical="center" wrapText="1"/>
    </xf>
    <xf numFmtId="0" fontId="7" fillId="0" borderId="22" xfId="2608" applyFont="1" applyFill="1" applyBorder="1" applyAlignment="1" applyProtection="1">
      <alignment horizontal="center" vertical="center"/>
    </xf>
    <xf numFmtId="0" fontId="7" fillId="0" borderId="23" xfId="2608" applyFont="1" applyFill="1" applyBorder="1" applyAlignment="1" applyProtection="1">
      <alignment horizontal="center" vertical="center"/>
    </xf>
    <xf numFmtId="0" fontId="208" fillId="0" borderId="20" xfId="2608" applyFont="1" applyFill="1" applyBorder="1" applyAlignment="1" applyProtection="1">
      <alignment horizontal="center" vertical="center"/>
    </xf>
    <xf numFmtId="0" fontId="7" fillId="0" borderId="12" xfId="2608" applyFont="1" applyFill="1" applyBorder="1" applyAlignment="1" applyProtection="1">
      <alignment horizontal="center" vertical="center"/>
    </xf>
    <xf numFmtId="0" fontId="7" fillId="0" borderId="73" xfId="2608" applyFont="1" applyFill="1" applyBorder="1" applyAlignment="1" applyProtection="1">
      <alignment horizontal="center" vertical="center" wrapText="1" shrinkToFit="1"/>
    </xf>
    <xf numFmtId="0" fontId="265" fillId="0" borderId="0" xfId="2" applyFont="1" applyFill="1" applyAlignment="1" applyProtection="1">
      <alignment horizontal="center" vertical="top"/>
    </xf>
    <xf numFmtId="0" fontId="264" fillId="0" borderId="0" xfId="2" applyFont="1" applyFill="1" applyAlignment="1" applyProtection="1">
      <alignment horizontal="center" vertical="top"/>
    </xf>
    <xf numFmtId="0" fontId="7" fillId="0" borderId="76" xfId="2608" applyFont="1" applyFill="1" applyBorder="1" applyAlignment="1" applyProtection="1">
      <alignment horizontal="center" vertical="center" wrapText="1" shrinkToFit="1"/>
    </xf>
    <xf numFmtId="0" fontId="268" fillId="0" borderId="63" xfId="2608" applyFont="1" applyFill="1" applyBorder="1" applyAlignment="1" applyProtection="1">
      <alignment horizontal="center" vertical="center" wrapText="1" shrinkToFit="1"/>
    </xf>
    <xf numFmtId="0" fontId="208" fillId="0" borderId="74" xfId="2608" applyFont="1" applyFill="1" applyBorder="1" applyAlignment="1" applyProtection="1">
      <alignment horizontal="center" vertical="center" wrapText="1"/>
    </xf>
    <xf numFmtId="0" fontId="179" fillId="0" borderId="18" xfId="2608" applyFont="1" applyFill="1" applyBorder="1" applyAlignment="1" applyProtection="1">
      <alignment horizontal="center" vertical="center" wrapText="1"/>
    </xf>
    <xf numFmtId="0" fontId="179" fillId="0" borderId="60" xfId="2608" applyFont="1" applyFill="1" applyBorder="1" applyAlignment="1" applyProtection="1">
      <alignment horizontal="center" vertical="center" wrapText="1"/>
    </xf>
    <xf numFmtId="0" fontId="179" fillId="0" borderId="19" xfId="2608" applyFont="1" applyFill="1" applyBorder="1" applyAlignment="1" applyProtection="1">
      <alignment horizontal="center" vertical="center"/>
    </xf>
    <xf numFmtId="0" fontId="179" fillId="0" borderId="0" xfId="2608" applyFont="1" applyFill="1" applyAlignment="1" applyProtection="1">
      <alignment horizontal="center" vertical="center"/>
    </xf>
    <xf numFmtId="0" fontId="179" fillId="0" borderId="12" xfId="2608" applyFont="1" applyFill="1" applyBorder="1" applyAlignment="1" applyProtection="1">
      <alignment horizontal="center" vertical="center"/>
    </xf>
    <xf numFmtId="0" fontId="179" fillId="0" borderId="14" xfId="2608" applyFont="1" applyFill="1" applyBorder="1" applyAlignment="1" applyProtection="1">
      <alignment horizontal="center" vertical="center"/>
    </xf>
    <xf numFmtId="0" fontId="213" fillId="0" borderId="0" xfId="2608" applyFont="1" applyFill="1" applyAlignment="1" applyProtection="1">
      <alignment horizontal="center" vertical="center"/>
    </xf>
    <xf numFmtId="0" fontId="179" fillId="0" borderId="63" xfId="2608" applyFont="1" applyFill="1" applyBorder="1" applyAlignment="1" applyProtection="1">
      <alignment horizontal="center" vertical="center" wrapText="1" shrinkToFit="1"/>
    </xf>
    <xf numFmtId="0" fontId="6" fillId="0" borderId="60" xfId="2608" applyFont="1" applyFill="1" applyBorder="1" applyAlignment="1" applyProtection="1">
      <alignment horizontal="center" vertical="center"/>
    </xf>
    <xf numFmtId="0" fontId="6" fillId="0" borderId="17" xfId="2608" applyFont="1" applyFill="1" applyBorder="1" applyAlignment="1" applyProtection="1">
      <alignment horizontal="center" vertical="center"/>
    </xf>
    <xf numFmtId="0" fontId="243" fillId="0" borderId="62" xfId="2608" applyFont="1" applyFill="1" applyBorder="1" applyAlignment="1" applyProtection="1">
      <alignment horizontal="center" vertical="center" wrapText="1"/>
    </xf>
    <xf numFmtId="0" fontId="243" fillId="0" borderId="60" xfId="2608" applyFont="1" applyFill="1" applyBorder="1" applyAlignment="1" applyProtection="1">
      <alignment horizontal="center" vertical="center" wrapText="1"/>
    </xf>
    <xf numFmtId="0" fontId="243" fillId="0" borderId="17" xfId="2608" applyFont="1" applyFill="1" applyBorder="1" applyAlignment="1" applyProtection="1">
      <alignment horizontal="center" vertical="center" wrapText="1"/>
    </xf>
    <xf numFmtId="0" fontId="179" fillId="0" borderId="23" xfId="2608" applyFont="1" applyFill="1" applyBorder="1" applyAlignment="1" applyProtection="1">
      <alignment horizontal="center" vertical="center" wrapText="1" shrinkToFit="1"/>
    </xf>
    <xf numFmtId="0" fontId="179" fillId="0" borderId="20" xfId="2608" applyFont="1" applyFill="1" applyBorder="1" applyAlignment="1" applyProtection="1">
      <alignment horizontal="center" vertical="center" wrapText="1" shrinkToFit="1"/>
    </xf>
    <xf numFmtId="0" fontId="179" fillId="0" borderId="18" xfId="2608" applyFont="1" applyFill="1" applyBorder="1" applyAlignment="1" applyProtection="1">
      <alignment horizontal="center" vertical="center"/>
    </xf>
    <xf numFmtId="0" fontId="179" fillId="0" borderId="60" xfId="2608" applyFont="1" applyFill="1" applyBorder="1" applyAlignment="1" applyProtection="1">
      <alignment horizontal="center" vertical="center"/>
    </xf>
    <xf numFmtId="0" fontId="179" fillId="0" borderId="17" xfId="2608" applyFont="1" applyFill="1" applyBorder="1" applyAlignment="1" applyProtection="1">
      <alignment horizontal="center" vertical="center"/>
    </xf>
    <xf numFmtId="0" fontId="179" fillId="0" borderId="22" xfId="2608" applyFont="1" applyFill="1" applyBorder="1" applyAlignment="1" applyProtection="1">
      <alignment horizontal="center" vertical="center"/>
    </xf>
    <xf numFmtId="0" fontId="179" fillId="0" borderId="23" xfId="2608" applyFont="1" applyFill="1" applyBorder="1" applyAlignment="1" applyProtection="1">
      <alignment horizontal="center" vertical="center"/>
    </xf>
    <xf numFmtId="0" fontId="6" fillId="0" borderId="20" xfId="2608" applyFont="1" applyFill="1" applyBorder="1" applyAlignment="1" applyProtection="1">
      <alignment horizontal="center" vertical="center"/>
    </xf>
    <xf numFmtId="0" fontId="214" fillId="0" borderId="0" xfId="2608" applyFont="1" applyFill="1" applyAlignment="1" applyProtection="1">
      <alignment horizontal="center" vertical="center" wrapText="1"/>
    </xf>
    <xf numFmtId="0" fontId="7" fillId="0" borderId="22" xfId="2608" applyFont="1" applyFill="1" applyBorder="1" applyAlignment="1" applyProtection="1">
      <alignment horizontal="center" vertical="center" wrapText="1" shrinkToFit="1"/>
    </xf>
    <xf numFmtId="0" fontId="7" fillId="0" borderId="20" xfId="2608" applyFont="1" applyFill="1" applyBorder="1" applyAlignment="1" applyProtection="1">
      <alignment horizontal="center" vertical="center" wrapText="1" shrinkToFit="1"/>
    </xf>
    <xf numFmtId="0" fontId="224" fillId="0" borderId="18" xfId="2608" applyFont="1" applyFill="1" applyBorder="1" applyAlignment="1" applyProtection="1">
      <alignment horizontal="center" vertical="center" wrapText="1"/>
    </xf>
    <xf numFmtId="0" fontId="224" fillId="0" borderId="17" xfId="2608" applyFont="1" applyFill="1" applyBorder="1" applyAlignment="1" applyProtection="1">
      <alignment horizontal="center" vertical="center" wrapText="1"/>
    </xf>
    <xf numFmtId="0" fontId="218" fillId="0" borderId="0" xfId="2608" applyFont="1" applyFill="1" applyAlignment="1" applyProtection="1">
      <alignment horizontal="center" vertical="center" wrapText="1"/>
    </xf>
    <xf numFmtId="0" fontId="217" fillId="0" borderId="0" xfId="2608" applyFont="1" applyFill="1" applyAlignment="1" applyProtection="1">
      <alignment horizontal="center" vertical="center"/>
    </xf>
    <xf numFmtId="0" fontId="224" fillId="0" borderId="60" xfId="2608" applyFont="1" applyFill="1" applyBorder="1" applyAlignment="1" applyProtection="1">
      <alignment horizontal="center" vertical="center" wrapText="1"/>
    </xf>
    <xf numFmtId="0" fontId="7" fillId="0" borderId="11" xfId="2608" applyFont="1" applyFill="1" applyBorder="1" applyAlignment="1" applyProtection="1">
      <alignment horizontal="center" vertical="center"/>
    </xf>
    <xf numFmtId="0" fontId="7" fillId="0" borderId="56" xfId="2608" applyFont="1" applyFill="1" applyBorder="1" applyAlignment="1" applyProtection="1">
      <alignment horizontal="center" vertical="center"/>
    </xf>
    <xf numFmtId="0" fontId="224" fillId="0" borderId="19" xfId="2608" applyFont="1" applyFill="1" applyBorder="1" applyAlignment="1" applyProtection="1">
      <alignment horizontal="center" vertical="center" wrapText="1"/>
    </xf>
    <xf numFmtId="0" fontId="224" fillId="0" borderId="0" xfId="2608" applyFont="1" applyFill="1" applyBorder="1" applyAlignment="1" applyProtection="1">
      <alignment horizontal="center" vertical="center" wrapText="1"/>
    </xf>
    <xf numFmtId="0" fontId="220" fillId="0" borderId="0" xfId="2608" applyFont="1" applyFill="1" applyBorder="1" applyAlignment="1" applyProtection="1">
      <alignment horizontal="left"/>
    </xf>
    <xf numFmtId="0" fontId="208" fillId="0" borderId="22" xfId="2608" applyFont="1" applyFill="1" applyBorder="1" applyAlignment="1" applyProtection="1">
      <alignment horizontal="center" vertical="center"/>
    </xf>
    <xf numFmtId="0" fontId="208" fillId="0" borderId="73" xfId="2608" applyFont="1" applyFill="1" applyBorder="1" applyAlignment="1" applyProtection="1">
      <alignment horizontal="center" vertical="center"/>
    </xf>
    <xf numFmtId="0" fontId="7" fillId="0" borderId="13" xfId="2608" applyFont="1" applyFill="1" applyBorder="1" applyAlignment="1" applyProtection="1">
      <alignment horizontal="center" vertical="center"/>
    </xf>
    <xf numFmtId="0" fontId="224" fillId="0" borderId="60" xfId="2608" applyFont="1" applyFill="1" applyBorder="1" applyAlignment="1" applyProtection="1">
      <alignment horizontal="center" vertical="center" shrinkToFit="1"/>
    </xf>
    <xf numFmtId="0" fontId="224" fillId="0" borderId="17" xfId="2608" applyFont="1" applyFill="1" applyBorder="1" applyAlignment="1" applyProtection="1">
      <alignment horizontal="center" vertical="center" shrinkToFit="1"/>
    </xf>
    <xf numFmtId="0" fontId="269" fillId="0" borderId="18" xfId="2608" applyFont="1" applyFill="1" applyBorder="1" applyAlignment="1" applyProtection="1">
      <alignment horizontal="center" vertical="center" wrapText="1"/>
    </xf>
    <xf numFmtId="0" fontId="269" fillId="0" borderId="17" xfId="2608" applyFont="1" applyFill="1" applyBorder="1" applyAlignment="1" applyProtection="1">
      <alignment horizontal="center" vertical="center" wrapText="1"/>
    </xf>
    <xf numFmtId="0" fontId="208" fillId="0" borderId="18" xfId="2" applyFont="1" applyFill="1" applyBorder="1" applyAlignment="1" applyProtection="1">
      <alignment horizontal="left" vertical="center"/>
    </xf>
    <xf numFmtId="0" fontId="208" fillId="0" borderId="17" xfId="2" applyFont="1" applyFill="1" applyBorder="1" applyAlignment="1" applyProtection="1">
      <alignment horizontal="left" vertical="center"/>
    </xf>
    <xf numFmtId="0" fontId="7" fillId="0" borderId="29" xfId="2" applyFont="1" applyFill="1" applyBorder="1" applyAlignment="1" applyProtection="1">
      <alignment horizontal="center" vertical="center"/>
    </xf>
    <xf numFmtId="0" fontId="208" fillId="0" borderId="59" xfId="2" applyFont="1" applyFill="1" applyBorder="1" applyAlignment="1" applyProtection="1">
      <alignment horizontal="right" vertical="center"/>
    </xf>
    <xf numFmtId="0" fontId="208" fillId="0" borderId="29" xfId="2" applyFont="1" applyFill="1" applyBorder="1" applyAlignment="1" applyProtection="1">
      <alignment horizontal="right" vertical="center"/>
    </xf>
    <xf numFmtId="0" fontId="7" fillId="0" borderId="58" xfId="2" applyFont="1" applyFill="1" applyBorder="1" applyAlignment="1" applyProtection="1">
      <alignment horizontal="center" vertical="center"/>
    </xf>
    <xf numFmtId="0" fontId="208" fillId="0" borderId="12" xfId="2" applyFont="1" applyFill="1" applyBorder="1" applyAlignment="1" applyProtection="1">
      <alignment horizontal="center" vertical="center" wrapText="1"/>
    </xf>
    <xf numFmtId="0" fontId="208" fillId="0" borderId="14" xfId="2" applyFont="1" applyFill="1" applyBorder="1" applyAlignment="1" applyProtection="1">
      <alignment horizontal="center" vertical="center" wrapText="1"/>
    </xf>
    <xf numFmtId="0" fontId="7" fillId="0" borderId="14" xfId="2" applyFont="1" applyFill="1" applyBorder="1" applyAlignment="1" applyProtection="1">
      <alignment horizontal="center" vertical="center" wrapText="1"/>
    </xf>
    <xf numFmtId="0" fontId="6" fillId="0" borderId="57" xfId="2" applyFont="1" applyFill="1" applyBorder="1" applyAlignment="1" applyProtection="1">
      <alignment horizontal="center" vertical="center" shrinkToFit="1"/>
    </xf>
    <xf numFmtId="0" fontId="6" fillId="0" borderId="16" xfId="2" applyFont="1" applyFill="1" applyBorder="1" applyAlignment="1" applyProtection="1">
      <alignment horizontal="center" vertical="center" shrinkToFit="1"/>
    </xf>
    <xf numFmtId="0" fontId="179" fillId="0" borderId="60" xfId="2" applyFont="1" applyFill="1" applyBorder="1" applyAlignment="1" applyProtection="1">
      <alignment horizontal="center" vertical="center"/>
    </xf>
    <xf numFmtId="0" fontId="179" fillId="0" borderId="17" xfId="2" applyFont="1" applyFill="1" applyBorder="1" applyAlignment="1" applyProtection="1">
      <alignment horizontal="center" vertical="center"/>
    </xf>
    <xf numFmtId="0" fontId="179" fillId="0" borderId="18" xfId="2" applyFont="1" applyFill="1" applyBorder="1" applyAlignment="1" applyProtection="1">
      <alignment horizontal="center" vertical="center" shrinkToFit="1"/>
    </xf>
    <xf numFmtId="0" fontId="179" fillId="0" borderId="60" xfId="2" applyFont="1" applyFill="1" applyBorder="1" applyAlignment="1" applyProtection="1">
      <alignment horizontal="center" vertical="center" shrinkToFit="1"/>
    </xf>
    <xf numFmtId="0" fontId="179" fillId="0" borderId="17" xfId="2" applyFont="1" applyFill="1" applyBorder="1" applyAlignment="1" applyProtection="1">
      <alignment horizontal="center" vertical="center" shrinkToFit="1"/>
    </xf>
    <xf numFmtId="0" fontId="179" fillId="0" borderId="59" xfId="2" applyFont="1" applyFill="1" applyBorder="1" applyAlignment="1" applyProtection="1">
      <alignment horizontal="center" vertical="center"/>
    </xf>
    <xf numFmtId="0" fontId="179" fillId="0" borderId="29" xfId="2" applyFont="1" applyFill="1" applyBorder="1" applyAlignment="1" applyProtection="1">
      <alignment horizontal="center" vertical="center"/>
    </xf>
    <xf numFmtId="0" fontId="179" fillId="0" borderId="58" xfId="2" applyFont="1" applyFill="1" applyBorder="1" applyAlignment="1" applyProtection="1">
      <alignment horizontal="center" vertical="center"/>
    </xf>
    <xf numFmtId="0" fontId="179" fillId="0" borderId="18" xfId="2" applyFont="1" applyFill="1" applyBorder="1" applyAlignment="1" applyProtection="1">
      <alignment horizontal="center" vertical="center"/>
    </xf>
    <xf numFmtId="0" fontId="205" fillId="0" borderId="0" xfId="0" applyFont="1" applyFill="1" applyBorder="1" applyAlignment="1">
      <alignment horizontal="left" vertical="center"/>
    </xf>
    <xf numFmtId="0" fontId="6" fillId="0" borderId="60" xfId="2" applyFont="1" applyFill="1" applyBorder="1" applyAlignment="1" applyProtection="1">
      <alignment horizontal="center" vertical="center"/>
    </xf>
    <xf numFmtId="0" fontId="6" fillId="0" borderId="57" xfId="2" applyFont="1" applyFill="1" applyBorder="1" applyAlignment="1" applyProtection="1">
      <alignment horizontal="center" vertical="center"/>
    </xf>
    <xf numFmtId="0" fontId="6" fillId="0" borderId="16" xfId="2" applyFont="1" applyFill="1" applyBorder="1" applyAlignment="1" applyProtection="1">
      <alignment horizontal="center" vertical="center"/>
    </xf>
    <xf numFmtId="0" fontId="52" fillId="0" borderId="0" xfId="2" applyFont="1" applyFill="1" applyAlignment="1" applyProtection="1">
      <alignment horizontal="right" vertical="top"/>
    </xf>
    <xf numFmtId="0" fontId="6" fillId="0" borderId="56" xfId="2" applyFont="1" applyFill="1" applyBorder="1" applyAlignment="1" applyProtection="1">
      <alignment horizontal="center" vertical="center"/>
    </xf>
    <xf numFmtId="0" fontId="6" fillId="0" borderId="22" xfId="2" applyFont="1" applyFill="1" applyBorder="1" applyAlignment="1" applyProtection="1">
      <alignment horizontal="center" vertical="center"/>
    </xf>
    <xf numFmtId="0" fontId="6" fillId="0" borderId="23" xfId="2" applyFont="1" applyFill="1" applyBorder="1" applyAlignment="1" applyProtection="1">
      <alignment horizontal="center" vertical="center"/>
    </xf>
    <xf numFmtId="0" fontId="179" fillId="0" borderId="56" xfId="2" applyFont="1" applyFill="1" applyBorder="1" applyAlignment="1" applyProtection="1">
      <alignment horizontal="center" vertical="center"/>
    </xf>
    <xf numFmtId="0" fontId="179" fillId="0" borderId="23" xfId="2" applyFont="1" applyFill="1" applyBorder="1" applyAlignment="1" applyProtection="1">
      <alignment horizontal="center" vertical="center"/>
    </xf>
    <xf numFmtId="0" fontId="52" fillId="0" borderId="0" xfId="2" applyFont="1" applyFill="1" applyAlignment="1" applyProtection="1">
      <alignment horizontal="center" vertical="top"/>
    </xf>
    <xf numFmtId="0" fontId="286" fillId="0" borderId="0" xfId="2" applyFont="1" applyFill="1" applyAlignment="1" applyProtection="1">
      <alignment horizontal="center" vertical="center"/>
    </xf>
    <xf numFmtId="0" fontId="179" fillId="0" borderId="0" xfId="2" applyFont="1" applyFill="1" applyBorder="1" applyAlignment="1" applyProtection="1">
      <alignment horizontal="left"/>
    </xf>
    <xf numFmtId="0" fontId="6" fillId="0" borderId="11" xfId="2" applyFont="1" applyFill="1" applyBorder="1" applyAlignment="1" applyProtection="1">
      <alignment horizontal="center"/>
    </xf>
    <xf numFmtId="0" fontId="6" fillId="0" borderId="56" xfId="2" applyFont="1" applyFill="1" applyBorder="1" applyAlignment="1" applyProtection="1">
      <alignment horizontal="center"/>
    </xf>
    <xf numFmtId="0" fontId="179" fillId="0" borderId="22" xfId="2" applyFont="1" applyFill="1" applyBorder="1" applyAlignment="1" applyProtection="1">
      <alignment horizontal="center"/>
    </xf>
    <xf numFmtId="0" fontId="179" fillId="0" borderId="23" xfId="2" applyFont="1" applyFill="1" applyBorder="1" applyAlignment="1" applyProtection="1">
      <alignment horizontal="center"/>
    </xf>
    <xf numFmtId="0" fontId="179" fillId="0" borderId="18" xfId="2" applyFont="1" applyFill="1" applyBorder="1" applyAlignment="1" applyProtection="1">
      <alignment horizontal="center" vertical="center" wrapText="1"/>
    </xf>
    <xf numFmtId="0" fontId="179" fillId="0" borderId="22" xfId="2" applyFont="1" applyFill="1" applyBorder="1" applyAlignment="1" applyProtection="1">
      <alignment horizontal="center" vertical="center" wrapText="1"/>
    </xf>
    <xf numFmtId="0" fontId="179" fillId="0" borderId="23" xfId="1852" applyFont="1" applyFill="1" applyBorder="1" applyAlignment="1">
      <alignment horizontal="center" vertical="center"/>
    </xf>
    <xf numFmtId="0" fontId="179" fillId="0" borderId="20" xfId="1852" applyFont="1" applyFill="1" applyBorder="1" applyAlignment="1">
      <alignment horizontal="center" vertical="center"/>
    </xf>
    <xf numFmtId="0" fontId="255" fillId="0" borderId="0" xfId="2" applyFont="1" applyFill="1" applyAlignment="1" applyProtection="1">
      <alignment horizontal="right"/>
    </xf>
    <xf numFmtId="41" fontId="6" fillId="0" borderId="11" xfId="4228" applyFont="1" applyFill="1" applyBorder="1" applyAlignment="1" applyProtection="1">
      <alignment horizontal="center" vertical="center"/>
    </xf>
    <xf numFmtId="41" fontId="6" fillId="0" borderId="56" xfId="4228" applyFont="1" applyFill="1" applyBorder="1" applyAlignment="1" applyProtection="1">
      <alignment horizontal="center" vertical="center"/>
    </xf>
    <xf numFmtId="41" fontId="179" fillId="0" borderId="19" xfId="4228" applyFont="1" applyFill="1" applyBorder="1" applyAlignment="1" applyProtection="1">
      <alignment horizontal="center" vertical="center"/>
    </xf>
    <xf numFmtId="41" fontId="179" fillId="0" borderId="15" xfId="4228" applyFont="1" applyFill="1" applyBorder="1" applyAlignment="1" applyProtection="1">
      <alignment horizontal="center" vertical="center"/>
    </xf>
    <xf numFmtId="41" fontId="179" fillId="0" borderId="0" xfId="4228" applyFont="1" applyFill="1" applyBorder="1" applyAlignment="1" applyProtection="1">
      <alignment horizontal="center" vertical="center"/>
    </xf>
    <xf numFmtId="41" fontId="6" fillId="0" borderId="10" xfId="4228" applyFont="1" applyFill="1" applyBorder="1" applyAlignment="1" applyProtection="1">
      <alignment horizontal="center" vertical="center"/>
    </xf>
    <xf numFmtId="0" fontId="7" fillId="0" borderId="11" xfId="4228" applyNumberFormat="1" applyFont="1" applyFill="1" applyBorder="1" applyAlignment="1" applyProtection="1">
      <alignment horizontal="center" vertical="center"/>
    </xf>
    <xf numFmtId="0" fontId="7" fillId="0" borderId="56" xfId="4228" applyNumberFormat="1" applyFont="1" applyFill="1" applyBorder="1" applyAlignment="1" applyProtection="1">
      <alignment horizontal="center" vertical="center"/>
    </xf>
    <xf numFmtId="0" fontId="7" fillId="0" borderId="19" xfId="4228" applyNumberFormat="1" applyFont="1" applyFill="1" applyBorder="1" applyAlignment="1" applyProtection="1">
      <alignment horizontal="center" vertical="center"/>
    </xf>
    <xf numFmtId="0" fontId="7" fillId="0" borderId="0" xfId="4228" applyNumberFormat="1" applyFont="1" applyFill="1" applyBorder="1" applyAlignment="1" applyProtection="1">
      <alignment horizontal="center" vertical="center"/>
    </xf>
    <xf numFmtId="0" fontId="241" fillId="0" borderId="0" xfId="2" applyFont="1" applyFill="1" applyAlignment="1" applyProtection="1">
      <alignment horizontal="right"/>
    </xf>
    <xf numFmtId="0" fontId="217" fillId="0" borderId="0" xfId="2608" applyFont="1" applyFill="1" applyAlignment="1" applyProtection="1">
      <alignment horizontal="center"/>
    </xf>
    <xf numFmtId="0" fontId="218" fillId="0" borderId="0" xfId="2608" applyFont="1" applyFill="1" applyAlignment="1" applyProtection="1">
      <alignment horizontal="center"/>
    </xf>
    <xf numFmtId="0" fontId="227" fillId="0" borderId="0" xfId="2608" applyFont="1" applyFill="1" applyAlignment="1" applyProtection="1">
      <alignment horizontal="center"/>
    </xf>
    <xf numFmtId="0" fontId="222" fillId="0" borderId="11" xfId="2608" applyFont="1" applyFill="1" applyBorder="1" applyAlignment="1" applyProtection="1">
      <alignment horizontal="center" vertical="center"/>
    </xf>
    <xf numFmtId="0" fontId="222" fillId="0" borderId="56" xfId="2608" applyFont="1" applyFill="1" applyBorder="1" applyAlignment="1" applyProtection="1">
      <alignment horizontal="center" vertical="center"/>
    </xf>
    <xf numFmtId="0" fontId="222" fillId="0" borderId="10" xfId="2608" applyFont="1" applyFill="1" applyBorder="1" applyAlignment="1" applyProtection="1">
      <alignment horizontal="center" vertical="center"/>
    </xf>
    <xf numFmtId="0" fontId="7" fillId="0" borderId="19" xfId="2608" applyFont="1" applyFill="1" applyBorder="1" applyAlignment="1" applyProtection="1">
      <alignment horizontal="center" vertical="center"/>
    </xf>
    <xf numFmtId="0" fontId="7" fillId="0" borderId="0" xfId="2608" applyFont="1" applyFill="1" applyBorder="1" applyAlignment="1" applyProtection="1">
      <alignment horizontal="center" vertical="center"/>
    </xf>
    <xf numFmtId="0" fontId="7" fillId="0" borderId="15" xfId="2608" applyFont="1" applyFill="1" applyBorder="1" applyAlignment="1" applyProtection="1">
      <alignment horizontal="center" vertical="center"/>
    </xf>
    <xf numFmtId="0" fontId="179" fillId="0" borderId="0" xfId="2608" applyFont="1" applyFill="1" applyBorder="1" applyAlignment="1" applyProtection="1">
      <alignment horizontal="center"/>
    </xf>
    <xf numFmtId="0" fontId="179" fillId="0" borderId="19" xfId="2608" applyFont="1" applyFill="1" applyBorder="1" applyAlignment="1" applyProtection="1">
      <alignment horizontal="center" wrapText="1"/>
    </xf>
    <xf numFmtId="0" fontId="179" fillId="0" borderId="15" xfId="2608" applyFont="1" applyFill="1" applyBorder="1" applyAlignment="1" applyProtection="1">
      <alignment horizontal="center"/>
    </xf>
    <xf numFmtId="0" fontId="179" fillId="0" borderId="19" xfId="2608" applyFont="1" applyFill="1" applyBorder="1" applyAlignment="1" applyProtection="1">
      <alignment horizontal="center"/>
    </xf>
    <xf numFmtId="0" fontId="179" fillId="0" borderId="22" xfId="2608" applyFont="1" applyFill="1" applyBorder="1" applyAlignment="1" applyProtection="1">
      <alignment horizontal="center"/>
    </xf>
    <xf numFmtId="0" fontId="179" fillId="0" borderId="20" xfId="2608" applyFont="1" applyFill="1" applyBorder="1" applyAlignment="1" applyProtection="1">
      <alignment horizontal="center"/>
    </xf>
    <xf numFmtId="0" fontId="179" fillId="0" borderId="22" xfId="2608" applyFont="1" applyFill="1" applyBorder="1" applyAlignment="1" applyProtection="1">
      <alignment horizontal="center" shrinkToFit="1"/>
    </xf>
    <xf numFmtId="0" fontId="179" fillId="0" borderId="20" xfId="2608" applyFont="1" applyFill="1" applyBorder="1" applyAlignment="1" applyProtection="1">
      <alignment horizontal="center" shrinkToFit="1"/>
    </xf>
    <xf numFmtId="0" fontId="179" fillId="0" borderId="22" xfId="2608" applyFont="1" applyFill="1" applyBorder="1" applyAlignment="1" applyProtection="1">
      <alignment horizontal="center" wrapText="1" shrinkToFit="1"/>
    </xf>
    <xf numFmtId="0" fontId="6" fillId="0" borderId="18" xfId="2608" applyFont="1" applyFill="1" applyBorder="1" applyAlignment="1" applyProtection="1">
      <alignment horizontal="center"/>
    </xf>
    <xf numFmtId="0" fontId="6" fillId="0" borderId="17" xfId="2608" applyFont="1" applyFill="1" applyBorder="1" applyAlignment="1" applyProtection="1">
      <alignment horizontal="center"/>
    </xf>
    <xf numFmtId="0" fontId="6" fillId="0" borderId="60" xfId="2608" applyFont="1" applyFill="1" applyBorder="1" applyAlignment="1" applyProtection="1">
      <alignment horizontal="center"/>
    </xf>
    <xf numFmtId="0" fontId="6" fillId="0" borderId="57" xfId="2608" applyFont="1" applyFill="1" applyBorder="1" applyAlignment="1" applyProtection="1">
      <alignment horizontal="center"/>
    </xf>
    <xf numFmtId="0" fontId="179" fillId="0" borderId="57" xfId="2608" applyFont="1" applyFill="1" applyBorder="1" applyAlignment="1" applyProtection="1">
      <alignment horizontal="center"/>
    </xf>
    <xf numFmtId="0" fontId="179" fillId="0" borderId="18" xfId="2608" applyFont="1" applyFill="1" applyBorder="1" applyAlignment="1" applyProtection="1">
      <alignment horizontal="center" shrinkToFit="1"/>
    </xf>
    <xf numFmtId="0" fontId="179" fillId="0" borderId="17" xfId="2608" applyFont="1" applyFill="1" applyBorder="1" applyAlignment="1" applyProtection="1">
      <alignment horizontal="center" shrinkToFit="1"/>
    </xf>
    <xf numFmtId="0" fontId="6" fillId="0" borderId="0" xfId="2608" applyFont="1" applyFill="1" applyBorder="1" applyAlignment="1" applyProtection="1">
      <alignment horizontal="center"/>
    </xf>
    <xf numFmtId="0" fontId="6" fillId="0" borderId="60" xfId="2608" applyFont="1" applyFill="1" applyBorder="1" applyAlignment="1" applyProtection="1"/>
    <xf numFmtId="0" fontId="249" fillId="0" borderId="0" xfId="0" applyFont="1" applyAlignment="1">
      <alignment horizontal="center" vertical="center"/>
    </xf>
    <xf numFmtId="0" fontId="6" fillId="0" borderId="11" xfId="2608" applyFont="1" applyFill="1" applyBorder="1" applyAlignment="1" applyProtection="1">
      <alignment horizontal="center" vertical="center"/>
    </xf>
    <xf numFmtId="0" fontId="6" fillId="0" borderId="10" xfId="2608" applyFont="1" applyFill="1" applyBorder="1" applyAlignment="1" applyProtection="1">
      <alignment horizontal="center" vertical="center"/>
    </xf>
    <xf numFmtId="0" fontId="213" fillId="0" borderId="0" xfId="0" applyFont="1" applyAlignment="1">
      <alignment horizontal="center" vertical="center"/>
    </xf>
    <xf numFmtId="0" fontId="214" fillId="0" borderId="0" xfId="0" applyFont="1" applyAlignment="1">
      <alignment horizontal="center" vertical="center"/>
    </xf>
    <xf numFmtId="0" fontId="205" fillId="0" borderId="0" xfId="2" applyFont="1" applyFill="1" applyAlignment="1" applyProtection="1">
      <alignment horizontal="right" vertical="center"/>
    </xf>
    <xf numFmtId="0" fontId="7" fillId="0" borderId="11" xfId="2" applyFont="1" applyFill="1" applyBorder="1" applyAlignment="1" applyProtection="1">
      <alignment horizontal="center" vertical="center"/>
    </xf>
    <xf numFmtId="0" fontId="7" fillId="0" borderId="14" xfId="2" applyFont="1" applyFill="1" applyBorder="1" applyAlignment="1" applyProtection="1">
      <alignment horizontal="center" vertical="center"/>
    </xf>
    <xf numFmtId="0" fontId="7" fillId="0" borderId="13" xfId="2" applyFont="1" applyFill="1" applyBorder="1" applyAlignment="1" applyProtection="1">
      <alignment horizontal="center" vertical="center"/>
    </xf>
    <xf numFmtId="0" fontId="7" fillId="0" borderId="12" xfId="2" applyFont="1" applyFill="1" applyBorder="1" applyAlignment="1" applyProtection="1">
      <alignment horizontal="center" vertical="center"/>
    </xf>
    <xf numFmtId="0" fontId="6" fillId="0" borderId="15" xfId="2" applyFont="1" applyFill="1" applyBorder="1" applyAlignment="1" applyProtection="1">
      <alignment horizontal="center" vertical="center"/>
    </xf>
    <xf numFmtId="0" fontId="7" fillId="0" borderId="19" xfId="2" applyFont="1" applyFill="1" applyBorder="1" applyAlignment="1" applyProtection="1">
      <alignment horizontal="center" vertical="center" shrinkToFit="1"/>
    </xf>
    <xf numFmtId="0" fontId="7" fillId="0" borderId="0" xfId="2" applyFont="1" applyFill="1" applyBorder="1" applyAlignment="1" applyProtection="1">
      <alignment horizontal="center" vertical="center" shrinkToFit="1"/>
    </xf>
    <xf numFmtId="0" fontId="7" fillId="0" borderId="15" xfId="2" applyFont="1" applyFill="1" applyBorder="1" applyAlignment="1" applyProtection="1">
      <alignment horizontal="center" vertical="center" shrinkToFit="1"/>
    </xf>
    <xf numFmtId="0" fontId="205" fillId="0" borderId="0" xfId="2143" applyFont="1" applyFill="1" applyBorder="1" applyAlignment="1">
      <alignment horizontal="left" vertical="center" wrapText="1"/>
    </xf>
    <xf numFmtId="0" fontId="205" fillId="0" borderId="0" xfId="2143" applyFont="1" applyFill="1" applyBorder="1" applyAlignment="1">
      <alignment horizontal="left" vertical="center"/>
    </xf>
    <xf numFmtId="42" fontId="208" fillId="0" borderId="11" xfId="2" applyNumberFormat="1" applyFont="1" applyFill="1" applyBorder="1" applyAlignment="1" applyProtection="1">
      <alignment horizontal="center" vertical="center"/>
    </xf>
    <xf numFmtId="42" fontId="208" fillId="0" borderId="56" xfId="2" applyNumberFormat="1" applyFont="1" applyFill="1" applyBorder="1" applyAlignment="1" applyProtection="1">
      <alignment horizontal="center" vertical="center"/>
    </xf>
    <xf numFmtId="42" fontId="208" fillId="0" borderId="10" xfId="2" applyNumberFormat="1" applyFont="1" applyFill="1" applyBorder="1" applyAlignment="1" applyProtection="1">
      <alignment horizontal="center" vertical="center"/>
    </xf>
    <xf numFmtId="0" fontId="235" fillId="0" borderId="0" xfId="2" applyFont="1" applyFill="1" applyAlignment="1" applyProtection="1">
      <alignment vertical="top"/>
    </xf>
    <xf numFmtId="0" fontId="220" fillId="0" borderId="0" xfId="2" applyFont="1" applyFill="1" applyBorder="1" applyAlignment="1" applyProtection="1">
      <alignment horizontal="left" vertical="center"/>
    </xf>
    <xf numFmtId="0" fontId="221" fillId="0" borderId="0" xfId="2" applyFont="1" applyFill="1" applyBorder="1" applyAlignment="1" applyProtection="1">
      <alignment horizontal="right"/>
    </xf>
    <xf numFmtId="0" fontId="229" fillId="0" borderId="0" xfId="2" applyFont="1" applyFill="1" applyAlignment="1" applyProtection="1">
      <alignment horizontal="center" vertical="center"/>
    </xf>
    <xf numFmtId="0" fontId="7" fillId="0" borderId="18" xfId="2" applyFont="1" applyFill="1" applyBorder="1" applyAlignment="1" applyProtection="1">
      <alignment horizontal="center" vertical="center"/>
    </xf>
    <xf numFmtId="0" fontId="7" fillId="0" borderId="60" xfId="2" applyFont="1" applyFill="1" applyBorder="1" applyAlignment="1" applyProtection="1">
      <alignment horizontal="center" vertical="center"/>
    </xf>
    <xf numFmtId="0" fontId="7" fillId="0" borderId="17" xfId="2" applyFont="1" applyFill="1" applyBorder="1" applyAlignment="1" applyProtection="1">
      <alignment horizontal="center" vertical="center"/>
    </xf>
    <xf numFmtId="0" fontId="7" fillId="0" borderId="22" xfId="2" applyFont="1" applyFill="1" applyBorder="1" applyAlignment="1" applyProtection="1">
      <alignment horizontal="center" vertical="center"/>
    </xf>
    <xf numFmtId="0" fontId="7" fillId="0" borderId="23" xfId="2" applyFont="1" applyFill="1" applyBorder="1" applyAlignment="1" applyProtection="1">
      <alignment horizontal="center" vertical="center"/>
    </xf>
    <xf numFmtId="0" fontId="7" fillId="0" borderId="20" xfId="2" applyFont="1" applyFill="1" applyBorder="1" applyAlignment="1" applyProtection="1">
      <alignment horizontal="center" vertical="center"/>
    </xf>
    <xf numFmtId="0" fontId="6" fillId="0" borderId="0" xfId="4226" applyNumberFormat="1" applyFont="1" applyFill="1" applyBorder="1" applyAlignment="1">
      <alignment horizontal="left"/>
    </xf>
    <xf numFmtId="0" fontId="179" fillId="0" borderId="11" xfId="2" applyFont="1" applyFill="1" applyBorder="1" applyAlignment="1" applyProtection="1">
      <alignment horizontal="center" vertical="center"/>
    </xf>
    <xf numFmtId="0" fontId="179" fillId="0" borderId="10" xfId="2" applyFont="1" applyFill="1" applyBorder="1" applyAlignment="1" applyProtection="1">
      <alignment horizontal="center" vertical="center"/>
    </xf>
    <xf numFmtId="0" fontId="6" fillId="0" borderId="0" xfId="4226" applyFont="1" applyFill="1" applyBorder="1" applyAlignment="1">
      <alignment horizontal="center"/>
    </xf>
    <xf numFmtId="0" fontId="248" fillId="0" borderId="0" xfId="2" applyFont="1" applyFill="1" applyAlignment="1" applyProtection="1">
      <alignment horizontal="center"/>
    </xf>
    <xf numFmtId="0" fontId="6" fillId="0" borderId="18" xfId="2" applyFont="1" applyFill="1" applyBorder="1" applyAlignment="1" applyProtection="1">
      <alignment horizontal="center" vertical="center" wrapText="1"/>
    </xf>
    <xf numFmtId="0" fontId="6" fillId="0" borderId="57" xfId="2" applyFont="1" applyFill="1" applyBorder="1" applyAlignment="1" applyProtection="1">
      <alignment horizontal="center" vertical="center" wrapText="1"/>
    </xf>
    <xf numFmtId="0" fontId="179" fillId="0" borderId="22" xfId="2" applyFont="1" applyFill="1" applyBorder="1" applyAlignment="1" applyProtection="1">
      <alignment horizontal="center" vertical="center" shrinkToFit="1"/>
    </xf>
    <xf numFmtId="0" fontId="179" fillId="0" borderId="20" xfId="2" applyFont="1" applyFill="1" applyBorder="1" applyAlignment="1" applyProtection="1">
      <alignment horizontal="center" vertical="center" shrinkToFit="1"/>
    </xf>
    <xf numFmtId="0" fontId="179" fillId="0" borderId="21" xfId="2" applyFont="1" applyFill="1" applyBorder="1" applyAlignment="1" applyProtection="1">
      <alignment horizontal="center" vertical="center"/>
    </xf>
    <xf numFmtId="0" fontId="7" fillId="0" borderId="22" xfId="2619" applyFont="1" applyFill="1" applyBorder="1" applyAlignment="1" applyProtection="1">
      <alignment horizontal="center"/>
    </xf>
    <xf numFmtId="0" fontId="7" fillId="0" borderId="23" xfId="2619" applyFont="1" applyFill="1" applyBorder="1" applyAlignment="1" applyProtection="1">
      <alignment horizontal="center"/>
    </xf>
    <xf numFmtId="0" fontId="7" fillId="0" borderId="20" xfId="2619" applyFont="1" applyFill="1" applyBorder="1" applyAlignment="1" applyProtection="1">
      <alignment horizontal="center"/>
    </xf>
    <xf numFmtId="0" fontId="7" fillId="0" borderId="22" xfId="2619" applyFont="1" applyFill="1" applyBorder="1" applyAlignment="1" applyProtection="1">
      <alignment horizontal="center" vertical="center"/>
    </xf>
    <xf numFmtId="0" fontId="7" fillId="0" borderId="23" xfId="2619" applyFont="1" applyFill="1" applyBorder="1" applyAlignment="1" applyProtection="1">
      <alignment horizontal="center" vertical="center"/>
    </xf>
    <xf numFmtId="0" fontId="7" fillId="0" borderId="20" xfId="2619" applyFont="1" applyFill="1" applyBorder="1" applyAlignment="1" applyProtection="1">
      <alignment horizontal="center" vertical="center"/>
    </xf>
    <xf numFmtId="0" fontId="208" fillId="0" borderId="18" xfId="2619" applyFont="1" applyFill="1" applyBorder="1" applyAlignment="1" applyProtection="1">
      <alignment horizontal="center" vertical="center"/>
    </xf>
    <xf numFmtId="0" fontId="7" fillId="0" borderId="60" xfId="2619" applyFont="1" applyFill="1" applyBorder="1" applyAlignment="1" applyProtection="1">
      <alignment horizontal="center" vertical="center"/>
    </xf>
    <xf numFmtId="0" fontId="208" fillId="0" borderId="18" xfId="2619" applyFont="1" applyFill="1" applyBorder="1" applyAlignment="1" applyProtection="1">
      <alignment horizontal="center"/>
    </xf>
    <xf numFmtId="0" fontId="7" fillId="0" borderId="60" xfId="2619" applyFont="1" applyFill="1" applyBorder="1" applyAlignment="1" applyProtection="1">
      <alignment horizontal="center"/>
    </xf>
    <xf numFmtId="0" fontId="7" fillId="0" borderId="17" xfId="2619" applyFont="1" applyFill="1" applyBorder="1" applyAlignment="1" applyProtection="1">
      <alignment horizontal="center"/>
    </xf>
    <xf numFmtId="0" fontId="7" fillId="0" borderId="18" xfId="2619" applyFont="1" applyFill="1" applyBorder="1" applyAlignment="1" applyProtection="1">
      <alignment horizontal="center" vertical="center"/>
    </xf>
    <xf numFmtId="0" fontId="7" fillId="0" borderId="17" xfId="2619" applyFont="1" applyFill="1" applyBorder="1" applyAlignment="1" applyProtection="1">
      <alignment horizontal="center" vertical="center"/>
    </xf>
    <xf numFmtId="0" fontId="216" fillId="0" borderId="0" xfId="1" applyFont="1" applyFill="1" applyAlignment="1" applyProtection="1">
      <alignment horizontal="left" vertical="top"/>
    </xf>
    <xf numFmtId="0" fontId="217" fillId="0" borderId="0" xfId="2619" applyFont="1" applyFill="1" applyAlignment="1" applyProtection="1">
      <alignment horizontal="center" vertical="center"/>
    </xf>
    <xf numFmtId="0" fontId="218" fillId="0" borderId="0" xfId="1" applyFont="1" applyFill="1" applyAlignment="1" applyProtection="1">
      <alignment horizontal="center" vertical="center"/>
    </xf>
    <xf numFmtId="0" fontId="7" fillId="0" borderId="11" xfId="2619" applyFont="1" applyFill="1" applyBorder="1" applyAlignment="1" applyProtection="1">
      <alignment horizontal="center" vertical="center"/>
    </xf>
    <xf numFmtId="0" fontId="7" fillId="0" borderId="56" xfId="2619" applyFont="1" applyFill="1" applyBorder="1" applyAlignment="1" applyProtection="1">
      <alignment horizontal="center" vertical="center"/>
    </xf>
    <xf numFmtId="0" fontId="224" fillId="0" borderId="12" xfId="2619" applyFont="1" applyFill="1" applyBorder="1" applyAlignment="1" applyProtection="1">
      <alignment horizontal="center"/>
    </xf>
    <xf numFmtId="0" fontId="7" fillId="0" borderId="14" xfId="2619" applyFont="1" applyFill="1" applyBorder="1" applyAlignment="1" applyProtection="1">
      <alignment horizontal="center"/>
    </xf>
    <xf numFmtId="0" fontId="7" fillId="0" borderId="12" xfId="2619" applyFont="1" applyFill="1" applyBorder="1" applyAlignment="1" applyProtection="1">
      <alignment horizontal="center" vertical="center"/>
    </xf>
    <xf numFmtId="0" fontId="7" fillId="0" borderId="14" xfId="2619" applyFont="1" applyFill="1" applyBorder="1" applyAlignment="1" applyProtection="1">
      <alignment horizontal="center" vertical="center"/>
    </xf>
    <xf numFmtId="0" fontId="7" fillId="0" borderId="13" xfId="2619" applyFont="1" applyFill="1" applyBorder="1" applyAlignment="1" applyProtection="1">
      <alignment horizontal="center" vertical="center"/>
    </xf>
    <xf numFmtId="0" fontId="220" fillId="0" borderId="0" xfId="2619" applyFont="1" applyFill="1" applyBorder="1" applyAlignment="1" applyProtection="1">
      <alignment horizontal="left" shrinkToFit="1"/>
    </xf>
    <xf numFmtId="0" fontId="7" fillId="0" borderId="19" xfId="2619" applyFont="1" applyFill="1" applyBorder="1" applyAlignment="1" applyProtection="1">
      <alignment horizontal="center" vertical="center"/>
    </xf>
    <xf numFmtId="0" fontId="7" fillId="0" borderId="0" xfId="2619" applyFont="1" applyFill="1" applyBorder="1" applyAlignment="1" applyProtection="1">
      <alignment horizontal="center" vertical="center"/>
    </xf>
    <xf numFmtId="0" fontId="7" fillId="0" borderId="15" xfId="2619" applyFont="1" applyFill="1" applyBorder="1" applyAlignment="1" applyProtection="1">
      <alignment horizontal="center" vertical="center"/>
    </xf>
    <xf numFmtId="0" fontId="213" fillId="0" borderId="0" xfId="1" applyFont="1" applyFill="1" applyAlignment="1" applyProtection="1">
      <alignment horizontal="center" vertical="center"/>
    </xf>
    <xf numFmtId="0" fontId="214" fillId="0" borderId="0" xfId="1" applyFont="1" applyFill="1" applyAlignment="1" applyProtection="1">
      <alignment horizontal="center" vertical="center"/>
    </xf>
    <xf numFmtId="0" fontId="6" fillId="0" borderId="11" xfId="1" applyFont="1" applyFill="1" applyBorder="1" applyAlignment="1" applyProtection="1">
      <alignment horizontal="center" vertical="center"/>
    </xf>
    <xf numFmtId="0" fontId="6" fillId="0" borderId="56" xfId="1" applyFont="1" applyFill="1" applyBorder="1" applyAlignment="1" applyProtection="1">
      <alignment horizontal="center" vertical="center"/>
    </xf>
    <xf numFmtId="0" fontId="6" fillId="0" borderId="12" xfId="1" applyFont="1" applyFill="1" applyBorder="1" applyAlignment="1" applyProtection="1">
      <alignment horizontal="center" vertical="center"/>
    </xf>
    <xf numFmtId="0" fontId="6" fillId="0" borderId="14" xfId="1" applyFont="1" applyFill="1" applyBorder="1" applyAlignment="1" applyProtection="1">
      <alignment horizontal="center" vertical="center"/>
    </xf>
    <xf numFmtId="0" fontId="179" fillId="0" borderId="14" xfId="1" applyFont="1" applyFill="1" applyBorder="1" applyAlignment="1" applyProtection="1">
      <alignment horizontal="center" vertical="center"/>
    </xf>
    <xf numFmtId="0" fontId="179" fillId="0" borderId="13" xfId="1" applyFont="1" applyFill="1" applyBorder="1" applyAlignment="1" applyProtection="1">
      <alignment horizontal="center" vertical="center"/>
    </xf>
    <xf numFmtId="0" fontId="179" fillId="0" borderId="21" xfId="1" applyFont="1" applyFill="1" applyBorder="1" applyAlignment="1" applyProtection="1">
      <alignment horizontal="center" vertical="center"/>
    </xf>
    <xf numFmtId="0" fontId="179" fillId="0" borderId="22" xfId="1" applyFont="1" applyFill="1" applyBorder="1" applyAlignment="1" applyProtection="1">
      <alignment horizontal="center" vertical="center"/>
    </xf>
    <xf numFmtId="0" fontId="6" fillId="0" borderId="57" xfId="1" applyFont="1" applyFill="1" applyBorder="1" applyAlignment="1" applyProtection="1">
      <alignment horizontal="center" vertical="center"/>
    </xf>
    <xf numFmtId="0" fontId="6" fillId="0" borderId="18" xfId="1" applyFont="1" applyFill="1" applyBorder="1" applyAlignment="1" applyProtection="1">
      <alignment horizontal="center" vertical="center"/>
    </xf>
    <xf numFmtId="0" fontId="6" fillId="0" borderId="17" xfId="1" applyFont="1" applyFill="1" applyBorder="1" applyAlignment="1" applyProtection="1">
      <alignment horizontal="center" vertical="center"/>
    </xf>
    <xf numFmtId="0" fontId="179" fillId="0" borderId="20" xfId="1" applyFont="1" applyFill="1" applyBorder="1" applyAlignment="1" applyProtection="1">
      <alignment horizontal="center" vertical="center"/>
    </xf>
    <xf numFmtId="0" fontId="6" fillId="0" borderId="57" xfId="1" applyFont="1" applyFill="1" applyBorder="1" applyAlignment="1" applyProtection="1">
      <alignment horizontal="center" vertical="center" wrapText="1"/>
    </xf>
    <xf numFmtId="0" fontId="6" fillId="0" borderId="21" xfId="1" applyFont="1" applyFill="1" applyBorder="1" applyAlignment="1" applyProtection="1">
      <alignment horizontal="center" vertical="center" wrapText="1"/>
    </xf>
    <xf numFmtId="0" fontId="6" fillId="0" borderId="18" xfId="1" applyFont="1" applyFill="1" applyBorder="1" applyAlignment="1" applyProtection="1">
      <alignment horizontal="center" vertical="center" wrapText="1"/>
    </xf>
    <xf numFmtId="0" fontId="6" fillId="0" borderId="22" xfId="1" applyFont="1" applyFill="1" applyBorder="1" applyAlignment="1" applyProtection="1">
      <alignment horizontal="center" vertical="center" wrapText="1"/>
    </xf>
    <xf numFmtId="0" fontId="179" fillId="0" borderId="57" xfId="1" applyFont="1" applyFill="1" applyBorder="1" applyAlignment="1" applyProtection="1">
      <alignment horizontal="center" vertical="center" wrapText="1"/>
    </xf>
    <xf numFmtId="0" fontId="179" fillId="0" borderId="57" xfId="1" applyFont="1" applyFill="1" applyBorder="1" applyAlignment="1" applyProtection="1">
      <alignment horizontal="center" vertical="center"/>
    </xf>
    <xf numFmtId="0" fontId="7" fillId="0" borderId="20" xfId="2608" applyFont="1" applyFill="1" applyBorder="1" applyAlignment="1" applyProtection="1">
      <alignment horizontal="center" vertical="center"/>
    </xf>
    <xf numFmtId="0" fontId="6" fillId="0" borderId="56" xfId="2608" applyFont="1" applyFill="1" applyBorder="1" applyAlignment="1" applyProtection="1">
      <alignment horizontal="center" vertical="center"/>
    </xf>
    <xf numFmtId="0" fontId="52" fillId="0" borderId="0" xfId="2608" applyFont="1" applyFill="1" applyAlignment="1" applyProtection="1">
      <alignment horizontal="left" vertical="top"/>
    </xf>
    <xf numFmtId="0" fontId="214" fillId="0" borderId="0" xfId="2608" applyFont="1" applyFill="1" applyAlignment="1" applyProtection="1">
      <alignment horizontal="center" vertical="center"/>
    </xf>
    <xf numFmtId="0" fontId="179" fillId="0" borderId="11" xfId="2608" applyFont="1" applyFill="1" applyBorder="1" applyAlignment="1" applyProtection="1">
      <alignment horizontal="center" vertical="center"/>
    </xf>
    <xf numFmtId="0" fontId="179" fillId="0" borderId="13" xfId="2608" applyFont="1" applyFill="1" applyBorder="1" applyAlignment="1" applyProtection="1">
      <alignment horizontal="center" vertical="center"/>
    </xf>
    <xf numFmtId="0" fontId="214" fillId="0" borderId="0" xfId="2608" applyFont="1" applyFill="1" applyBorder="1" applyAlignment="1" applyProtection="1">
      <alignment horizontal="center" vertical="center"/>
    </xf>
    <xf numFmtId="0" fontId="179" fillId="0" borderId="20" xfId="2608" applyFont="1" applyFill="1" applyBorder="1" applyAlignment="1" applyProtection="1">
      <alignment horizontal="center" vertical="center"/>
    </xf>
    <xf numFmtId="0" fontId="179" fillId="0" borderId="59" xfId="2608" applyFont="1" applyFill="1" applyBorder="1" applyAlignment="1" applyProtection="1">
      <alignment horizontal="center" vertical="center"/>
    </xf>
    <xf numFmtId="0" fontId="179" fillId="0" borderId="29" xfId="4204" applyFont="1" applyFill="1" applyBorder="1" applyAlignment="1">
      <alignment horizontal="center" vertical="center"/>
    </xf>
    <xf numFmtId="0" fontId="179" fillId="0" borderId="58" xfId="4204" applyFont="1" applyFill="1" applyBorder="1" applyAlignment="1">
      <alignment horizontal="center" vertical="center"/>
    </xf>
    <xf numFmtId="0" fontId="6" fillId="0" borderId="57" xfId="2608" applyFont="1" applyFill="1" applyBorder="1" applyAlignment="1" applyProtection="1">
      <alignment horizontal="center" vertical="center" shrinkToFit="1"/>
    </xf>
    <xf numFmtId="0" fontId="6" fillId="0" borderId="16" xfId="2608" applyFont="1" applyFill="1" applyBorder="1" applyAlignment="1" applyProtection="1">
      <alignment horizontal="center" vertical="center" shrinkToFit="1"/>
    </xf>
    <xf numFmtId="0" fontId="208" fillId="0" borderId="57" xfId="2608" applyFont="1" applyFill="1" applyBorder="1" applyAlignment="1" applyProtection="1">
      <alignment horizontal="center" vertical="center" shrinkToFit="1"/>
    </xf>
    <xf numFmtId="0" fontId="208" fillId="0" borderId="16" xfId="2608" applyFont="1" applyFill="1" applyBorder="1" applyAlignment="1" applyProtection="1">
      <alignment horizontal="center" vertical="center" shrinkToFit="1"/>
    </xf>
    <xf numFmtId="0" fontId="6" fillId="0" borderId="18" xfId="2608" applyFont="1" applyFill="1" applyBorder="1" applyAlignment="1" applyProtection="1">
      <alignment horizontal="center" vertical="center"/>
    </xf>
    <xf numFmtId="0" fontId="179" fillId="0" borderId="15" xfId="2608" applyFont="1" applyFill="1" applyBorder="1" applyAlignment="1" applyProtection="1">
      <alignment horizontal="center" vertical="center"/>
    </xf>
    <xf numFmtId="0" fontId="6" fillId="0" borderId="18" xfId="2608" applyFont="1" applyFill="1" applyBorder="1" applyAlignment="1" applyProtection="1">
      <alignment horizontal="center" vertical="center" shrinkToFit="1"/>
    </xf>
    <xf numFmtId="0" fontId="6" fillId="0" borderId="19" xfId="2608" applyFont="1" applyFill="1" applyBorder="1" applyAlignment="1" applyProtection="1">
      <alignment horizontal="center" vertical="center" shrinkToFit="1"/>
    </xf>
    <xf numFmtId="0" fontId="6" fillId="0" borderId="57" xfId="2608" applyFont="1" applyFill="1" applyBorder="1" applyAlignment="1" applyProtection="1">
      <alignment horizontal="center" vertical="center" wrapText="1" shrinkToFit="1"/>
    </xf>
    <xf numFmtId="0" fontId="179" fillId="0" borderId="29" xfId="2608" applyFont="1" applyFill="1" applyBorder="1" applyAlignment="1" applyProtection="1">
      <alignment horizontal="center" vertical="center"/>
    </xf>
    <xf numFmtId="0" fontId="179" fillId="0" borderId="58" xfId="2608" applyFont="1" applyFill="1" applyBorder="1" applyAlignment="1" applyProtection="1">
      <alignment horizontal="center" vertical="center"/>
    </xf>
    <xf numFmtId="0" fontId="208" fillId="0" borderId="12" xfId="2" applyFont="1" applyFill="1" applyBorder="1" applyAlignment="1" applyProtection="1">
      <alignment horizontal="center" vertical="center"/>
    </xf>
    <xf numFmtId="0" fontId="238" fillId="0" borderId="14" xfId="4204" applyFont="1" applyFill="1" applyBorder="1" applyAlignment="1">
      <alignment horizontal="center" vertical="center"/>
    </xf>
    <xf numFmtId="0" fontId="7" fillId="0" borderId="59" xfId="2" applyFont="1" applyFill="1" applyBorder="1" applyAlignment="1" applyProtection="1">
      <alignment horizontal="center" vertical="center" shrinkToFit="1"/>
    </xf>
    <xf numFmtId="0" fontId="7" fillId="0" borderId="58" xfId="2" applyFont="1" applyFill="1" applyBorder="1" applyAlignment="1" applyProtection="1">
      <alignment horizontal="center" vertical="center" shrinkToFit="1"/>
    </xf>
    <xf numFmtId="0" fontId="7" fillId="0" borderId="29" xfId="2" applyFont="1" applyFill="1" applyBorder="1" applyAlignment="1" applyProtection="1">
      <alignment horizontal="center" vertical="center" shrinkToFit="1"/>
    </xf>
    <xf numFmtId="0" fontId="272" fillId="0" borderId="0" xfId="2" applyFont="1" applyFill="1" applyAlignment="1" applyProtection="1">
      <alignment horizontal="left" vertical="top"/>
    </xf>
    <xf numFmtId="0" fontId="7" fillId="0" borderId="12" xfId="2" applyFont="1" applyFill="1" applyBorder="1" applyAlignment="1" applyProtection="1">
      <alignment horizontal="center" vertical="center" shrinkToFit="1"/>
    </xf>
    <xf numFmtId="0" fontId="7" fillId="0" borderId="14" xfId="2" applyFont="1" applyFill="1" applyBorder="1" applyAlignment="1" applyProtection="1">
      <alignment horizontal="center" vertical="center" shrinkToFit="1"/>
    </xf>
    <xf numFmtId="0" fontId="7" fillId="0" borderId="13" xfId="2" applyFont="1" applyFill="1" applyBorder="1" applyAlignment="1" applyProtection="1">
      <alignment horizontal="center" vertical="center" shrinkToFit="1"/>
    </xf>
    <xf numFmtId="0" fontId="208" fillId="0" borderId="19" xfId="1" applyFont="1" applyFill="1" applyBorder="1" applyAlignment="1" applyProtection="1">
      <alignment horizontal="center" vertical="center"/>
    </xf>
    <xf numFmtId="0" fontId="208" fillId="0" borderId="0" xfId="1" applyFont="1" applyFill="1" applyBorder="1" applyAlignment="1" applyProtection="1">
      <alignment horizontal="center" vertical="center"/>
    </xf>
    <xf numFmtId="0" fontId="208" fillId="0" borderId="15" xfId="1" applyFont="1" applyFill="1" applyBorder="1" applyAlignment="1" applyProtection="1">
      <alignment horizontal="center" vertical="center"/>
    </xf>
    <xf numFmtId="0" fontId="217" fillId="0" borderId="0" xfId="1" applyFont="1" applyFill="1" applyAlignment="1" applyProtection="1">
      <alignment horizontal="center" vertical="center"/>
    </xf>
    <xf numFmtId="0" fontId="218" fillId="0" borderId="0" xfId="1" applyFont="1" applyFill="1" applyAlignment="1" applyProtection="1">
      <alignment horizontal="center"/>
    </xf>
    <xf numFmtId="0" fontId="208" fillId="0" borderId="11" xfId="1" applyFont="1" applyFill="1" applyBorder="1" applyAlignment="1" applyProtection="1">
      <alignment horizontal="center" vertical="center"/>
    </xf>
    <xf numFmtId="0" fontId="208" fillId="0" borderId="56" xfId="1" applyFont="1" applyFill="1" applyBorder="1" applyAlignment="1" applyProtection="1">
      <alignment horizontal="center" vertical="center"/>
    </xf>
    <xf numFmtId="0" fontId="7" fillId="0" borderId="19" xfId="1" applyFont="1" applyFill="1" applyBorder="1" applyAlignment="1" applyProtection="1">
      <alignment horizontal="center" vertical="center" shrinkToFit="1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22" xfId="1" applyFont="1" applyFill="1" applyBorder="1" applyAlignment="1" applyProtection="1">
      <alignment horizontal="center" vertical="center" shrinkToFit="1"/>
    </xf>
    <xf numFmtId="0" fontId="7" fillId="0" borderId="23" xfId="1" applyFont="1" applyFill="1" applyBorder="1" applyAlignment="1" applyProtection="1">
      <alignment horizontal="center" vertical="center" shrinkToFit="1"/>
    </xf>
    <xf numFmtId="0" fontId="221" fillId="0" borderId="0" xfId="1" applyFont="1" applyFill="1" applyBorder="1" applyAlignment="1" applyProtection="1">
      <alignment horizontal="right"/>
    </xf>
    <xf numFmtId="0" fontId="220" fillId="0" borderId="0" xfId="2" applyFont="1" applyFill="1" applyBorder="1" applyAlignment="1" applyProtection="1">
      <alignment horizontal="left" wrapText="1"/>
    </xf>
    <xf numFmtId="0" fontId="7" fillId="0" borderId="12" xfId="1" applyFont="1" applyFill="1" applyBorder="1" applyAlignment="1" applyProtection="1">
      <alignment horizontal="center" vertical="center"/>
    </xf>
    <xf numFmtId="0" fontId="7" fillId="0" borderId="14" xfId="1" applyFont="1" applyFill="1" applyBorder="1" applyAlignment="1" applyProtection="1">
      <alignment horizontal="center" vertical="center"/>
    </xf>
    <xf numFmtId="3" fontId="7" fillId="131" borderId="60" xfId="0" applyNumberFormat="1" applyFont="1" applyFill="1" applyBorder="1" applyAlignment="1">
      <alignment horizontal="right" wrapText="1"/>
    </xf>
    <xf numFmtId="3" fontId="7" fillId="131" borderId="0" xfId="0" applyNumberFormat="1" applyFont="1" applyFill="1" applyBorder="1" applyAlignment="1">
      <alignment horizontal="right" wrapText="1"/>
    </xf>
    <xf numFmtId="178" fontId="219" fillId="131" borderId="0" xfId="3" applyNumberFormat="1" applyFont="1" applyFill="1" applyBorder="1" applyAlignment="1" applyProtection="1">
      <alignment horizontal="right" wrapText="1"/>
    </xf>
    <xf numFmtId="178" fontId="219" fillId="131" borderId="71" xfId="3" applyNumberFormat="1" applyFont="1" applyFill="1" applyBorder="1" applyAlignment="1" applyProtection="1">
      <alignment horizontal="right" wrapText="1"/>
    </xf>
  </cellXfs>
  <cellStyles count="4912">
    <cellStyle name="??&amp;O?&amp;H?_x0008_??_x0007__x0001__x0001_" xfId="12" xr:uid="{00000000-0005-0000-0000-000000000000}"/>
    <cellStyle name="??&amp;O?&amp;H?_x0008_??_x0007__x0001__x0001_ 2" xfId="13" xr:uid="{00000000-0005-0000-0000-000001000000}"/>
    <cellStyle name="??_?.????" xfId="14" xr:uid="{00000000-0005-0000-0000-000002000000}"/>
    <cellStyle name="20% - Accent1" xfId="15" xr:uid="{00000000-0005-0000-0000-000003000000}"/>
    <cellStyle name="20% - Accent1 2" xfId="16" xr:uid="{00000000-0005-0000-0000-000004000000}"/>
    <cellStyle name="20% - Accent1 2 2" xfId="17" xr:uid="{00000000-0005-0000-0000-000005000000}"/>
    <cellStyle name="20% - Accent1 3" xfId="18" xr:uid="{00000000-0005-0000-0000-000006000000}"/>
    <cellStyle name="20% - Accent1_1) 도로시설물" xfId="19" xr:uid="{00000000-0005-0000-0000-000007000000}"/>
    <cellStyle name="20% - Accent2" xfId="20" xr:uid="{00000000-0005-0000-0000-000008000000}"/>
    <cellStyle name="20% - Accent2 2" xfId="21" xr:uid="{00000000-0005-0000-0000-000009000000}"/>
    <cellStyle name="20% - Accent2 2 2" xfId="22" xr:uid="{00000000-0005-0000-0000-00000A000000}"/>
    <cellStyle name="20% - Accent2 3" xfId="23" xr:uid="{00000000-0005-0000-0000-00000B000000}"/>
    <cellStyle name="20% - Accent2_1) 도로시설물" xfId="24" xr:uid="{00000000-0005-0000-0000-00000C000000}"/>
    <cellStyle name="20% - Accent3" xfId="25" xr:uid="{00000000-0005-0000-0000-00000D000000}"/>
    <cellStyle name="20% - Accent3 2" xfId="26" xr:uid="{00000000-0005-0000-0000-00000E000000}"/>
    <cellStyle name="20% - Accent3 2 2" xfId="27" xr:uid="{00000000-0005-0000-0000-00000F000000}"/>
    <cellStyle name="20% - Accent3 3" xfId="28" xr:uid="{00000000-0005-0000-0000-000010000000}"/>
    <cellStyle name="20% - Accent3_1) 도로시설물" xfId="29" xr:uid="{00000000-0005-0000-0000-000011000000}"/>
    <cellStyle name="20% - Accent4" xfId="30" xr:uid="{00000000-0005-0000-0000-000012000000}"/>
    <cellStyle name="20% - Accent4 2" xfId="31" xr:uid="{00000000-0005-0000-0000-000013000000}"/>
    <cellStyle name="20% - Accent4 2 2" xfId="32" xr:uid="{00000000-0005-0000-0000-000014000000}"/>
    <cellStyle name="20% - Accent4 3" xfId="33" xr:uid="{00000000-0005-0000-0000-000015000000}"/>
    <cellStyle name="20% - Accent4_1) 도로시설물" xfId="34" xr:uid="{00000000-0005-0000-0000-000016000000}"/>
    <cellStyle name="20% - Accent5" xfId="35" xr:uid="{00000000-0005-0000-0000-000017000000}"/>
    <cellStyle name="20% - Accent5 2" xfId="36" xr:uid="{00000000-0005-0000-0000-000018000000}"/>
    <cellStyle name="20% - Accent5 2 2" xfId="37" xr:uid="{00000000-0005-0000-0000-000019000000}"/>
    <cellStyle name="20% - Accent5 3" xfId="38" xr:uid="{00000000-0005-0000-0000-00001A000000}"/>
    <cellStyle name="20% - Accent5_1) 도로시설물" xfId="39" xr:uid="{00000000-0005-0000-0000-00001B000000}"/>
    <cellStyle name="20% - Accent6" xfId="40" xr:uid="{00000000-0005-0000-0000-00001C000000}"/>
    <cellStyle name="20% - Accent6 2" xfId="41" xr:uid="{00000000-0005-0000-0000-00001D000000}"/>
    <cellStyle name="20% - Accent6 2 2" xfId="42" xr:uid="{00000000-0005-0000-0000-00001E000000}"/>
    <cellStyle name="20% - Accent6 3" xfId="43" xr:uid="{00000000-0005-0000-0000-00001F000000}"/>
    <cellStyle name="20% - Accent6_1) 도로시설물" xfId="44" xr:uid="{00000000-0005-0000-0000-000020000000}"/>
    <cellStyle name="20% - 강조색1 10" xfId="45" xr:uid="{00000000-0005-0000-0000-000021000000}"/>
    <cellStyle name="20% - 강조색1 10 2" xfId="2621" xr:uid="{00000000-0005-0000-0000-000022000000}"/>
    <cellStyle name="20% - 강조색1 11" xfId="2622" xr:uid="{00000000-0005-0000-0000-000023000000}"/>
    <cellStyle name="20% - 강조색1 12" xfId="2623" xr:uid="{00000000-0005-0000-0000-000024000000}"/>
    <cellStyle name="20% - 강조색1 13" xfId="2624" xr:uid="{00000000-0005-0000-0000-000025000000}"/>
    <cellStyle name="20% - 강조색1 13 2" xfId="2625" xr:uid="{00000000-0005-0000-0000-000026000000}"/>
    <cellStyle name="20% - 강조색1 13 3" xfId="2626" xr:uid="{00000000-0005-0000-0000-000027000000}"/>
    <cellStyle name="20% - 강조색1 13 4" xfId="2627" xr:uid="{00000000-0005-0000-0000-000028000000}"/>
    <cellStyle name="20% - 강조색1 13 5" xfId="2628" xr:uid="{00000000-0005-0000-0000-000029000000}"/>
    <cellStyle name="20% - 강조색1 13 6" xfId="2629" xr:uid="{00000000-0005-0000-0000-00002A000000}"/>
    <cellStyle name="20% - 강조색1 13 7" xfId="2630" xr:uid="{00000000-0005-0000-0000-00002B000000}"/>
    <cellStyle name="20% - 강조색1 2" xfId="46" xr:uid="{00000000-0005-0000-0000-00002C000000}"/>
    <cellStyle name="20% - 강조색1 2 2" xfId="47" xr:uid="{00000000-0005-0000-0000-00002D000000}"/>
    <cellStyle name="20% - 강조색1 2 2 2" xfId="48" xr:uid="{00000000-0005-0000-0000-00002E000000}"/>
    <cellStyle name="20% - 강조색1 2 2 2 2" xfId="2631" xr:uid="{00000000-0005-0000-0000-00002F000000}"/>
    <cellStyle name="20% - 강조색1 2 2 2 3" xfId="2632" xr:uid="{00000000-0005-0000-0000-000030000000}"/>
    <cellStyle name="20% - 강조색1 2 2 2 4" xfId="2633" xr:uid="{00000000-0005-0000-0000-000031000000}"/>
    <cellStyle name="20% - 강조색1 2 2 3" xfId="49" xr:uid="{00000000-0005-0000-0000-000032000000}"/>
    <cellStyle name="20% - 강조색1 2 2 4" xfId="2634" xr:uid="{00000000-0005-0000-0000-000033000000}"/>
    <cellStyle name="20% - 강조색1 2 2 5" xfId="2635" xr:uid="{00000000-0005-0000-0000-000034000000}"/>
    <cellStyle name="20% - 강조색1 2 2 6" xfId="2636" xr:uid="{00000000-0005-0000-0000-000035000000}"/>
    <cellStyle name="20% - 강조색1 2 3" xfId="50" xr:uid="{00000000-0005-0000-0000-000036000000}"/>
    <cellStyle name="20% - 강조색1 2 3 2" xfId="2637" xr:uid="{00000000-0005-0000-0000-000037000000}"/>
    <cellStyle name="20% - 강조색1 2 3 3" xfId="2638" xr:uid="{00000000-0005-0000-0000-000038000000}"/>
    <cellStyle name="20% - 강조색1 2 3 4" xfId="2639" xr:uid="{00000000-0005-0000-0000-000039000000}"/>
    <cellStyle name="20% - 강조색1 2 4" xfId="51" xr:uid="{00000000-0005-0000-0000-00003A000000}"/>
    <cellStyle name="20% - 강조색1 2 4 2" xfId="2640" xr:uid="{00000000-0005-0000-0000-00003B000000}"/>
    <cellStyle name="20% - 강조색1 2 4 3" xfId="2641" xr:uid="{00000000-0005-0000-0000-00003C000000}"/>
    <cellStyle name="20% - 강조색1 2 5" xfId="2642" xr:uid="{00000000-0005-0000-0000-00003D000000}"/>
    <cellStyle name="20% - 강조색1 2 6" xfId="2643" xr:uid="{00000000-0005-0000-0000-00003E000000}"/>
    <cellStyle name="20% - 강조색1 2 7" xfId="2644" xr:uid="{00000000-0005-0000-0000-00003F000000}"/>
    <cellStyle name="20% - 강조색1 2_1) 도로시설물" xfId="52" xr:uid="{00000000-0005-0000-0000-000040000000}"/>
    <cellStyle name="20% - 강조색1 3" xfId="53" xr:uid="{00000000-0005-0000-0000-000041000000}"/>
    <cellStyle name="20% - 강조색1 3 2" xfId="54" xr:uid="{00000000-0005-0000-0000-000042000000}"/>
    <cellStyle name="20% - 강조색1 3 2 2" xfId="55" xr:uid="{00000000-0005-0000-0000-000043000000}"/>
    <cellStyle name="20% - 강조색1 3 3" xfId="56" xr:uid="{00000000-0005-0000-0000-000044000000}"/>
    <cellStyle name="20% - 강조색1 4" xfId="57" xr:uid="{00000000-0005-0000-0000-000045000000}"/>
    <cellStyle name="20% - 강조색1 4 2" xfId="58" xr:uid="{00000000-0005-0000-0000-000046000000}"/>
    <cellStyle name="20% - 강조색1 4 2 2" xfId="59" xr:uid="{00000000-0005-0000-0000-000047000000}"/>
    <cellStyle name="20% - 강조색1 4 2 3" xfId="2645" xr:uid="{00000000-0005-0000-0000-000048000000}"/>
    <cellStyle name="20% - 강조색1 4 2 4" xfId="2646" xr:uid="{00000000-0005-0000-0000-000049000000}"/>
    <cellStyle name="20% - 강조색1 4 3" xfId="60" xr:uid="{00000000-0005-0000-0000-00004A000000}"/>
    <cellStyle name="20% - 강조색1 4 4" xfId="2647" xr:uid="{00000000-0005-0000-0000-00004B000000}"/>
    <cellStyle name="20% - 강조색1 4 5" xfId="2648" xr:uid="{00000000-0005-0000-0000-00004C000000}"/>
    <cellStyle name="20% - 강조색1 5" xfId="61" xr:uid="{00000000-0005-0000-0000-00004D000000}"/>
    <cellStyle name="20% - 강조색1 5 2" xfId="62" xr:uid="{00000000-0005-0000-0000-00004E000000}"/>
    <cellStyle name="20% - 강조색1 6" xfId="63" xr:uid="{00000000-0005-0000-0000-00004F000000}"/>
    <cellStyle name="20% - 강조색1 6 2" xfId="2649" xr:uid="{00000000-0005-0000-0000-000050000000}"/>
    <cellStyle name="20% - 강조색1 6 3" xfId="2650" xr:uid="{00000000-0005-0000-0000-000051000000}"/>
    <cellStyle name="20% - 강조색1 6 4" xfId="2651" xr:uid="{00000000-0005-0000-0000-000052000000}"/>
    <cellStyle name="20% - 강조색1 7" xfId="64" xr:uid="{00000000-0005-0000-0000-000053000000}"/>
    <cellStyle name="20% - 강조색1 8" xfId="65" xr:uid="{00000000-0005-0000-0000-000054000000}"/>
    <cellStyle name="20% - 강조색1 8 10" xfId="2652" xr:uid="{00000000-0005-0000-0000-000055000000}"/>
    <cellStyle name="20% - 강조색1 8 2" xfId="2653" xr:uid="{00000000-0005-0000-0000-000056000000}"/>
    <cellStyle name="20% - 강조색1 8 3" xfId="2654" xr:uid="{00000000-0005-0000-0000-000057000000}"/>
    <cellStyle name="20% - 강조색1 8 4" xfId="2655" xr:uid="{00000000-0005-0000-0000-000058000000}"/>
    <cellStyle name="20% - 강조색1 8 5" xfId="2656" xr:uid="{00000000-0005-0000-0000-000059000000}"/>
    <cellStyle name="20% - 강조색1 8 6" xfId="2657" xr:uid="{00000000-0005-0000-0000-00005A000000}"/>
    <cellStyle name="20% - 강조색1 8 7" xfId="2658" xr:uid="{00000000-0005-0000-0000-00005B000000}"/>
    <cellStyle name="20% - 강조색1 8 8" xfId="2659" xr:uid="{00000000-0005-0000-0000-00005C000000}"/>
    <cellStyle name="20% - 강조색1 8 9" xfId="2660" xr:uid="{00000000-0005-0000-0000-00005D000000}"/>
    <cellStyle name="20% - 강조색1 9" xfId="66" xr:uid="{00000000-0005-0000-0000-00005E000000}"/>
    <cellStyle name="20% - 강조색1 9 2" xfId="2661" xr:uid="{00000000-0005-0000-0000-00005F000000}"/>
    <cellStyle name="20% - 강조색2 10" xfId="67" xr:uid="{00000000-0005-0000-0000-000060000000}"/>
    <cellStyle name="20% - 강조색2 10 2" xfId="2662" xr:uid="{00000000-0005-0000-0000-000061000000}"/>
    <cellStyle name="20% - 강조색2 11" xfId="2663" xr:uid="{00000000-0005-0000-0000-000062000000}"/>
    <cellStyle name="20% - 강조색2 12" xfId="2664" xr:uid="{00000000-0005-0000-0000-000063000000}"/>
    <cellStyle name="20% - 강조색2 13" xfId="2665" xr:uid="{00000000-0005-0000-0000-000064000000}"/>
    <cellStyle name="20% - 강조색2 13 2" xfId="2666" xr:uid="{00000000-0005-0000-0000-000065000000}"/>
    <cellStyle name="20% - 강조색2 13 3" xfId="2667" xr:uid="{00000000-0005-0000-0000-000066000000}"/>
    <cellStyle name="20% - 강조색2 13 4" xfId="2668" xr:uid="{00000000-0005-0000-0000-000067000000}"/>
    <cellStyle name="20% - 강조색2 13 5" xfId="2669" xr:uid="{00000000-0005-0000-0000-000068000000}"/>
    <cellStyle name="20% - 강조색2 13 6" xfId="2670" xr:uid="{00000000-0005-0000-0000-000069000000}"/>
    <cellStyle name="20% - 강조색2 13 7" xfId="2671" xr:uid="{00000000-0005-0000-0000-00006A000000}"/>
    <cellStyle name="20% - 강조색2 2" xfId="68" xr:uid="{00000000-0005-0000-0000-00006B000000}"/>
    <cellStyle name="20% - 강조색2 2 2" xfId="69" xr:uid="{00000000-0005-0000-0000-00006C000000}"/>
    <cellStyle name="20% - 강조색2 2 2 2" xfId="70" xr:uid="{00000000-0005-0000-0000-00006D000000}"/>
    <cellStyle name="20% - 강조색2 2 2 2 2" xfId="2672" xr:uid="{00000000-0005-0000-0000-00006E000000}"/>
    <cellStyle name="20% - 강조색2 2 2 2 3" xfId="2673" xr:uid="{00000000-0005-0000-0000-00006F000000}"/>
    <cellStyle name="20% - 강조색2 2 2 2 4" xfId="2674" xr:uid="{00000000-0005-0000-0000-000070000000}"/>
    <cellStyle name="20% - 강조색2 2 2 3" xfId="71" xr:uid="{00000000-0005-0000-0000-000071000000}"/>
    <cellStyle name="20% - 강조색2 2 2 4" xfId="2675" xr:uid="{00000000-0005-0000-0000-000072000000}"/>
    <cellStyle name="20% - 강조색2 2 2 5" xfId="2676" xr:uid="{00000000-0005-0000-0000-000073000000}"/>
    <cellStyle name="20% - 강조색2 2 2 6" xfId="2677" xr:uid="{00000000-0005-0000-0000-000074000000}"/>
    <cellStyle name="20% - 강조색2 2 3" xfId="72" xr:uid="{00000000-0005-0000-0000-000075000000}"/>
    <cellStyle name="20% - 강조색2 2 3 2" xfId="2678" xr:uid="{00000000-0005-0000-0000-000076000000}"/>
    <cellStyle name="20% - 강조색2 2 3 3" xfId="2679" xr:uid="{00000000-0005-0000-0000-000077000000}"/>
    <cellStyle name="20% - 강조색2 2 3 4" xfId="2680" xr:uid="{00000000-0005-0000-0000-000078000000}"/>
    <cellStyle name="20% - 강조색2 2 4" xfId="73" xr:uid="{00000000-0005-0000-0000-000079000000}"/>
    <cellStyle name="20% - 강조색2 2 4 2" xfId="2681" xr:uid="{00000000-0005-0000-0000-00007A000000}"/>
    <cellStyle name="20% - 강조색2 2 4 3" xfId="2682" xr:uid="{00000000-0005-0000-0000-00007B000000}"/>
    <cellStyle name="20% - 강조색2 2 5" xfId="2683" xr:uid="{00000000-0005-0000-0000-00007C000000}"/>
    <cellStyle name="20% - 강조색2 2 6" xfId="2684" xr:uid="{00000000-0005-0000-0000-00007D000000}"/>
    <cellStyle name="20% - 강조색2 2 7" xfId="2685" xr:uid="{00000000-0005-0000-0000-00007E000000}"/>
    <cellStyle name="20% - 강조색2 2_1) 도로시설물" xfId="74" xr:uid="{00000000-0005-0000-0000-00007F000000}"/>
    <cellStyle name="20% - 강조색2 3" xfId="75" xr:uid="{00000000-0005-0000-0000-000080000000}"/>
    <cellStyle name="20% - 강조색2 3 2" xfId="76" xr:uid="{00000000-0005-0000-0000-000081000000}"/>
    <cellStyle name="20% - 강조색2 3 2 2" xfId="77" xr:uid="{00000000-0005-0000-0000-000082000000}"/>
    <cellStyle name="20% - 강조색2 3 3" xfId="78" xr:uid="{00000000-0005-0000-0000-000083000000}"/>
    <cellStyle name="20% - 강조색2 4" xfId="79" xr:uid="{00000000-0005-0000-0000-000084000000}"/>
    <cellStyle name="20% - 강조색2 4 2" xfId="80" xr:uid="{00000000-0005-0000-0000-000085000000}"/>
    <cellStyle name="20% - 강조색2 4 2 2" xfId="81" xr:uid="{00000000-0005-0000-0000-000086000000}"/>
    <cellStyle name="20% - 강조색2 4 2 3" xfId="2686" xr:uid="{00000000-0005-0000-0000-000087000000}"/>
    <cellStyle name="20% - 강조색2 4 2 4" xfId="2687" xr:uid="{00000000-0005-0000-0000-000088000000}"/>
    <cellStyle name="20% - 강조색2 4 3" xfId="82" xr:uid="{00000000-0005-0000-0000-000089000000}"/>
    <cellStyle name="20% - 강조색2 4 4" xfId="2688" xr:uid="{00000000-0005-0000-0000-00008A000000}"/>
    <cellStyle name="20% - 강조색2 4 5" xfId="2689" xr:uid="{00000000-0005-0000-0000-00008B000000}"/>
    <cellStyle name="20% - 강조색2 5" xfId="83" xr:uid="{00000000-0005-0000-0000-00008C000000}"/>
    <cellStyle name="20% - 강조색2 5 2" xfId="84" xr:uid="{00000000-0005-0000-0000-00008D000000}"/>
    <cellStyle name="20% - 강조색2 6" xfId="85" xr:uid="{00000000-0005-0000-0000-00008E000000}"/>
    <cellStyle name="20% - 강조색2 6 2" xfId="2690" xr:uid="{00000000-0005-0000-0000-00008F000000}"/>
    <cellStyle name="20% - 강조색2 6 3" xfId="2691" xr:uid="{00000000-0005-0000-0000-000090000000}"/>
    <cellStyle name="20% - 강조색2 6 4" xfId="2692" xr:uid="{00000000-0005-0000-0000-000091000000}"/>
    <cellStyle name="20% - 강조색2 7" xfId="86" xr:uid="{00000000-0005-0000-0000-000092000000}"/>
    <cellStyle name="20% - 강조색2 8" xfId="87" xr:uid="{00000000-0005-0000-0000-000093000000}"/>
    <cellStyle name="20% - 강조색2 8 10" xfId="2693" xr:uid="{00000000-0005-0000-0000-000094000000}"/>
    <cellStyle name="20% - 강조색2 8 2" xfId="2694" xr:uid="{00000000-0005-0000-0000-000095000000}"/>
    <cellStyle name="20% - 강조색2 8 3" xfId="2695" xr:uid="{00000000-0005-0000-0000-000096000000}"/>
    <cellStyle name="20% - 강조색2 8 4" xfId="2696" xr:uid="{00000000-0005-0000-0000-000097000000}"/>
    <cellStyle name="20% - 강조색2 8 5" xfId="2697" xr:uid="{00000000-0005-0000-0000-000098000000}"/>
    <cellStyle name="20% - 강조색2 8 6" xfId="2698" xr:uid="{00000000-0005-0000-0000-000099000000}"/>
    <cellStyle name="20% - 강조색2 8 7" xfId="2699" xr:uid="{00000000-0005-0000-0000-00009A000000}"/>
    <cellStyle name="20% - 강조색2 8 8" xfId="2700" xr:uid="{00000000-0005-0000-0000-00009B000000}"/>
    <cellStyle name="20% - 강조색2 8 9" xfId="2701" xr:uid="{00000000-0005-0000-0000-00009C000000}"/>
    <cellStyle name="20% - 강조색2 9" xfId="88" xr:uid="{00000000-0005-0000-0000-00009D000000}"/>
    <cellStyle name="20% - 강조색2 9 2" xfId="2702" xr:uid="{00000000-0005-0000-0000-00009E000000}"/>
    <cellStyle name="20% - 강조색3 10" xfId="89" xr:uid="{00000000-0005-0000-0000-00009F000000}"/>
    <cellStyle name="20% - 강조색3 10 2" xfId="2703" xr:uid="{00000000-0005-0000-0000-0000A0000000}"/>
    <cellStyle name="20% - 강조색3 11" xfId="2704" xr:uid="{00000000-0005-0000-0000-0000A1000000}"/>
    <cellStyle name="20% - 강조색3 12" xfId="2705" xr:uid="{00000000-0005-0000-0000-0000A2000000}"/>
    <cellStyle name="20% - 강조색3 13" xfId="2706" xr:uid="{00000000-0005-0000-0000-0000A3000000}"/>
    <cellStyle name="20% - 강조색3 13 2" xfId="2707" xr:uid="{00000000-0005-0000-0000-0000A4000000}"/>
    <cellStyle name="20% - 강조색3 13 3" xfId="2708" xr:uid="{00000000-0005-0000-0000-0000A5000000}"/>
    <cellStyle name="20% - 강조색3 13 4" xfId="2709" xr:uid="{00000000-0005-0000-0000-0000A6000000}"/>
    <cellStyle name="20% - 강조색3 13 5" xfId="2710" xr:uid="{00000000-0005-0000-0000-0000A7000000}"/>
    <cellStyle name="20% - 강조색3 13 6" xfId="2711" xr:uid="{00000000-0005-0000-0000-0000A8000000}"/>
    <cellStyle name="20% - 강조색3 13 7" xfId="2712" xr:uid="{00000000-0005-0000-0000-0000A9000000}"/>
    <cellStyle name="20% - 강조색3 2" xfId="90" xr:uid="{00000000-0005-0000-0000-0000AA000000}"/>
    <cellStyle name="20% - 강조색3 2 2" xfId="91" xr:uid="{00000000-0005-0000-0000-0000AB000000}"/>
    <cellStyle name="20% - 강조색3 2 2 2" xfId="92" xr:uid="{00000000-0005-0000-0000-0000AC000000}"/>
    <cellStyle name="20% - 강조색3 2 2 2 2" xfId="2713" xr:uid="{00000000-0005-0000-0000-0000AD000000}"/>
    <cellStyle name="20% - 강조색3 2 2 2 3" xfId="2714" xr:uid="{00000000-0005-0000-0000-0000AE000000}"/>
    <cellStyle name="20% - 강조색3 2 2 2 4" xfId="2715" xr:uid="{00000000-0005-0000-0000-0000AF000000}"/>
    <cellStyle name="20% - 강조색3 2 2 3" xfId="93" xr:uid="{00000000-0005-0000-0000-0000B0000000}"/>
    <cellStyle name="20% - 강조색3 2 2 4" xfId="2716" xr:uid="{00000000-0005-0000-0000-0000B1000000}"/>
    <cellStyle name="20% - 강조색3 2 2 5" xfId="2717" xr:uid="{00000000-0005-0000-0000-0000B2000000}"/>
    <cellStyle name="20% - 강조색3 2 2 6" xfId="2718" xr:uid="{00000000-0005-0000-0000-0000B3000000}"/>
    <cellStyle name="20% - 강조색3 2 3" xfId="94" xr:uid="{00000000-0005-0000-0000-0000B4000000}"/>
    <cellStyle name="20% - 강조색3 2 3 2" xfId="2719" xr:uid="{00000000-0005-0000-0000-0000B5000000}"/>
    <cellStyle name="20% - 강조색3 2 3 3" xfId="2720" xr:uid="{00000000-0005-0000-0000-0000B6000000}"/>
    <cellStyle name="20% - 강조색3 2 3 4" xfId="2721" xr:uid="{00000000-0005-0000-0000-0000B7000000}"/>
    <cellStyle name="20% - 강조색3 2 4" xfId="95" xr:uid="{00000000-0005-0000-0000-0000B8000000}"/>
    <cellStyle name="20% - 강조색3 2 4 2" xfId="2722" xr:uid="{00000000-0005-0000-0000-0000B9000000}"/>
    <cellStyle name="20% - 강조색3 2 4 3" xfId="2723" xr:uid="{00000000-0005-0000-0000-0000BA000000}"/>
    <cellStyle name="20% - 강조색3 2 5" xfId="2724" xr:uid="{00000000-0005-0000-0000-0000BB000000}"/>
    <cellStyle name="20% - 강조색3 2 6" xfId="2725" xr:uid="{00000000-0005-0000-0000-0000BC000000}"/>
    <cellStyle name="20% - 강조색3 2 7" xfId="2726" xr:uid="{00000000-0005-0000-0000-0000BD000000}"/>
    <cellStyle name="20% - 강조색3 2_1) 도로시설물" xfId="96" xr:uid="{00000000-0005-0000-0000-0000BE000000}"/>
    <cellStyle name="20% - 강조색3 3" xfId="97" xr:uid="{00000000-0005-0000-0000-0000BF000000}"/>
    <cellStyle name="20% - 강조색3 3 2" xfId="98" xr:uid="{00000000-0005-0000-0000-0000C0000000}"/>
    <cellStyle name="20% - 강조색3 3 2 2" xfId="99" xr:uid="{00000000-0005-0000-0000-0000C1000000}"/>
    <cellStyle name="20% - 강조색3 3 3" xfId="100" xr:uid="{00000000-0005-0000-0000-0000C2000000}"/>
    <cellStyle name="20% - 강조색3 4" xfId="101" xr:uid="{00000000-0005-0000-0000-0000C3000000}"/>
    <cellStyle name="20% - 강조색3 4 2" xfId="102" xr:uid="{00000000-0005-0000-0000-0000C4000000}"/>
    <cellStyle name="20% - 강조색3 4 2 2" xfId="103" xr:uid="{00000000-0005-0000-0000-0000C5000000}"/>
    <cellStyle name="20% - 강조색3 4 2 3" xfId="2727" xr:uid="{00000000-0005-0000-0000-0000C6000000}"/>
    <cellStyle name="20% - 강조색3 4 2 4" xfId="2728" xr:uid="{00000000-0005-0000-0000-0000C7000000}"/>
    <cellStyle name="20% - 강조색3 4 3" xfId="104" xr:uid="{00000000-0005-0000-0000-0000C8000000}"/>
    <cellStyle name="20% - 강조색3 4 4" xfId="2729" xr:uid="{00000000-0005-0000-0000-0000C9000000}"/>
    <cellStyle name="20% - 강조색3 4 5" xfId="2730" xr:uid="{00000000-0005-0000-0000-0000CA000000}"/>
    <cellStyle name="20% - 강조색3 5" xfId="105" xr:uid="{00000000-0005-0000-0000-0000CB000000}"/>
    <cellStyle name="20% - 강조색3 5 2" xfId="106" xr:uid="{00000000-0005-0000-0000-0000CC000000}"/>
    <cellStyle name="20% - 강조색3 6" xfId="107" xr:uid="{00000000-0005-0000-0000-0000CD000000}"/>
    <cellStyle name="20% - 강조색3 6 2" xfId="2731" xr:uid="{00000000-0005-0000-0000-0000CE000000}"/>
    <cellStyle name="20% - 강조색3 6 3" xfId="2732" xr:uid="{00000000-0005-0000-0000-0000CF000000}"/>
    <cellStyle name="20% - 강조색3 6 4" xfId="2733" xr:uid="{00000000-0005-0000-0000-0000D0000000}"/>
    <cellStyle name="20% - 강조색3 7" xfId="108" xr:uid="{00000000-0005-0000-0000-0000D1000000}"/>
    <cellStyle name="20% - 강조색3 8" xfId="109" xr:uid="{00000000-0005-0000-0000-0000D2000000}"/>
    <cellStyle name="20% - 강조색3 8 10" xfId="2734" xr:uid="{00000000-0005-0000-0000-0000D3000000}"/>
    <cellStyle name="20% - 강조색3 8 2" xfId="2735" xr:uid="{00000000-0005-0000-0000-0000D4000000}"/>
    <cellStyle name="20% - 강조색3 8 3" xfId="2736" xr:uid="{00000000-0005-0000-0000-0000D5000000}"/>
    <cellStyle name="20% - 강조색3 8 4" xfId="2737" xr:uid="{00000000-0005-0000-0000-0000D6000000}"/>
    <cellStyle name="20% - 강조색3 8 5" xfId="2738" xr:uid="{00000000-0005-0000-0000-0000D7000000}"/>
    <cellStyle name="20% - 강조색3 8 6" xfId="2739" xr:uid="{00000000-0005-0000-0000-0000D8000000}"/>
    <cellStyle name="20% - 강조색3 8 7" xfId="2740" xr:uid="{00000000-0005-0000-0000-0000D9000000}"/>
    <cellStyle name="20% - 강조색3 8 8" xfId="2741" xr:uid="{00000000-0005-0000-0000-0000DA000000}"/>
    <cellStyle name="20% - 강조색3 8 9" xfId="2742" xr:uid="{00000000-0005-0000-0000-0000DB000000}"/>
    <cellStyle name="20% - 강조색3 9" xfId="110" xr:uid="{00000000-0005-0000-0000-0000DC000000}"/>
    <cellStyle name="20% - 강조색3 9 2" xfId="2743" xr:uid="{00000000-0005-0000-0000-0000DD000000}"/>
    <cellStyle name="20% - 강조색4 10" xfId="111" xr:uid="{00000000-0005-0000-0000-0000DE000000}"/>
    <cellStyle name="20% - 강조색4 10 2" xfId="2744" xr:uid="{00000000-0005-0000-0000-0000DF000000}"/>
    <cellStyle name="20% - 강조색4 11" xfId="2745" xr:uid="{00000000-0005-0000-0000-0000E0000000}"/>
    <cellStyle name="20% - 강조색4 12" xfId="2746" xr:uid="{00000000-0005-0000-0000-0000E1000000}"/>
    <cellStyle name="20% - 강조색4 13" xfId="2747" xr:uid="{00000000-0005-0000-0000-0000E2000000}"/>
    <cellStyle name="20% - 강조색4 13 2" xfId="2748" xr:uid="{00000000-0005-0000-0000-0000E3000000}"/>
    <cellStyle name="20% - 강조색4 13 3" xfId="2749" xr:uid="{00000000-0005-0000-0000-0000E4000000}"/>
    <cellStyle name="20% - 강조색4 13 4" xfId="2750" xr:uid="{00000000-0005-0000-0000-0000E5000000}"/>
    <cellStyle name="20% - 강조색4 13 5" xfId="2751" xr:uid="{00000000-0005-0000-0000-0000E6000000}"/>
    <cellStyle name="20% - 강조색4 13 6" xfId="2752" xr:uid="{00000000-0005-0000-0000-0000E7000000}"/>
    <cellStyle name="20% - 강조색4 13 7" xfId="2753" xr:uid="{00000000-0005-0000-0000-0000E8000000}"/>
    <cellStyle name="20% - 강조색4 2" xfId="112" xr:uid="{00000000-0005-0000-0000-0000E9000000}"/>
    <cellStyle name="20% - 강조색4 2 2" xfId="113" xr:uid="{00000000-0005-0000-0000-0000EA000000}"/>
    <cellStyle name="20% - 강조색4 2 2 2" xfId="114" xr:uid="{00000000-0005-0000-0000-0000EB000000}"/>
    <cellStyle name="20% - 강조색4 2 2 2 2" xfId="2754" xr:uid="{00000000-0005-0000-0000-0000EC000000}"/>
    <cellStyle name="20% - 강조색4 2 2 2 3" xfId="2755" xr:uid="{00000000-0005-0000-0000-0000ED000000}"/>
    <cellStyle name="20% - 강조색4 2 2 2 4" xfId="2756" xr:uid="{00000000-0005-0000-0000-0000EE000000}"/>
    <cellStyle name="20% - 강조색4 2 2 3" xfId="115" xr:uid="{00000000-0005-0000-0000-0000EF000000}"/>
    <cellStyle name="20% - 강조색4 2 2 4" xfId="2757" xr:uid="{00000000-0005-0000-0000-0000F0000000}"/>
    <cellStyle name="20% - 강조색4 2 2 5" xfId="2758" xr:uid="{00000000-0005-0000-0000-0000F1000000}"/>
    <cellStyle name="20% - 강조색4 2 2 6" xfId="2759" xr:uid="{00000000-0005-0000-0000-0000F2000000}"/>
    <cellStyle name="20% - 강조색4 2 3" xfId="116" xr:uid="{00000000-0005-0000-0000-0000F3000000}"/>
    <cellStyle name="20% - 강조색4 2 3 2" xfId="2760" xr:uid="{00000000-0005-0000-0000-0000F4000000}"/>
    <cellStyle name="20% - 강조색4 2 3 3" xfId="2761" xr:uid="{00000000-0005-0000-0000-0000F5000000}"/>
    <cellStyle name="20% - 강조색4 2 3 4" xfId="2762" xr:uid="{00000000-0005-0000-0000-0000F6000000}"/>
    <cellStyle name="20% - 강조색4 2 4" xfId="117" xr:uid="{00000000-0005-0000-0000-0000F7000000}"/>
    <cellStyle name="20% - 강조색4 2 4 2" xfId="2763" xr:uid="{00000000-0005-0000-0000-0000F8000000}"/>
    <cellStyle name="20% - 강조색4 2 4 3" xfId="2764" xr:uid="{00000000-0005-0000-0000-0000F9000000}"/>
    <cellStyle name="20% - 강조색4 2 5" xfId="2765" xr:uid="{00000000-0005-0000-0000-0000FA000000}"/>
    <cellStyle name="20% - 강조색4 2 6" xfId="2766" xr:uid="{00000000-0005-0000-0000-0000FB000000}"/>
    <cellStyle name="20% - 강조색4 2 7" xfId="2767" xr:uid="{00000000-0005-0000-0000-0000FC000000}"/>
    <cellStyle name="20% - 강조색4 2_1) 도로시설물" xfId="118" xr:uid="{00000000-0005-0000-0000-0000FD000000}"/>
    <cellStyle name="20% - 강조색4 3" xfId="119" xr:uid="{00000000-0005-0000-0000-0000FE000000}"/>
    <cellStyle name="20% - 강조색4 3 2" xfId="120" xr:uid="{00000000-0005-0000-0000-0000FF000000}"/>
    <cellStyle name="20% - 강조색4 3 2 2" xfId="121" xr:uid="{00000000-0005-0000-0000-000000010000}"/>
    <cellStyle name="20% - 강조색4 3 3" xfId="122" xr:uid="{00000000-0005-0000-0000-000001010000}"/>
    <cellStyle name="20% - 강조색4 4" xfId="123" xr:uid="{00000000-0005-0000-0000-000002010000}"/>
    <cellStyle name="20% - 강조색4 4 2" xfId="124" xr:uid="{00000000-0005-0000-0000-000003010000}"/>
    <cellStyle name="20% - 강조색4 4 2 2" xfId="125" xr:uid="{00000000-0005-0000-0000-000004010000}"/>
    <cellStyle name="20% - 강조색4 4 2 3" xfId="2768" xr:uid="{00000000-0005-0000-0000-000005010000}"/>
    <cellStyle name="20% - 강조색4 4 2 4" xfId="2769" xr:uid="{00000000-0005-0000-0000-000006010000}"/>
    <cellStyle name="20% - 강조색4 4 3" xfId="126" xr:uid="{00000000-0005-0000-0000-000007010000}"/>
    <cellStyle name="20% - 강조색4 4 4" xfId="2770" xr:uid="{00000000-0005-0000-0000-000008010000}"/>
    <cellStyle name="20% - 강조색4 4 5" xfId="2771" xr:uid="{00000000-0005-0000-0000-000009010000}"/>
    <cellStyle name="20% - 강조색4 5" xfId="127" xr:uid="{00000000-0005-0000-0000-00000A010000}"/>
    <cellStyle name="20% - 강조색4 5 2" xfId="128" xr:uid="{00000000-0005-0000-0000-00000B010000}"/>
    <cellStyle name="20% - 강조색4 6" xfId="129" xr:uid="{00000000-0005-0000-0000-00000C010000}"/>
    <cellStyle name="20% - 강조색4 6 2" xfId="2772" xr:uid="{00000000-0005-0000-0000-00000D010000}"/>
    <cellStyle name="20% - 강조색4 6 3" xfId="2773" xr:uid="{00000000-0005-0000-0000-00000E010000}"/>
    <cellStyle name="20% - 강조색4 6 4" xfId="2774" xr:uid="{00000000-0005-0000-0000-00000F010000}"/>
    <cellStyle name="20% - 강조색4 7" xfId="130" xr:uid="{00000000-0005-0000-0000-000010010000}"/>
    <cellStyle name="20% - 강조색4 8" xfId="131" xr:uid="{00000000-0005-0000-0000-000011010000}"/>
    <cellStyle name="20% - 강조색4 8 10" xfId="2775" xr:uid="{00000000-0005-0000-0000-000012010000}"/>
    <cellStyle name="20% - 강조색4 8 2" xfId="2776" xr:uid="{00000000-0005-0000-0000-000013010000}"/>
    <cellStyle name="20% - 강조색4 8 3" xfId="2777" xr:uid="{00000000-0005-0000-0000-000014010000}"/>
    <cellStyle name="20% - 강조색4 8 4" xfId="2778" xr:uid="{00000000-0005-0000-0000-000015010000}"/>
    <cellStyle name="20% - 강조색4 8 5" xfId="2779" xr:uid="{00000000-0005-0000-0000-000016010000}"/>
    <cellStyle name="20% - 강조색4 8 6" xfId="2780" xr:uid="{00000000-0005-0000-0000-000017010000}"/>
    <cellStyle name="20% - 강조색4 8 7" xfId="2781" xr:uid="{00000000-0005-0000-0000-000018010000}"/>
    <cellStyle name="20% - 강조색4 8 8" xfId="2782" xr:uid="{00000000-0005-0000-0000-000019010000}"/>
    <cellStyle name="20% - 강조색4 8 9" xfId="2783" xr:uid="{00000000-0005-0000-0000-00001A010000}"/>
    <cellStyle name="20% - 강조색4 9" xfId="132" xr:uid="{00000000-0005-0000-0000-00001B010000}"/>
    <cellStyle name="20% - 강조색4 9 2" xfId="2784" xr:uid="{00000000-0005-0000-0000-00001C010000}"/>
    <cellStyle name="20% - 강조색5 10" xfId="133" xr:uid="{00000000-0005-0000-0000-00001D010000}"/>
    <cellStyle name="20% - 강조색5 10 2" xfId="2785" xr:uid="{00000000-0005-0000-0000-00001E010000}"/>
    <cellStyle name="20% - 강조색5 11" xfId="2786" xr:uid="{00000000-0005-0000-0000-00001F010000}"/>
    <cellStyle name="20% - 강조색5 12" xfId="2787" xr:uid="{00000000-0005-0000-0000-000020010000}"/>
    <cellStyle name="20% - 강조색5 13" xfId="2788" xr:uid="{00000000-0005-0000-0000-000021010000}"/>
    <cellStyle name="20% - 강조색5 13 2" xfId="2789" xr:uid="{00000000-0005-0000-0000-000022010000}"/>
    <cellStyle name="20% - 강조색5 13 3" xfId="2790" xr:uid="{00000000-0005-0000-0000-000023010000}"/>
    <cellStyle name="20% - 강조색5 13 4" xfId="2791" xr:uid="{00000000-0005-0000-0000-000024010000}"/>
    <cellStyle name="20% - 강조색5 13 5" xfId="2792" xr:uid="{00000000-0005-0000-0000-000025010000}"/>
    <cellStyle name="20% - 강조색5 13 6" xfId="2793" xr:uid="{00000000-0005-0000-0000-000026010000}"/>
    <cellStyle name="20% - 강조색5 13 7" xfId="2794" xr:uid="{00000000-0005-0000-0000-000027010000}"/>
    <cellStyle name="20% - 강조색5 2" xfId="134" xr:uid="{00000000-0005-0000-0000-000028010000}"/>
    <cellStyle name="20% - 강조색5 2 2" xfId="135" xr:uid="{00000000-0005-0000-0000-000029010000}"/>
    <cellStyle name="20% - 강조색5 2 2 2" xfId="136" xr:uid="{00000000-0005-0000-0000-00002A010000}"/>
    <cellStyle name="20% - 강조색5 2 2 2 2" xfId="2795" xr:uid="{00000000-0005-0000-0000-00002B010000}"/>
    <cellStyle name="20% - 강조색5 2 2 2 3" xfId="2796" xr:uid="{00000000-0005-0000-0000-00002C010000}"/>
    <cellStyle name="20% - 강조색5 2 2 2 4" xfId="2797" xr:uid="{00000000-0005-0000-0000-00002D010000}"/>
    <cellStyle name="20% - 강조색5 2 2 3" xfId="137" xr:uid="{00000000-0005-0000-0000-00002E010000}"/>
    <cellStyle name="20% - 강조색5 2 2 4" xfId="2798" xr:uid="{00000000-0005-0000-0000-00002F010000}"/>
    <cellStyle name="20% - 강조색5 2 2 5" xfId="2799" xr:uid="{00000000-0005-0000-0000-000030010000}"/>
    <cellStyle name="20% - 강조색5 2 2 6" xfId="2800" xr:uid="{00000000-0005-0000-0000-000031010000}"/>
    <cellStyle name="20% - 강조색5 2 3" xfId="138" xr:uid="{00000000-0005-0000-0000-000032010000}"/>
    <cellStyle name="20% - 강조색5 2 3 2" xfId="2801" xr:uid="{00000000-0005-0000-0000-000033010000}"/>
    <cellStyle name="20% - 강조색5 2 3 3" xfId="2802" xr:uid="{00000000-0005-0000-0000-000034010000}"/>
    <cellStyle name="20% - 강조색5 2 3 4" xfId="2803" xr:uid="{00000000-0005-0000-0000-000035010000}"/>
    <cellStyle name="20% - 강조색5 2 4" xfId="139" xr:uid="{00000000-0005-0000-0000-000036010000}"/>
    <cellStyle name="20% - 강조색5 2 4 2" xfId="2804" xr:uid="{00000000-0005-0000-0000-000037010000}"/>
    <cellStyle name="20% - 강조색5 2 4 3" xfId="2805" xr:uid="{00000000-0005-0000-0000-000038010000}"/>
    <cellStyle name="20% - 강조색5 2 5" xfId="2806" xr:uid="{00000000-0005-0000-0000-000039010000}"/>
    <cellStyle name="20% - 강조색5 2 6" xfId="2807" xr:uid="{00000000-0005-0000-0000-00003A010000}"/>
    <cellStyle name="20% - 강조색5 2 7" xfId="2808" xr:uid="{00000000-0005-0000-0000-00003B010000}"/>
    <cellStyle name="20% - 강조색5 2_12.보건 및 사회보장_" xfId="140" xr:uid="{00000000-0005-0000-0000-00003C010000}"/>
    <cellStyle name="20% - 강조색5 3" xfId="141" xr:uid="{00000000-0005-0000-0000-00003D010000}"/>
    <cellStyle name="20% - 강조색5 3 2" xfId="142" xr:uid="{00000000-0005-0000-0000-00003E010000}"/>
    <cellStyle name="20% - 강조색5 3 2 2" xfId="143" xr:uid="{00000000-0005-0000-0000-00003F010000}"/>
    <cellStyle name="20% - 강조색5 3 3" xfId="144" xr:uid="{00000000-0005-0000-0000-000040010000}"/>
    <cellStyle name="20% - 강조색5 4" xfId="145" xr:uid="{00000000-0005-0000-0000-000041010000}"/>
    <cellStyle name="20% - 강조색5 4 2" xfId="146" xr:uid="{00000000-0005-0000-0000-000042010000}"/>
    <cellStyle name="20% - 강조색5 4 2 2" xfId="147" xr:uid="{00000000-0005-0000-0000-000043010000}"/>
    <cellStyle name="20% - 강조색5 4 2 3" xfId="2809" xr:uid="{00000000-0005-0000-0000-000044010000}"/>
    <cellStyle name="20% - 강조색5 4 2 4" xfId="2810" xr:uid="{00000000-0005-0000-0000-000045010000}"/>
    <cellStyle name="20% - 강조색5 4 3" xfId="148" xr:uid="{00000000-0005-0000-0000-000046010000}"/>
    <cellStyle name="20% - 강조색5 4 4" xfId="2811" xr:uid="{00000000-0005-0000-0000-000047010000}"/>
    <cellStyle name="20% - 강조색5 4 5" xfId="2812" xr:uid="{00000000-0005-0000-0000-000048010000}"/>
    <cellStyle name="20% - 강조색5 5" xfId="149" xr:uid="{00000000-0005-0000-0000-000049010000}"/>
    <cellStyle name="20% - 강조색5 5 2" xfId="150" xr:uid="{00000000-0005-0000-0000-00004A010000}"/>
    <cellStyle name="20% - 강조색5 6" xfId="151" xr:uid="{00000000-0005-0000-0000-00004B010000}"/>
    <cellStyle name="20% - 강조색5 6 2" xfId="2813" xr:uid="{00000000-0005-0000-0000-00004C010000}"/>
    <cellStyle name="20% - 강조색5 6 3" xfId="2814" xr:uid="{00000000-0005-0000-0000-00004D010000}"/>
    <cellStyle name="20% - 강조색5 6 4" xfId="2815" xr:uid="{00000000-0005-0000-0000-00004E010000}"/>
    <cellStyle name="20% - 강조색5 7" xfId="152" xr:uid="{00000000-0005-0000-0000-00004F010000}"/>
    <cellStyle name="20% - 강조색5 8" xfId="153" xr:uid="{00000000-0005-0000-0000-000050010000}"/>
    <cellStyle name="20% - 강조색5 8 10" xfId="2816" xr:uid="{00000000-0005-0000-0000-000051010000}"/>
    <cellStyle name="20% - 강조색5 8 2" xfId="2817" xr:uid="{00000000-0005-0000-0000-000052010000}"/>
    <cellStyle name="20% - 강조색5 8 3" xfId="2818" xr:uid="{00000000-0005-0000-0000-000053010000}"/>
    <cellStyle name="20% - 강조색5 8 4" xfId="2819" xr:uid="{00000000-0005-0000-0000-000054010000}"/>
    <cellStyle name="20% - 강조색5 8 5" xfId="2820" xr:uid="{00000000-0005-0000-0000-000055010000}"/>
    <cellStyle name="20% - 강조색5 8 6" xfId="2821" xr:uid="{00000000-0005-0000-0000-000056010000}"/>
    <cellStyle name="20% - 강조색5 8 7" xfId="2822" xr:uid="{00000000-0005-0000-0000-000057010000}"/>
    <cellStyle name="20% - 강조색5 8 8" xfId="2823" xr:uid="{00000000-0005-0000-0000-000058010000}"/>
    <cellStyle name="20% - 강조색5 8 9" xfId="2824" xr:uid="{00000000-0005-0000-0000-000059010000}"/>
    <cellStyle name="20% - 강조색5 9" xfId="154" xr:uid="{00000000-0005-0000-0000-00005A010000}"/>
    <cellStyle name="20% - 강조색5 9 2" xfId="2825" xr:uid="{00000000-0005-0000-0000-00005B010000}"/>
    <cellStyle name="20% - 강조색6 10" xfId="155" xr:uid="{00000000-0005-0000-0000-00005C010000}"/>
    <cellStyle name="20% - 강조색6 10 2" xfId="2826" xr:uid="{00000000-0005-0000-0000-00005D010000}"/>
    <cellStyle name="20% - 강조색6 11" xfId="2827" xr:uid="{00000000-0005-0000-0000-00005E010000}"/>
    <cellStyle name="20% - 강조색6 12" xfId="2828" xr:uid="{00000000-0005-0000-0000-00005F010000}"/>
    <cellStyle name="20% - 강조색6 13" xfId="2829" xr:uid="{00000000-0005-0000-0000-000060010000}"/>
    <cellStyle name="20% - 강조색6 13 2" xfId="2830" xr:uid="{00000000-0005-0000-0000-000061010000}"/>
    <cellStyle name="20% - 강조색6 13 3" xfId="2831" xr:uid="{00000000-0005-0000-0000-000062010000}"/>
    <cellStyle name="20% - 강조색6 13 4" xfId="2832" xr:uid="{00000000-0005-0000-0000-000063010000}"/>
    <cellStyle name="20% - 강조색6 13 5" xfId="2833" xr:uid="{00000000-0005-0000-0000-000064010000}"/>
    <cellStyle name="20% - 강조색6 13 6" xfId="2834" xr:uid="{00000000-0005-0000-0000-000065010000}"/>
    <cellStyle name="20% - 강조색6 13 7" xfId="2835" xr:uid="{00000000-0005-0000-0000-000066010000}"/>
    <cellStyle name="20% - 강조색6 2" xfId="156" xr:uid="{00000000-0005-0000-0000-000067010000}"/>
    <cellStyle name="20% - 강조색6 2 2" xfId="157" xr:uid="{00000000-0005-0000-0000-000068010000}"/>
    <cellStyle name="20% - 강조색6 2 2 2" xfId="158" xr:uid="{00000000-0005-0000-0000-000069010000}"/>
    <cellStyle name="20% - 강조색6 2 2 2 2" xfId="2836" xr:uid="{00000000-0005-0000-0000-00006A010000}"/>
    <cellStyle name="20% - 강조색6 2 2 2 3" xfId="2837" xr:uid="{00000000-0005-0000-0000-00006B010000}"/>
    <cellStyle name="20% - 강조색6 2 2 2 4" xfId="2838" xr:uid="{00000000-0005-0000-0000-00006C010000}"/>
    <cellStyle name="20% - 강조색6 2 2 3" xfId="159" xr:uid="{00000000-0005-0000-0000-00006D010000}"/>
    <cellStyle name="20% - 강조색6 2 2 4" xfId="2839" xr:uid="{00000000-0005-0000-0000-00006E010000}"/>
    <cellStyle name="20% - 강조색6 2 2 5" xfId="2840" xr:uid="{00000000-0005-0000-0000-00006F010000}"/>
    <cellStyle name="20% - 강조색6 2 2 6" xfId="2841" xr:uid="{00000000-0005-0000-0000-000070010000}"/>
    <cellStyle name="20% - 강조색6 2 3" xfId="160" xr:uid="{00000000-0005-0000-0000-000071010000}"/>
    <cellStyle name="20% - 강조색6 2 3 2" xfId="2842" xr:uid="{00000000-0005-0000-0000-000072010000}"/>
    <cellStyle name="20% - 강조색6 2 3 3" xfId="2843" xr:uid="{00000000-0005-0000-0000-000073010000}"/>
    <cellStyle name="20% - 강조색6 2 3 4" xfId="2844" xr:uid="{00000000-0005-0000-0000-000074010000}"/>
    <cellStyle name="20% - 강조색6 2 4" xfId="161" xr:uid="{00000000-0005-0000-0000-000075010000}"/>
    <cellStyle name="20% - 강조색6 2 4 2" xfId="2845" xr:uid="{00000000-0005-0000-0000-000076010000}"/>
    <cellStyle name="20% - 강조색6 2 4 3" xfId="2846" xr:uid="{00000000-0005-0000-0000-000077010000}"/>
    <cellStyle name="20% - 강조색6 2 5" xfId="2847" xr:uid="{00000000-0005-0000-0000-000078010000}"/>
    <cellStyle name="20% - 강조색6 2 6" xfId="2848" xr:uid="{00000000-0005-0000-0000-000079010000}"/>
    <cellStyle name="20% - 강조색6 2 7" xfId="2849" xr:uid="{00000000-0005-0000-0000-00007A010000}"/>
    <cellStyle name="20% - 강조색6 2_1) 도로시설물" xfId="162" xr:uid="{00000000-0005-0000-0000-00007B010000}"/>
    <cellStyle name="20% - 강조색6 3" xfId="163" xr:uid="{00000000-0005-0000-0000-00007C010000}"/>
    <cellStyle name="20% - 강조색6 3 2" xfId="164" xr:uid="{00000000-0005-0000-0000-00007D010000}"/>
    <cellStyle name="20% - 강조색6 3 2 2" xfId="165" xr:uid="{00000000-0005-0000-0000-00007E010000}"/>
    <cellStyle name="20% - 강조색6 3 3" xfId="166" xr:uid="{00000000-0005-0000-0000-00007F010000}"/>
    <cellStyle name="20% - 강조색6 4" xfId="167" xr:uid="{00000000-0005-0000-0000-000080010000}"/>
    <cellStyle name="20% - 강조색6 4 2" xfId="168" xr:uid="{00000000-0005-0000-0000-000081010000}"/>
    <cellStyle name="20% - 강조색6 4 2 2" xfId="169" xr:uid="{00000000-0005-0000-0000-000082010000}"/>
    <cellStyle name="20% - 강조색6 4 2 3" xfId="2850" xr:uid="{00000000-0005-0000-0000-000083010000}"/>
    <cellStyle name="20% - 강조색6 4 2 4" xfId="2851" xr:uid="{00000000-0005-0000-0000-000084010000}"/>
    <cellStyle name="20% - 강조색6 4 3" xfId="170" xr:uid="{00000000-0005-0000-0000-000085010000}"/>
    <cellStyle name="20% - 강조색6 4 4" xfId="2852" xr:uid="{00000000-0005-0000-0000-000086010000}"/>
    <cellStyle name="20% - 강조색6 4 5" xfId="2853" xr:uid="{00000000-0005-0000-0000-000087010000}"/>
    <cellStyle name="20% - 강조색6 5" xfId="171" xr:uid="{00000000-0005-0000-0000-000088010000}"/>
    <cellStyle name="20% - 강조색6 5 2" xfId="172" xr:uid="{00000000-0005-0000-0000-000089010000}"/>
    <cellStyle name="20% - 강조색6 6" xfId="173" xr:uid="{00000000-0005-0000-0000-00008A010000}"/>
    <cellStyle name="20% - 강조색6 6 2" xfId="2854" xr:uid="{00000000-0005-0000-0000-00008B010000}"/>
    <cellStyle name="20% - 강조색6 6 3" xfId="2855" xr:uid="{00000000-0005-0000-0000-00008C010000}"/>
    <cellStyle name="20% - 강조색6 6 4" xfId="2856" xr:uid="{00000000-0005-0000-0000-00008D010000}"/>
    <cellStyle name="20% - 강조색6 7" xfId="174" xr:uid="{00000000-0005-0000-0000-00008E010000}"/>
    <cellStyle name="20% - 강조색6 8" xfId="175" xr:uid="{00000000-0005-0000-0000-00008F010000}"/>
    <cellStyle name="20% - 강조색6 8 10" xfId="2857" xr:uid="{00000000-0005-0000-0000-000090010000}"/>
    <cellStyle name="20% - 강조색6 8 2" xfId="2858" xr:uid="{00000000-0005-0000-0000-000091010000}"/>
    <cellStyle name="20% - 강조색6 8 3" xfId="2859" xr:uid="{00000000-0005-0000-0000-000092010000}"/>
    <cellStyle name="20% - 강조색6 8 4" xfId="2860" xr:uid="{00000000-0005-0000-0000-000093010000}"/>
    <cellStyle name="20% - 강조색6 8 5" xfId="2861" xr:uid="{00000000-0005-0000-0000-000094010000}"/>
    <cellStyle name="20% - 강조색6 8 6" xfId="2862" xr:uid="{00000000-0005-0000-0000-000095010000}"/>
    <cellStyle name="20% - 강조색6 8 7" xfId="2863" xr:uid="{00000000-0005-0000-0000-000096010000}"/>
    <cellStyle name="20% - 강조색6 8 8" xfId="2864" xr:uid="{00000000-0005-0000-0000-000097010000}"/>
    <cellStyle name="20% - 강조색6 8 9" xfId="2865" xr:uid="{00000000-0005-0000-0000-000098010000}"/>
    <cellStyle name="20% - 강조색6 9" xfId="176" xr:uid="{00000000-0005-0000-0000-000099010000}"/>
    <cellStyle name="20% - 강조색6 9 2" xfId="2866" xr:uid="{00000000-0005-0000-0000-00009A010000}"/>
    <cellStyle name="40% - Accent1" xfId="177" xr:uid="{00000000-0005-0000-0000-00009B010000}"/>
    <cellStyle name="40% - Accent1 2" xfId="178" xr:uid="{00000000-0005-0000-0000-00009C010000}"/>
    <cellStyle name="40% - Accent1 2 2" xfId="179" xr:uid="{00000000-0005-0000-0000-00009D010000}"/>
    <cellStyle name="40% - Accent1 3" xfId="180" xr:uid="{00000000-0005-0000-0000-00009E010000}"/>
    <cellStyle name="40% - Accent1_1) 도로시설물" xfId="181" xr:uid="{00000000-0005-0000-0000-00009F010000}"/>
    <cellStyle name="40% - Accent2" xfId="182" xr:uid="{00000000-0005-0000-0000-0000A0010000}"/>
    <cellStyle name="40% - Accent2 2" xfId="183" xr:uid="{00000000-0005-0000-0000-0000A1010000}"/>
    <cellStyle name="40% - Accent2 2 2" xfId="184" xr:uid="{00000000-0005-0000-0000-0000A2010000}"/>
    <cellStyle name="40% - Accent2 3" xfId="185" xr:uid="{00000000-0005-0000-0000-0000A3010000}"/>
    <cellStyle name="40% - Accent2_1) 도로시설물" xfId="186" xr:uid="{00000000-0005-0000-0000-0000A4010000}"/>
    <cellStyle name="40% - Accent3" xfId="187" xr:uid="{00000000-0005-0000-0000-0000A5010000}"/>
    <cellStyle name="40% - Accent3 2" xfId="188" xr:uid="{00000000-0005-0000-0000-0000A6010000}"/>
    <cellStyle name="40% - Accent3 2 2" xfId="189" xr:uid="{00000000-0005-0000-0000-0000A7010000}"/>
    <cellStyle name="40% - Accent3 3" xfId="190" xr:uid="{00000000-0005-0000-0000-0000A8010000}"/>
    <cellStyle name="40% - Accent3_1) 도로시설물" xfId="191" xr:uid="{00000000-0005-0000-0000-0000A9010000}"/>
    <cellStyle name="40% - Accent4" xfId="192" xr:uid="{00000000-0005-0000-0000-0000AA010000}"/>
    <cellStyle name="40% - Accent4 2" xfId="193" xr:uid="{00000000-0005-0000-0000-0000AB010000}"/>
    <cellStyle name="40% - Accent4 2 2" xfId="194" xr:uid="{00000000-0005-0000-0000-0000AC010000}"/>
    <cellStyle name="40% - Accent4 3" xfId="195" xr:uid="{00000000-0005-0000-0000-0000AD010000}"/>
    <cellStyle name="40% - Accent4_1) 도로시설물" xfId="196" xr:uid="{00000000-0005-0000-0000-0000AE010000}"/>
    <cellStyle name="40% - Accent5" xfId="197" xr:uid="{00000000-0005-0000-0000-0000AF010000}"/>
    <cellStyle name="40% - Accent5 2" xfId="198" xr:uid="{00000000-0005-0000-0000-0000B0010000}"/>
    <cellStyle name="40% - Accent5 2 2" xfId="199" xr:uid="{00000000-0005-0000-0000-0000B1010000}"/>
    <cellStyle name="40% - Accent5 3" xfId="200" xr:uid="{00000000-0005-0000-0000-0000B2010000}"/>
    <cellStyle name="40% - Accent5_1) 도로시설물" xfId="201" xr:uid="{00000000-0005-0000-0000-0000B3010000}"/>
    <cellStyle name="40% - Accent6" xfId="202" xr:uid="{00000000-0005-0000-0000-0000B4010000}"/>
    <cellStyle name="40% - Accent6 2" xfId="203" xr:uid="{00000000-0005-0000-0000-0000B5010000}"/>
    <cellStyle name="40% - Accent6 2 2" xfId="204" xr:uid="{00000000-0005-0000-0000-0000B6010000}"/>
    <cellStyle name="40% - Accent6 3" xfId="205" xr:uid="{00000000-0005-0000-0000-0000B7010000}"/>
    <cellStyle name="40% - Accent6_1) 도로시설물" xfId="206" xr:uid="{00000000-0005-0000-0000-0000B8010000}"/>
    <cellStyle name="40% - 강조색1 10" xfId="207" xr:uid="{00000000-0005-0000-0000-0000B9010000}"/>
    <cellStyle name="40% - 강조색1 10 2" xfId="2867" xr:uid="{00000000-0005-0000-0000-0000BA010000}"/>
    <cellStyle name="40% - 강조색1 11" xfId="2868" xr:uid="{00000000-0005-0000-0000-0000BB010000}"/>
    <cellStyle name="40% - 강조색1 12" xfId="2869" xr:uid="{00000000-0005-0000-0000-0000BC010000}"/>
    <cellStyle name="40% - 강조색1 13" xfId="2870" xr:uid="{00000000-0005-0000-0000-0000BD010000}"/>
    <cellStyle name="40% - 강조색1 13 2" xfId="2871" xr:uid="{00000000-0005-0000-0000-0000BE010000}"/>
    <cellStyle name="40% - 강조색1 13 3" xfId="2872" xr:uid="{00000000-0005-0000-0000-0000BF010000}"/>
    <cellStyle name="40% - 강조색1 13 4" xfId="2873" xr:uid="{00000000-0005-0000-0000-0000C0010000}"/>
    <cellStyle name="40% - 강조색1 13 5" xfId="2874" xr:uid="{00000000-0005-0000-0000-0000C1010000}"/>
    <cellStyle name="40% - 강조색1 13 6" xfId="2875" xr:uid="{00000000-0005-0000-0000-0000C2010000}"/>
    <cellStyle name="40% - 강조색1 13 7" xfId="2876" xr:uid="{00000000-0005-0000-0000-0000C3010000}"/>
    <cellStyle name="40% - 강조색1 2" xfId="208" xr:uid="{00000000-0005-0000-0000-0000C4010000}"/>
    <cellStyle name="40% - 강조색1 2 2" xfId="209" xr:uid="{00000000-0005-0000-0000-0000C5010000}"/>
    <cellStyle name="40% - 강조색1 2 2 2" xfId="210" xr:uid="{00000000-0005-0000-0000-0000C6010000}"/>
    <cellStyle name="40% - 강조색1 2 2 2 2" xfId="2877" xr:uid="{00000000-0005-0000-0000-0000C7010000}"/>
    <cellStyle name="40% - 강조색1 2 2 2 3" xfId="2878" xr:uid="{00000000-0005-0000-0000-0000C8010000}"/>
    <cellStyle name="40% - 강조색1 2 2 2 4" xfId="2879" xr:uid="{00000000-0005-0000-0000-0000C9010000}"/>
    <cellStyle name="40% - 강조색1 2 2 3" xfId="211" xr:uid="{00000000-0005-0000-0000-0000CA010000}"/>
    <cellStyle name="40% - 강조색1 2 2 4" xfId="2880" xr:uid="{00000000-0005-0000-0000-0000CB010000}"/>
    <cellStyle name="40% - 강조색1 2 2 5" xfId="2881" xr:uid="{00000000-0005-0000-0000-0000CC010000}"/>
    <cellStyle name="40% - 강조색1 2 2 6" xfId="2882" xr:uid="{00000000-0005-0000-0000-0000CD010000}"/>
    <cellStyle name="40% - 강조색1 2 3" xfId="212" xr:uid="{00000000-0005-0000-0000-0000CE010000}"/>
    <cellStyle name="40% - 강조색1 2 3 2" xfId="2883" xr:uid="{00000000-0005-0000-0000-0000CF010000}"/>
    <cellStyle name="40% - 강조색1 2 3 3" xfId="2884" xr:uid="{00000000-0005-0000-0000-0000D0010000}"/>
    <cellStyle name="40% - 강조색1 2 3 4" xfId="2885" xr:uid="{00000000-0005-0000-0000-0000D1010000}"/>
    <cellStyle name="40% - 강조색1 2 4" xfId="213" xr:uid="{00000000-0005-0000-0000-0000D2010000}"/>
    <cellStyle name="40% - 강조색1 2 4 2" xfId="2886" xr:uid="{00000000-0005-0000-0000-0000D3010000}"/>
    <cellStyle name="40% - 강조색1 2 4 3" xfId="2887" xr:uid="{00000000-0005-0000-0000-0000D4010000}"/>
    <cellStyle name="40% - 강조색1 2 5" xfId="2888" xr:uid="{00000000-0005-0000-0000-0000D5010000}"/>
    <cellStyle name="40% - 강조색1 2 6" xfId="2889" xr:uid="{00000000-0005-0000-0000-0000D6010000}"/>
    <cellStyle name="40% - 강조색1 2 7" xfId="2890" xr:uid="{00000000-0005-0000-0000-0000D7010000}"/>
    <cellStyle name="40% - 강조색1 2_1) 도로시설물" xfId="214" xr:uid="{00000000-0005-0000-0000-0000D8010000}"/>
    <cellStyle name="40% - 강조색1 3" xfId="215" xr:uid="{00000000-0005-0000-0000-0000D9010000}"/>
    <cellStyle name="40% - 강조색1 3 2" xfId="216" xr:uid="{00000000-0005-0000-0000-0000DA010000}"/>
    <cellStyle name="40% - 강조색1 3 2 2" xfId="217" xr:uid="{00000000-0005-0000-0000-0000DB010000}"/>
    <cellStyle name="40% - 강조색1 3 3" xfId="218" xr:uid="{00000000-0005-0000-0000-0000DC010000}"/>
    <cellStyle name="40% - 강조색1 4" xfId="219" xr:uid="{00000000-0005-0000-0000-0000DD010000}"/>
    <cellStyle name="40% - 강조색1 4 2" xfId="220" xr:uid="{00000000-0005-0000-0000-0000DE010000}"/>
    <cellStyle name="40% - 강조색1 4 2 2" xfId="221" xr:uid="{00000000-0005-0000-0000-0000DF010000}"/>
    <cellStyle name="40% - 강조색1 4 2 3" xfId="2891" xr:uid="{00000000-0005-0000-0000-0000E0010000}"/>
    <cellStyle name="40% - 강조색1 4 2 4" xfId="2892" xr:uid="{00000000-0005-0000-0000-0000E1010000}"/>
    <cellStyle name="40% - 강조색1 4 3" xfId="222" xr:uid="{00000000-0005-0000-0000-0000E2010000}"/>
    <cellStyle name="40% - 강조색1 4 4" xfId="2893" xr:uid="{00000000-0005-0000-0000-0000E3010000}"/>
    <cellStyle name="40% - 강조색1 4 5" xfId="2894" xr:uid="{00000000-0005-0000-0000-0000E4010000}"/>
    <cellStyle name="40% - 강조색1 5" xfId="223" xr:uid="{00000000-0005-0000-0000-0000E5010000}"/>
    <cellStyle name="40% - 강조색1 5 2" xfId="224" xr:uid="{00000000-0005-0000-0000-0000E6010000}"/>
    <cellStyle name="40% - 강조색1 6" xfId="225" xr:uid="{00000000-0005-0000-0000-0000E7010000}"/>
    <cellStyle name="40% - 강조색1 6 2" xfId="2895" xr:uid="{00000000-0005-0000-0000-0000E8010000}"/>
    <cellStyle name="40% - 강조색1 6 3" xfId="2896" xr:uid="{00000000-0005-0000-0000-0000E9010000}"/>
    <cellStyle name="40% - 강조색1 6 4" xfId="2897" xr:uid="{00000000-0005-0000-0000-0000EA010000}"/>
    <cellStyle name="40% - 강조색1 7" xfId="226" xr:uid="{00000000-0005-0000-0000-0000EB010000}"/>
    <cellStyle name="40% - 강조색1 8" xfId="227" xr:uid="{00000000-0005-0000-0000-0000EC010000}"/>
    <cellStyle name="40% - 강조색1 8 10" xfId="2898" xr:uid="{00000000-0005-0000-0000-0000ED010000}"/>
    <cellStyle name="40% - 강조색1 8 2" xfId="2899" xr:uid="{00000000-0005-0000-0000-0000EE010000}"/>
    <cellStyle name="40% - 강조색1 8 3" xfId="2900" xr:uid="{00000000-0005-0000-0000-0000EF010000}"/>
    <cellStyle name="40% - 강조색1 8 4" xfId="2901" xr:uid="{00000000-0005-0000-0000-0000F0010000}"/>
    <cellStyle name="40% - 강조색1 8 5" xfId="2902" xr:uid="{00000000-0005-0000-0000-0000F1010000}"/>
    <cellStyle name="40% - 강조색1 8 6" xfId="2903" xr:uid="{00000000-0005-0000-0000-0000F2010000}"/>
    <cellStyle name="40% - 강조색1 8 7" xfId="2904" xr:uid="{00000000-0005-0000-0000-0000F3010000}"/>
    <cellStyle name="40% - 강조색1 8 8" xfId="2905" xr:uid="{00000000-0005-0000-0000-0000F4010000}"/>
    <cellStyle name="40% - 강조색1 8 9" xfId="2906" xr:uid="{00000000-0005-0000-0000-0000F5010000}"/>
    <cellStyle name="40% - 강조색1 9" xfId="228" xr:uid="{00000000-0005-0000-0000-0000F6010000}"/>
    <cellStyle name="40% - 강조색1 9 2" xfId="2907" xr:uid="{00000000-0005-0000-0000-0000F7010000}"/>
    <cellStyle name="40% - 강조색2 10" xfId="229" xr:uid="{00000000-0005-0000-0000-0000F8010000}"/>
    <cellStyle name="40% - 강조색2 10 2" xfId="230" xr:uid="{00000000-0005-0000-0000-0000F9010000}"/>
    <cellStyle name="40% - 강조색2 11" xfId="231" xr:uid="{00000000-0005-0000-0000-0000FA010000}"/>
    <cellStyle name="40% - 강조색2 11 2" xfId="232" xr:uid="{00000000-0005-0000-0000-0000FB010000}"/>
    <cellStyle name="40% - 강조색2 12" xfId="233" xr:uid="{00000000-0005-0000-0000-0000FC010000}"/>
    <cellStyle name="40% - 강조색2 13" xfId="2908" xr:uid="{00000000-0005-0000-0000-0000FD010000}"/>
    <cellStyle name="40% - 강조색2 13 2" xfId="2909" xr:uid="{00000000-0005-0000-0000-0000FE010000}"/>
    <cellStyle name="40% - 강조색2 13 3" xfId="2910" xr:uid="{00000000-0005-0000-0000-0000FF010000}"/>
    <cellStyle name="40% - 강조색2 13 4" xfId="2911" xr:uid="{00000000-0005-0000-0000-000000020000}"/>
    <cellStyle name="40% - 강조색2 13 5" xfId="2912" xr:uid="{00000000-0005-0000-0000-000001020000}"/>
    <cellStyle name="40% - 강조색2 13 6" xfId="2913" xr:uid="{00000000-0005-0000-0000-000002020000}"/>
    <cellStyle name="40% - 강조색2 13 7" xfId="2914" xr:uid="{00000000-0005-0000-0000-000003020000}"/>
    <cellStyle name="40% - 강조색2 2" xfId="234" xr:uid="{00000000-0005-0000-0000-000004020000}"/>
    <cellStyle name="40% - 강조색2 2 2" xfId="235" xr:uid="{00000000-0005-0000-0000-000005020000}"/>
    <cellStyle name="40% - 강조색2 2 2 2" xfId="236" xr:uid="{00000000-0005-0000-0000-000006020000}"/>
    <cellStyle name="40% - 강조색2 2 2 2 2" xfId="2915" xr:uid="{00000000-0005-0000-0000-000007020000}"/>
    <cellStyle name="40% - 강조색2 2 2 2 3" xfId="2916" xr:uid="{00000000-0005-0000-0000-000008020000}"/>
    <cellStyle name="40% - 강조색2 2 2 2 4" xfId="2917" xr:uid="{00000000-0005-0000-0000-000009020000}"/>
    <cellStyle name="40% - 강조색2 2 2 3" xfId="237" xr:uid="{00000000-0005-0000-0000-00000A020000}"/>
    <cellStyle name="40% - 강조색2 2 2 4" xfId="2918" xr:uid="{00000000-0005-0000-0000-00000B020000}"/>
    <cellStyle name="40% - 강조색2 2 2 5" xfId="2919" xr:uid="{00000000-0005-0000-0000-00000C020000}"/>
    <cellStyle name="40% - 강조색2 2 2 6" xfId="2920" xr:uid="{00000000-0005-0000-0000-00000D020000}"/>
    <cellStyle name="40% - 강조색2 2 3" xfId="238" xr:uid="{00000000-0005-0000-0000-00000E020000}"/>
    <cellStyle name="40% - 강조색2 2 3 2" xfId="2921" xr:uid="{00000000-0005-0000-0000-00000F020000}"/>
    <cellStyle name="40% - 강조색2 2 3 3" xfId="2922" xr:uid="{00000000-0005-0000-0000-000010020000}"/>
    <cellStyle name="40% - 강조색2 2 3 4" xfId="2923" xr:uid="{00000000-0005-0000-0000-000011020000}"/>
    <cellStyle name="40% - 강조색2 2 4" xfId="239" xr:uid="{00000000-0005-0000-0000-000012020000}"/>
    <cellStyle name="40% - 강조색2 2 4 2" xfId="2924" xr:uid="{00000000-0005-0000-0000-000013020000}"/>
    <cellStyle name="40% - 강조색2 2 4 3" xfId="2925" xr:uid="{00000000-0005-0000-0000-000014020000}"/>
    <cellStyle name="40% - 강조색2 2 5" xfId="2926" xr:uid="{00000000-0005-0000-0000-000015020000}"/>
    <cellStyle name="40% - 강조색2 2 6" xfId="2927" xr:uid="{00000000-0005-0000-0000-000016020000}"/>
    <cellStyle name="40% - 강조색2 2 7" xfId="2928" xr:uid="{00000000-0005-0000-0000-000017020000}"/>
    <cellStyle name="40% - 강조색2 2_12.보건 및 사회보장_" xfId="240" xr:uid="{00000000-0005-0000-0000-000018020000}"/>
    <cellStyle name="40% - 강조색2 3" xfId="241" xr:uid="{00000000-0005-0000-0000-000019020000}"/>
    <cellStyle name="40% - 강조색2 3 2" xfId="242" xr:uid="{00000000-0005-0000-0000-00001A020000}"/>
    <cellStyle name="40% - 강조색2 3 2 2" xfId="243" xr:uid="{00000000-0005-0000-0000-00001B020000}"/>
    <cellStyle name="40% - 강조색2 3 3" xfId="244" xr:uid="{00000000-0005-0000-0000-00001C020000}"/>
    <cellStyle name="40% - 강조색2 4" xfId="245" xr:uid="{00000000-0005-0000-0000-00001D020000}"/>
    <cellStyle name="40% - 강조색2 4 2" xfId="246" xr:uid="{00000000-0005-0000-0000-00001E020000}"/>
    <cellStyle name="40% - 강조색2 4 2 2" xfId="2929" xr:uid="{00000000-0005-0000-0000-00001F020000}"/>
    <cellStyle name="40% - 강조색2 4 2 3" xfId="2930" xr:uid="{00000000-0005-0000-0000-000020020000}"/>
    <cellStyle name="40% - 강조색2 4 2 4" xfId="2931" xr:uid="{00000000-0005-0000-0000-000021020000}"/>
    <cellStyle name="40% - 강조색2 4 3" xfId="247" xr:uid="{00000000-0005-0000-0000-000022020000}"/>
    <cellStyle name="40% - 강조색2 4 4" xfId="2932" xr:uid="{00000000-0005-0000-0000-000023020000}"/>
    <cellStyle name="40% - 강조색2 4 5" xfId="2933" xr:uid="{00000000-0005-0000-0000-000024020000}"/>
    <cellStyle name="40% - 강조색2 5" xfId="248" xr:uid="{00000000-0005-0000-0000-000025020000}"/>
    <cellStyle name="40% - 강조색2 5 2" xfId="249" xr:uid="{00000000-0005-0000-0000-000026020000}"/>
    <cellStyle name="40% - 강조색2 5 3" xfId="250" xr:uid="{00000000-0005-0000-0000-000027020000}"/>
    <cellStyle name="40% - 강조색2 6" xfId="251" xr:uid="{00000000-0005-0000-0000-000028020000}"/>
    <cellStyle name="40% - 강조색2 6 2" xfId="252" xr:uid="{00000000-0005-0000-0000-000029020000}"/>
    <cellStyle name="40% - 강조색2 6 3" xfId="253" xr:uid="{00000000-0005-0000-0000-00002A020000}"/>
    <cellStyle name="40% - 강조색2 6 4" xfId="2934" xr:uid="{00000000-0005-0000-0000-00002B020000}"/>
    <cellStyle name="40% - 강조색2 7" xfId="254" xr:uid="{00000000-0005-0000-0000-00002C020000}"/>
    <cellStyle name="40% - 강조색2 7 2" xfId="255" xr:uid="{00000000-0005-0000-0000-00002D020000}"/>
    <cellStyle name="40% - 강조색2 8" xfId="256" xr:uid="{00000000-0005-0000-0000-00002E020000}"/>
    <cellStyle name="40% - 강조색2 8 10" xfId="2935" xr:uid="{00000000-0005-0000-0000-00002F020000}"/>
    <cellStyle name="40% - 강조색2 8 2" xfId="257" xr:uid="{00000000-0005-0000-0000-000030020000}"/>
    <cellStyle name="40% - 강조색2 8 3" xfId="2936" xr:uid="{00000000-0005-0000-0000-000031020000}"/>
    <cellStyle name="40% - 강조색2 8 4" xfId="2937" xr:uid="{00000000-0005-0000-0000-000032020000}"/>
    <cellStyle name="40% - 강조색2 8 5" xfId="2938" xr:uid="{00000000-0005-0000-0000-000033020000}"/>
    <cellStyle name="40% - 강조색2 8 6" xfId="2939" xr:uid="{00000000-0005-0000-0000-000034020000}"/>
    <cellStyle name="40% - 강조색2 8 7" xfId="2940" xr:uid="{00000000-0005-0000-0000-000035020000}"/>
    <cellStyle name="40% - 강조색2 8 8" xfId="2941" xr:uid="{00000000-0005-0000-0000-000036020000}"/>
    <cellStyle name="40% - 강조색2 8 9" xfId="2942" xr:uid="{00000000-0005-0000-0000-000037020000}"/>
    <cellStyle name="40% - 강조색2 9" xfId="258" xr:uid="{00000000-0005-0000-0000-000038020000}"/>
    <cellStyle name="40% - 강조색2 9 2" xfId="259" xr:uid="{00000000-0005-0000-0000-000039020000}"/>
    <cellStyle name="40% - 강조색3 10" xfId="260" xr:uid="{00000000-0005-0000-0000-00003A020000}"/>
    <cellStyle name="40% - 강조색3 10 2" xfId="2943" xr:uid="{00000000-0005-0000-0000-00003B020000}"/>
    <cellStyle name="40% - 강조색3 11" xfId="2944" xr:uid="{00000000-0005-0000-0000-00003C020000}"/>
    <cellStyle name="40% - 강조색3 12" xfId="2945" xr:uid="{00000000-0005-0000-0000-00003D020000}"/>
    <cellStyle name="40% - 강조색3 13" xfId="2946" xr:uid="{00000000-0005-0000-0000-00003E020000}"/>
    <cellStyle name="40% - 강조색3 13 2" xfId="2947" xr:uid="{00000000-0005-0000-0000-00003F020000}"/>
    <cellStyle name="40% - 강조색3 13 3" xfId="2948" xr:uid="{00000000-0005-0000-0000-000040020000}"/>
    <cellStyle name="40% - 강조색3 13 4" xfId="2949" xr:uid="{00000000-0005-0000-0000-000041020000}"/>
    <cellStyle name="40% - 강조색3 13 5" xfId="2950" xr:uid="{00000000-0005-0000-0000-000042020000}"/>
    <cellStyle name="40% - 강조색3 13 6" xfId="2951" xr:uid="{00000000-0005-0000-0000-000043020000}"/>
    <cellStyle name="40% - 강조색3 13 7" xfId="2952" xr:uid="{00000000-0005-0000-0000-000044020000}"/>
    <cellStyle name="40% - 강조색3 2" xfId="261" xr:uid="{00000000-0005-0000-0000-000045020000}"/>
    <cellStyle name="40% - 강조색3 2 2" xfId="262" xr:uid="{00000000-0005-0000-0000-000046020000}"/>
    <cellStyle name="40% - 강조색3 2 2 2" xfId="263" xr:uid="{00000000-0005-0000-0000-000047020000}"/>
    <cellStyle name="40% - 강조색3 2 2 2 2" xfId="2953" xr:uid="{00000000-0005-0000-0000-000048020000}"/>
    <cellStyle name="40% - 강조색3 2 2 2 3" xfId="2954" xr:uid="{00000000-0005-0000-0000-000049020000}"/>
    <cellStyle name="40% - 강조색3 2 2 2 4" xfId="2955" xr:uid="{00000000-0005-0000-0000-00004A020000}"/>
    <cellStyle name="40% - 강조색3 2 2 3" xfId="264" xr:uid="{00000000-0005-0000-0000-00004B020000}"/>
    <cellStyle name="40% - 강조색3 2 2 4" xfId="2956" xr:uid="{00000000-0005-0000-0000-00004C020000}"/>
    <cellStyle name="40% - 강조색3 2 2 5" xfId="2957" xr:uid="{00000000-0005-0000-0000-00004D020000}"/>
    <cellStyle name="40% - 강조색3 2 2 6" xfId="2958" xr:uid="{00000000-0005-0000-0000-00004E020000}"/>
    <cellStyle name="40% - 강조색3 2 3" xfId="265" xr:uid="{00000000-0005-0000-0000-00004F020000}"/>
    <cellStyle name="40% - 강조색3 2 3 2" xfId="2959" xr:uid="{00000000-0005-0000-0000-000050020000}"/>
    <cellStyle name="40% - 강조색3 2 3 3" xfId="2960" xr:uid="{00000000-0005-0000-0000-000051020000}"/>
    <cellStyle name="40% - 강조색3 2 3 4" xfId="2961" xr:uid="{00000000-0005-0000-0000-000052020000}"/>
    <cellStyle name="40% - 강조색3 2 4" xfId="266" xr:uid="{00000000-0005-0000-0000-000053020000}"/>
    <cellStyle name="40% - 강조색3 2 4 2" xfId="2962" xr:uid="{00000000-0005-0000-0000-000054020000}"/>
    <cellStyle name="40% - 강조색3 2 4 3" xfId="2963" xr:uid="{00000000-0005-0000-0000-000055020000}"/>
    <cellStyle name="40% - 강조색3 2 5" xfId="2964" xr:uid="{00000000-0005-0000-0000-000056020000}"/>
    <cellStyle name="40% - 강조색3 2 6" xfId="2965" xr:uid="{00000000-0005-0000-0000-000057020000}"/>
    <cellStyle name="40% - 강조색3 2 7" xfId="2966" xr:uid="{00000000-0005-0000-0000-000058020000}"/>
    <cellStyle name="40% - 강조색3 2_1) 도로시설물" xfId="267" xr:uid="{00000000-0005-0000-0000-000059020000}"/>
    <cellStyle name="40% - 강조색3 3" xfId="268" xr:uid="{00000000-0005-0000-0000-00005A020000}"/>
    <cellStyle name="40% - 강조색3 3 2" xfId="269" xr:uid="{00000000-0005-0000-0000-00005B020000}"/>
    <cellStyle name="40% - 강조색3 3 2 2" xfId="270" xr:uid="{00000000-0005-0000-0000-00005C020000}"/>
    <cellStyle name="40% - 강조색3 3 3" xfId="271" xr:uid="{00000000-0005-0000-0000-00005D020000}"/>
    <cellStyle name="40% - 강조색3 4" xfId="272" xr:uid="{00000000-0005-0000-0000-00005E020000}"/>
    <cellStyle name="40% - 강조색3 4 2" xfId="273" xr:uid="{00000000-0005-0000-0000-00005F020000}"/>
    <cellStyle name="40% - 강조색3 4 2 2" xfId="274" xr:uid="{00000000-0005-0000-0000-000060020000}"/>
    <cellStyle name="40% - 강조색3 4 2 3" xfId="2967" xr:uid="{00000000-0005-0000-0000-000061020000}"/>
    <cellStyle name="40% - 강조색3 4 2 4" xfId="2968" xr:uid="{00000000-0005-0000-0000-000062020000}"/>
    <cellStyle name="40% - 강조색3 4 3" xfId="275" xr:uid="{00000000-0005-0000-0000-000063020000}"/>
    <cellStyle name="40% - 강조색3 4 4" xfId="2969" xr:uid="{00000000-0005-0000-0000-000064020000}"/>
    <cellStyle name="40% - 강조색3 4 5" xfId="2970" xr:uid="{00000000-0005-0000-0000-000065020000}"/>
    <cellStyle name="40% - 강조색3 5" xfId="276" xr:uid="{00000000-0005-0000-0000-000066020000}"/>
    <cellStyle name="40% - 강조색3 5 2" xfId="277" xr:uid="{00000000-0005-0000-0000-000067020000}"/>
    <cellStyle name="40% - 강조색3 6" xfId="278" xr:uid="{00000000-0005-0000-0000-000068020000}"/>
    <cellStyle name="40% - 강조색3 6 2" xfId="2971" xr:uid="{00000000-0005-0000-0000-000069020000}"/>
    <cellStyle name="40% - 강조색3 6 3" xfId="2972" xr:uid="{00000000-0005-0000-0000-00006A020000}"/>
    <cellStyle name="40% - 강조색3 6 4" xfId="2973" xr:uid="{00000000-0005-0000-0000-00006B020000}"/>
    <cellStyle name="40% - 강조색3 7" xfId="279" xr:uid="{00000000-0005-0000-0000-00006C020000}"/>
    <cellStyle name="40% - 강조색3 8" xfId="280" xr:uid="{00000000-0005-0000-0000-00006D020000}"/>
    <cellStyle name="40% - 강조색3 8 10" xfId="2974" xr:uid="{00000000-0005-0000-0000-00006E020000}"/>
    <cellStyle name="40% - 강조색3 8 2" xfId="2975" xr:uid="{00000000-0005-0000-0000-00006F020000}"/>
    <cellStyle name="40% - 강조색3 8 3" xfId="2976" xr:uid="{00000000-0005-0000-0000-000070020000}"/>
    <cellStyle name="40% - 강조색3 8 4" xfId="2977" xr:uid="{00000000-0005-0000-0000-000071020000}"/>
    <cellStyle name="40% - 강조색3 8 5" xfId="2978" xr:uid="{00000000-0005-0000-0000-000072020000}"/>
    <cellStyle name="40% - 강조색3 8 6" xfId="2979" xr:uid="{00000000-0005-0000-0000-000073020000}"/>
    <cellStyle name="40% - 강조색3 8 7" xfId="2980" xr:uid="{00000000-0005-0000-0000-000074020000}"/>
    <cellStyle name="40% - 강조색3 8 8" xfId="2981" xr:uid="{00000000-0005-0000-0000-000075020000}"/>
    <cellStyle name="40% - 강조색3 8 9" xfId="2982" xr:uid="{00000000-0005-0000-0000-000076020000}"/>
    <cellStyle name="40% - 강조색3 9" xfId="281" xr:uid="{00000000-0005-0000-0000-000077020000}"/>
    <cellStyle name="40% - 강조색3 9 2" xfId="2983" xr:uid="{00000000-0005-0000-0000-000078020000}"/>
    <cellStyle name="40% - 강조색4 10" xfId="282" xr:uid="{00000000-0005-0000-0000-000079020000}"/>
    <cellStyle name="40% - 강조색4 10 2" xfId="2984" xr:uid="{00000000-0005-0000-0000-00007A020000}"/>
    <cellStyle name="40% - 강조색4 11" xfId="2985" xr:uid="{00000000-0005-0000-0000-00007B020000}"/>
    <cellStyle name="40% - 강조색4 12" xfId="2986" xr:uid="{00000000-0005-0000-0000-00007C020000}"/>
    <cellStyle name="40% - 강조색4 13" xfId="2987" xr:uid="{00000000-0005-0000-0000-00007D020000}"/>
    <cellStyle name="40% - 강조색4 13 2" xfId="2988" xr:uid="{00000000-0005-0000-0000-00007E020000}"/>
    <cellStyle name="40% - 강조색4 13 3" xfId="2989" xr:uid="{00000000-0005-0000-0000-00007F020000}"/>
    <cellStyle name="40% - 강조색4 13 4" xfId="2990" xr:uid="{00000000-0005-0000-0000-000080020000}"/>
    <cellStyle name="40% - 강조색4 13 5" xfId="2991" xr:uid="{00000000-0005-0000-0000-000081020000}"/>
    <cellStyle name="40% - 강조색4 13 6" xfId="2992" xr:uid="{00000000-0005-0000-0000-000082020000}"/>
    <cellStyle name="40% - 강조색4 13 7" xfId="2993" xr:uid="{00000000-0005-0000-0000-000083020000}"/>
    <cellStyle name="40% - 강조색4 2" xfId="283" xr:uid="{00000000-0005-0000-0000-000084020000}"/>
    <cellStyle name="40% - 강조색4 2 2" xfId="284" xr:uid="{00000000-0005-0000-0000-000085020000}"/>
    <cellStyle name="40% - 강조색4 2 2 2" xfId="285" xr:uid="{00000000-0005-0000-0000-000086020000}"/>
    <cellStyle name="40% - 강조색4 2 2 2 2" xfId="2994" xr:uid="{00000000-0005-0000-0000-000087020000}"/>
    <cellStyle name="40% - 강조색4 2 2 2 3" xfId="2995" xr:uid="{00000000-0005-0000-0000-000088020000}"/>
    <cellStyle name="40% - 강조색4 2 2 2 4" xfId="2996" xr:uid="{00000000-0005-0000-0000-000089020000}"/>
    <cellStyle name="40% - 강조색4 2 2 3" xfId="286" xr:uid="{00000000-0005-0000-0000-00008A020000}"/>
    <cellStyle name="40% - 강조색4 2 2 4" xfId="2997" xr:uid="{00000000-0005-0000-0000-00008B020000}"/>
    <cellStyle name="40% - 강조색4 2 2 5" xfId="2998" xr:uid="{00000000-0005-0000-0000-00008C020000}"/>
    <cellStyle name="40% - 강조색4 2 2 6" xfId="2999" xr:uid="{00000000-0005-0000-0000-00008D020000}"/>
    <cellStyle name="40% - 강조색4 2 3" xfId="287" xr:uid="{00000000-0005-0000-0000-00008E020000}"/>
    <cellStyle name="40% - 강조색4 2 3 2" xfId="3000" xr:uid="{00000000-0005-0000-0000-00008F020000}"/>
    <cellStyle name="40% - 강조색4 2 3 3" xfId="3001" xr:uid="{00000000-0005-0000-0000-000090020000}"/>
    <cellStyle name="40% - 강조색4 2 3 4" xfId="3002" xr:uid="{00000000-0005-0000-0000-000091020000}"/>
    <cellStyle name="40% - 강조색4 2 4" xfId="288" xr:uid="{00000000-0005-0000-0000-000092020000}"/>
    <cellStyle name="40% - 강조색4 2 4 2" xfId="3003" xr:uid="{00000000-0005-0000-0000-000093020000}"/>
    <cellStyle name="40% - 강조색4 2 4 3" xfId="3004" xr:uid="{00000000-0005-0000-0000-000094020000}"/>
    <cellStyle name="40% - 강조색4 2 5" xfId="3005" xr:uid="{00000000-0005-0000-0000-000095020000}"/>
    <cellStyle name="40% - 강조색4 2 6" xfId="3006" xr:uid="{00000000-0005-0000-0000-000096020000}"/>
    <cellStyle name="40% - 강조색4 2 7" xfId="3007" xr:uid="{00000000-0005-0000-0000-000097020000}"/>
    <cellStyle name="40% - 강조색4 2_1) 도로시설물" xfId="289" xr:uid="{00000000-0005-0000-0000-000098020000}"/>
    <cellStyle name="40% - 강조색4 3" xfId="290" xr:uid="{00000000-0005-0000-0000-000099020000}"/>
    <cellStyle name="40% - 강조색4 3 2" xfId="291" xr:uid="{00000000-0005-0000-0000-00009A020000}"/>
    <cellStyle name="40% - 강조색4 3 2 2" xfId="292" xr:uid="{00000000-0005-0000-0000-00009B020000}"/>
    <cellStyle name="40% - 강조색4 3 3" xfId="293" xr:uid="{00000000-0005-0000-0000-00009C020000}"/>
    <cellStyle name="40% - 강조색4 4" xfId="294" xr:uid="{00000000-0005-0000-0000-00009D020000}"/>
    <cellStyle name="40% - 강조색4 4 2" xfId="295" xr:uid="{00000000-0005-0000-0000-00009E020000}"/>
    <cellStyle name="40% - 강조색4 4 2 2" xfId="296" xr:uid="{00000000-0005-0000-0000-00009F020000}"/>
    <cellStyle name="40% - 강조색4 4 2 3" xfId="3008" xr:uid="{00000000-0005-0000-0000-0000A0020000}"/>
    <cellStyle name="40% - 강조색4 4 2 4" xfId="3009" xr:uid="{00000000-0005-0000-0000-0000A1020000}"/>
    <cellStyle name="40% - 강조색4 4 3" xfId="297" xr:uid="{00000000-0005-0000-0000-0000A2020000}"/>
    <cellStyle name="40% - 강조색4 4 4" xfId="3010" xr:uid="{00000000-0005-0000-0000-0000A3020000}"/>
    <cellStyle name="40% - 강조색4 4 5" xfId="3011" xr:uid="{00000000-0005-0000-0000-0000A4020000}"/>
    <cellStyle name="40% - 강조색4 5" xfId="298" xr:uid="{00000000-0005-0000-0000-0000A5020000}"/>
    <cellStyle name="40% - 강조색4 5 2" xfId="299" xr:uid="{00000000-0005-0000-0000-0000A6020000}"/>
    <cellStyle name="40% - 강조색4 6" xfId="300" xr:uid="{00000000-0005-0000-0000-0000A7020000}"/>
    <cellStyle name="40% - 강조색4 6 2" xfId="3012" xr:uid="{00000000-0005-0000-0000-0000A8020000}"/>
    <cellStyle name="40% - 강조색4 6 3" xfId="3013" xr:uid="{00000000-0005-0000-0000-0000A9020000}"/>
    <cellStyle name="40% - 강조색4 6 4" xfId="3014" xr:uid="{00000000-0005-0000-0000-0000AA020000}"/>
    <cellStyle name="40% - 강조색4 7" xfId="301" xr:uid="{00000000-0005-0000-0000-0000AB020000}"/>
    <cellStyle name="40% - 강조색4 8" xfId="302" xr:uid="{00000000-0005-0000-0000-0000AC020000}"/>
    <cellStyle name="40% - 강조색4 8 10" xfId="3015" xr:uid="{00000000-0005-0000-0000-0000AD020000}"/>
    <cellStyle name="40% - 강조색4 8 2" xfId="3016" xr:uid="{00000000-0005-0000-0000-0000AE020000}"/>
    <cellStyle name="40% - 강조색4 8 3" xfId="3017" xr:uid="{00000000-0005-0000-0000-0000AF020000}"/>
    <cellStyle name="40% - 강조색4 8 4" xfId="3018" xr:uid="{00000000-0005-0000-0000-0000B0020000}"/>
    <cellStyle name="40% - 강조색4 8 5" xfId="3019" xr:uid="{00000000-0005-0000-0000-0000B1020000}"/>
    <cellStyle name="40% - 강조색4 8 6" xfId="3020" xr:uid="{00000000-0005-0000-0000-0000B2020000}"/>
    <cellStyle name="40% - 강조색4 8 7" xfId="3021" xr:uid="{00000000-0005-0000-0000-0000B3020000}"/>
    <cellStyle name="40% - 강조색4 8 8" xfId="3022" xr:uid="{00000000-0005-0000-0000-0000B4020000}"/>
    <cellStyle name="40% - 강조색4 8 9" xfId="3023" xr:uid="{00000000-0005-0000-0000-0000B5020000}"/>
    <cellStyle name="40% - 강조색4 9" xfId="303" xr:uid="{00000000-0005-0000-0000-0000B6020000}"/>
    <cellStyle name="40% - 강조색4 9 2" xfId="3024" xr:uid="{00000000-0005-0000-0000-0000B7020000}"/>
    <cellStyle name="40% - 강조색5 10" xfId="304" xr:uid="{00000000-0005-0000-0000-0000B8020000}"/>
    <cellStyle name="40% - 강조색5 10 2" xfId="3025" xr:uid="{00000000-0005-0000-0000-0000B9020000}"/>
    <cellStyle name="40% - 강조색5 11" xfId="3026" xr:uid="{00000000-0005-0000-0000-0000BA020000}"/>
    <cellStyle name="40% - 강조색5 12" xfId="3027" xr:uid="{00000000-0005-0000-0000-0000BB020000}"/>
    <cellStyle name="40% - 강조색5 13" xfId="3028" xr:uid="{00000000-0005-0000-0000-0000BC020000}"/>
    <cellStyle name="40% - 강조색5 13 2" xfId="3029" xr:uid="{00000000-0005-0000-0000-0000BD020000}"/>
    <cellStyle name="40% - 강조색5 13 3" xfId="3030" xr:uid="{00000000-0005-0000-0000-0000BE020000}"/>
    <cellStyle name="40% - 강조색5 13 4" xfId="3031" xr:uid="{00000000-0005-0000-0000-0000BF020000}"/>
    <cellStyle name="40% - 강조색5 13 5" xfId="3032" xr:uid="{00000000-0005-0000-0000-0000C0020000}"/>
    <cellStyle name="40% - 강조색5 13 6" xfId="3033" xr:uid="{00000000-0005-0000-0000-0000C1020000}"/>
    <cellStyle name="40% - 강조색5 13 7" xfId="3034" xr:uid="{00000000-0005-0000-0000-0000C2020000}"/>
    <cellStyle name="40% - 강조색5 2" xfId="305" xr:uid="{00000000-0005-0000-0000-0000C3020000}"/>
    <cellStyle name="40% - 강조색5 2 2" xfId="306" xr:uid="{00000000-0005-0000-0000-0000C4020000}"/>
    <cellStyle name="40% - 강조색5 2 2 2" xfId="307" xr:uid="{00000000-0005-0000-0000-0000C5020000}"/>
    <cellStyle name="40% - 강조색5 2 2 2 2" xfId="3035" xr:uid="{00000000-0005-0000-0000-0000C6020000}"/>
    <cellStyle name="40% - 강조색5 2 2 2 3" xfId="3036" xr:uid="{00000000-0005-0000-0000-0000C7020000}"/>
    <cellStyle name="40% - 강조색5 2 2 2 4" xfId="3037" xr:uid="{00000000-0005-0000-0000-0000C8020000}"/>
    <cellStyle name="40% - 강조색5 2 2 3" xfId="308" xr:uid="{00000000-0005-0000-0000-0000C9020000}"/>
    <cellStyle name="40% - 강조색5 2 2 4" xfId="3038" xr:uid="{00000000-0005-0000-0000-0000CA020000}"/>
    <cellStyle name="40% - 강조색5 2 2 5" xfId="3039" xr:uid="{00000000-0005-0000-0000-0000CB020000}"/>
    <cellStyle name="40% - 강조색5 2 2 6" xfId="3040" xr:uid="{00000000-0005-0000-0000-0000CC020000}"/>
    <cellStyle name="40% - 강조색5 2 3" xfId="309" xr:uid="{00000000-0005-0000-0000-0000CD020000}"/>
    <cellStyle name="40% - 강조색5 2 3 2" xfId="3041" xr:uid="{00000000-0005-0000-0000-0000CE020000}"/>
    <cellStyle name="40% - 강조색5 2 3 3" xfId="3042" xr:uid="{00000000-0005-0000-0000-0000CF020000}"/>
    <cellStyle name="40% - 강조색5 2 3 4" xfId="3043" xr:uid="{00000000-0005-0000-0000-0000D0020000}"/>
    <cellStyle name="40% - 강조색5 2 4" xfId="310" xr:uid="{00000000-0005-0000-0000-0000D1020000}"/>
    <cellStyle name="40% - 강조색5 2 4 2" xfId="3044" xr:uid="{00000000-0005-0000-0000-0000D2020000}"/>
    <cellStyle name="40% - 강조색5 2 4 3" xfId="3045" xr:uid="{00000000-0005-0000-0000-0000D3020000}"/>
    <cellStyle name="40% - 강조색5 2 5" xfId="3046" xr:uid="{00000000-0005-0000-0000-0000D4020000}"/>
    <cellStyle name="40% - 강조색5 2 6" xfId="3047" xr:uid="{00000000-0005-0000-0000-0000D5020000}"/>
    <cellStyle name="40% - 강조색5 2 7" xfId="3048" xr:uid="{00000000-0005-0000-0000-0000D6020000}"/>
    <cellStyle name="40% - 강조색5 2_1) 도로시설물" xfId="311" xr:uid="{00000000-0005-0000-0000-0000D7020000}"/>
    <cellStyle name="40% - 강조색5 3" xfId="312" xr:uid="{00000000-0005-0000-0000-0000D8020000}"/>
    <cellStyle name="40% - 강조색5 3 2" xfId="313" xr:uid="{00000000-0005-0000-0000-0000D9020000}"/>
    <cellStyle name="40% - 강조색5 3 2 2" xfId="314" xr:uid="{00000000-0005-0000-0000-0000DA020000}"/>
    <cellStyle name="40% - 강조색5 3 3" xfId="315" xr:uid="{00000000-0005-0000-0000-0000DB020000}"/>
    <cellStyle name="40% - 강조색5 4" xfId="316" xr:uid="{00000000-0005-0000-0000-0000DC020000}"/>
    <cellStyle name="40% - 강조색5 4 2" xfId="317" xr:uid="{00000000-0005-0000-0000-0000DD020000}"/>
    <cellStyle name="40% - 강조색5 4 2 2" xfId="318" xr:uid="{00000000-0005-0000-0000-0000DE020000}"/>
    <cellStyle name="40% - 강조색5 4 2 3" xfId="3049" xr:uid="{00000000-0005-0000-0000-0000DF020000}"/>
    <cellStyle name="40% - 강조색5 4 2 4" xfId="3050" xr:uid="{00000000-0005-0000-0000-0000E0020000}"/>
    <cellStyle name="40% - 강조색5 4 3" xfId="319" xr:uid="{00000000-0005-0000-0000-0000E1020000}"/>
    <cellStyle name="40% - 강조색5 4 4" xfId="3051" xr:uid="{00000000-0005-0000-0000-0000E2020000}"/>
    <cellStyle name="40% - 강조색5 4 5" xfId="3052" xr:uid="{00000000-0005-0000-0000-0000E3020000}"/>
    <cellStyle name="40% - 강조색5 5" xfId="320" xr:uid="{00000000-0005-0000-0000-0000E4020000}"/>
    <cellStyle name="40% - 강조색5 5 2" xfId="321" xr:uid="{00000000-0005-0000-0000-0000E5020000}"/>
    <cellStyle name="40% - 강조색5 6" xfId="322" xr:uid="{00000000-0005-0000-0000-0000E6020000}"/>
    <cellStyle name="40% - 강조색5 6 2" xfId="3053" xr:uid="{00000000-0005-0000-0000-0000E7020000}"/>
    <cellStyle name="40% - 강조색5 6 3" xfId="3054" xr:uid="{00000000-0005-0000-0000-0000E8020000}"/>
    <cellStyle name="40% - 강조색5 6 4" xfId="3055" xr:uid="{00000000-0005-0000-0000-0000E9020000}"/>
    <cellStyle name="40% - 강조색5 7" xfId="323" xr:uid="{00000000-0005-0000-0000-0000EA020000}"/>
    <cellStyle name="40% - 강조색5 8" xfId="324" xr:uid="{00000000-0005-0000-0000-0000EB020000}"/>
    <cellStyle name="40% - 강조색5 8 10" xfId="3056" xr:uid="{00000000-0005-0000-0000-0000EC020000}"/>
    <cellStyle name="40% - 강조색5 8 2" xfId="3057" xr:uid="{00000000-0005-0000-0000-0000ED020000}"/>
    <cellStyle name="40% - 강조색5 8 3" xfId="3058" xr:uid="{00000000-0005-0000-0000-0000EE020000}"/>
    <cellStyle name="40% - 강조색5 8 4" xfId="3059" xr:uid="{00000000-0005-0000-0000-0000EF020000}"/>
    <cellStyle name="40% - 강조색5 8 5" xfId="3060" xr:uid="{00000000-0005-0000-0000-0000F0020000}"/>
    <cellStyle name="40% - 강조색5 8 6" xfId="3061" xr:uid="{00000000-0005-0000-0000-0000F1020000}"/>
    <cellStyle name="40% - 강조색5 8 7" xfId="3062" xr:uid="{00000000-0005-0000-0000-0000F2020000}"/>
    <cellStyle name="40% - 강조색5 8 8" xfId="3063" xr:uid="{00000000-0005-0000-0000-0000F3020000}"/>
    <cellStyle name="40% - 강조색5 8 9" xfId="3064" xr:uid="{00000000-0005-0000-0000-0000F4020000}"/>
    <cellStyle name="40% - 강조색5 9" xfId="325" xr:uid="{00000000-0005-0000-0000-0000F5020000}"/>
    <cellStyle name="40% - 강조색5 9 2" xfId="3065" xr:uid="{00000000-0005-0000-0000-0000F6020000}"/>
    <cellStyle name="40% - 강조색6 10" xfId="326" xr:uid="{00000000-0005-0000-0000-0000F7020000}"/>
    <cellStyle name="40% - 강조색6 10 2" xfId="3066" xr:uid="{00000000-0005-0000-0000-0000F8020000}"/>
    <cellStyle name="40% - 강조색6 11" xfId="3067" xr:uid="{00000000-0005-0000-0000-0000F9020000}"/>
    <cellStyle name="40% - 강조색6 12" xfId="3068" xr:uid="{00000000-0005-0000-0000-0000FA020000}"/>
    <cellStyle name="40% - 강조색6 13" xfId="3069" xr:uid="{00000000-0005-0000-0000-0000FB020000}"/>
    <cellStyle name="40% - 강조색6 13 2" xfId="3070" xr:uid="{00000000-0005-0000-0000-0000FC020000}"/>
    <cellStyle name="40% - 강조색6 13 3" xfId="3071" xr:uid="{00000000-0005-0000-0000-0000FD020000}"/>
    <cellStyle name="40% - 강조색6 13 4" xfId="3072" xr:uid="{00000000-0005-0000-0000-0000FE020000}"/>
    <cellStyle name="40% - 강조색6 13 5" xfId="3073" xr:uid="{00000000-0005-0000-0000-0000FF020000}"/>
    <cellStyle name="40% - 강조색6 13 6" xfId="3074" xr:uid="{00000000-0005-0000-0000-000000030000}"/>
    <cellStyle name="40% - 강조색6 13 7" xfId="3075" xr:uid="{00000000-0005-0000-0000-000001030000}"/>
    <cellStyle name="40% - 강조색6 2" xfId="327" xr:uid="{00000000-0005-0000-0000-000002030000}"/>
    <cellStyle name="40% - 강조색6 2 2" xfId="328" xr:uid="{00000000-0005-0000-0000-000003030000}"/>
    <cellStyle name="40% - 강조색6 2 2 2" xfId="329" xr:uid="{00000000-0005-0000-0000-000004030000}"/>
    <cellStyle name="40% - 강조색6 2 2 2 2" xfId="3076" xr:uid="{00000000-0005-0000-0000-000005030000}"/>
    <cellStyle name="40% - 강조색6 2 2 2 3" xfId="3077" xr:uid="{00000000-0005-0000-0000-000006030000}"/>
    <cellStyle name="40% - 강조색6 2 2 2 4" xfId="3078" xr:uid="{00000000-0005-0000-0000-000007030000}"/>
    <cellStyle name="40% - 강조색6 2 2 3" xfId="330" xr:uid="{00000000-0005-0000-0000-000008030000}"/>
    <cellStyle name="40% - 강조색6 2 2 4" xfId="3079" xr:uid="{00000000-0005-0000-0000-000009030000}"/>
    <cellStyle name="40% - 강조색6 2 2 5" xfId="3080" xr:uid="{00000000-0005-0000-0000-00000A030000}"/>
    <cellStyle name="40% - 강조색6 2 2 6" xfId="3081" xr:uid="{00000000-0005-0000-0000-00000B030000}"/>
    <cellStyle name="40% - 강조색6 2 3" xfId="331" xr:uid="{00000000-0005-0000-0000-00000C030000}"/>
    <cellStyle name="40% - 강조색6 2 3 2" xfId="3082" xr:uid="{00000000-0005-0000-0000-00000D030000}"/>
    <cellStyle name="40% - 강조색6 2 3 3" xfId="3083" xr:uid="{00000000-0005-0000-0000-00000E030000}"/>
    <cellStyle name="40% - 강조색6 2 3 4" xfId="3084" xr:uid="{00000000-0005-0000-0000-00000F030000}"/>
    <cellStyle name="40% - 강조색6 2 4" xfId="332" xr:uid="{00000000-0005-0000-0000-000010030000}"/>
    <cellStyle name="40% - 강조색6 2 4 2" xfId="3085" xr:uid="{00000000-0005-0000-0000-000011030000}"/>
    <cellStyle name="40% - 강조색6 2 4 3" xfId="3086" xr:uid="{00000000-0005-0000-0000-000012030000}"/>
    <cellStyle name="40% - 강조색6 2 5" xfId="3087" xr:uid="{00000000-0005-0000-0000-000013030000}"/>
    <cellStyle name="40% - 강조색6 2 6" xfId="3088" xr:uid="{00000000-0005-0000-0000-000014030000}"/>
    <cellStyle name="40% - 강조색6 2 7" xfId="3089" xr:uid="{00000000-0005-0000-0000-000015030000}"/>
    <cellStyle name="40% - 강조색6 2_1) 도로시설물" xfId="333" xr:uid="{00000000-0005-0000-0000-000016030000}"/>
    <cellStyle name="40% - 강조색6 3" xfId="334" xr:uid="{00000000-0005-0000-0000-000017030000}"/>
    <cellStyle name="40% - 강조색6 3 2" xfId="335" xr:uid="{00000000-0005-0000-0000-000018030000}"/>
    <cellStyle name="40% - 강조색6 3 2 2" xfId="336" xr:uid="{00000000-0005-0000-0000-000019030000}"/>
    <cellStyle name="40% - 강조색6 3 3" xfId="337" xr:uid="{00000000-0005-0000-0000-00001A030000}"/>
    <cellStyle name="40% - 강조색6 4" xfId="338" xr:uid="{00000000-0005-0000-0000-00001B030000}"/>
    <cellStyle name="40% - 강조색6 4 2" xfId="339" xr:uid="{00000000-0005-0000-0000-00001C030000}"/>
    <cellStyle name="40% - 강조색6 4 2 2" xfId="340" xr:uid="{00000000-0005-0000-0000-00001D030000}"/>
    <cellStyle name="40% - 강조색6 4 2 3" xfId="3090" xr:uid="{00000000-0005-0000-0000-00001E030000}"/>
    <cellStyle name="40% - 강조색6 4 2 4" xfId="3091" xr:uid="{00000000-0005-0000-0000-00001F030000}"/>
    <cellStyle name="40% - 강조색6 4 3" xfId="341" xr:uid="{00000000-0005-0000-0000-000020030000}"/>
    <cellStyle name="40% - 강조색6 4 4" xfId="3092" xr:uid="{00000000-0005-0000-0000-000021030000}"/>
    <cellStyle name="40% - 강조색6 4 5" xfId="3093" xr:uid="{00000000-0005-0000-0000-000022030000}"/>
    <cellStyle name="40% - 강조색6 5" xfId="342" xr:uid="{00000000-0005-0000-0000-000023030000}"/>
    <cellStyle name="40% - 강조색6 5 2" xfId="343" xr:uid="{00000000-0005-0000-0000-000024030000}"/>
    <cellStyle name="40% - 강조색6 6" xfId="344" xr:uid="{00000000-0005-0000-0000-000025030000}"/>
    <cellStyle name="40% - 강조색6 6 2" xfId="3094" xr:uid="{00000000-0005-0000-0000-000026030000}"/>
    <cellStyle name="40% - 강조색6 6 3" xfId="3095" xr:uid="{00000000-0005-0000-0000-000027030000}"/>
    <cellStyle name="40% - 강조색6 6 4" xfId="3096" xr:uid="{00000000-0005-0000-0000-000028030000}"/>
    <cellStyle name="40% - 강조색6 7" xfId="345" xr:uid="{00000000-0005-0000-0000-000029030000}"/>
    <cellStyle name="40% - 강조색6 8" xfId="346" xr:uid="{00000000-0005-0000-0000-00002A030000}"/>
    <cellStyle name="40% - 강조색6 8 10" xfId="3097" xr:uid="{00000000-0005-0000-0000-00002B030000}"/>
    <cellStyle name="40% - 강조색6 8 2" xfId="3098" xr:uid="{00000000-0005-0000-0000-00002C030000}"/>
    <cellStyle name="40% - 강조색6 8 3" xfId="3099" xr:uid="{00000000-0005-0000-0000-00002D030000}"/>
    <cellStyle name="40% - 강조색6 8 4" xfId="3100" xr:uid="{00000000-0005-0000-0000-00002E030000}"/>
    <cellStyle name="40% - 강조색6 8 5" xfId="3101" xr:uid="{00000000-0005-0000-0000-00002F030000}"/>
    <cellStyle name="40% - 강조색6 8 6" xfId="3102" xr:uid="{00000000-0005-0000-0000-000030030000}"/>
    <cellStyle name="40% - 강조색6 8 7" xfId="3103" xr:uid="{00000000-0005-0000-0000-000031030000}"/>
    <cellStyle name="40% - 강조색6 8 8" xfId="3104" xr:uid="{00000000-0005-0000-0000-000032030000}"/>
    <cellStyle name="40% - 강조색6 8 9" xfId="3105" xr:uid="{00000000-0005-0000-0000-000033030000}"/>
    <cellStyle name="40% - 강조색6 9" xfId="347" xr:uid="{00000000-0005-0000-0000-000034030000}"/>
    <cellStyle name="40% - 강조색6 9 2" xfId="3106" xr:uid="{00000000-0005-0000-0000-000035030000}"/>
    <cellStyle name="60% - Accent1" xfId="348" xr:uid="{00000000-0005-0000-0000-000036030000}"/>
    <cellStyle name="60% - Accent1 2" xfId="349" xr:uid="{00000000-0005-0000-0000-000037030000}"/>
    <cellStyle name="60% - Accent1 2 2" xfId="350" xr:uid="{00000000-0005-0000-0000-000038030000}"/>
    <cellStyle name="60% - Accent1 3" xfId="351" xr:uid="{00000000-0005-0000-0000-000039030000}"/>
    <cellStyle name="60% - Accent1_1) 도로시설물" xfId="352" xr:uid="{00000000-0005-0000-0000-00003A030000}"/>
    <cellStyle name="60% - Accent2" xfId="353" xr:uid="{00000000-0005-0000-0000-00003B030000}"/>
    <cellStyle name="60% - Accent2 2" xfId="354" xr:uid="{00000000-0005-0000-0000-00003C030000}"/>
    <cellStyle name="60% - Accent2 2 2" xfId="355" xr:uid="{00000000-0005-0000-0000-00003D030000}"/>
    <cellStyle name="60% - Accent2 3" xfId="356" xr:uid="{00000000-0005-0000-0000-00003E030000}"/>
    <cellStyle name="60% - Accent2_1) 도로시설물" xfId="357" xr:uid="{00000000-0005-0000-0000-00003F030000}"/>
    <cellStyle name="60% - Accent3" xfId="358" xr:uid="{00000000-0005-0000-0000-000040030000}"/>
    <cellStyle name="60% - Accent3 2" xfId="359" xr:uid="{00000000-0005-0000-0000-000041030000}"/>
    <cellStyle name="60% - Accent3 2 2" xfId="360" xr:uid="{00000000-0005-0000-0000-000042030000}"/>
    <cellStyle name="60% - Accent3 3" xfId="361" xr:uid="{00000000-0005-0000-0000-000043030000}"/>
    <cellStyle name="60% - Accent3_1) 도로시설물" xfId="362" xr:uid="{00000000-0005-0000-0000-000044030000}"/>
    <cellStyle name="60% - Accent4" xfId="363" xr:uid="{00000000-0005-0000-0000-000045030000}"/>
    <cellStyle name="60% - Accent4 2" xfId="364" xr:uid="{00000000-0005-0000-0000-000046030000}"/>
    <cellStyle name="60% - Accent4 2 2" xfId="365" xr:uid="{00000000-0005-0000-0000-000047030000}"/>
    <cellStyle name="60% - Accent4 3" xfId="366" xr:uid="{00000000-0005-0000-0000-000048030000}"/>
    <cellStyle name="60% - Accent4_1) 도로시설물" xfId="367" xr:uid="{00000000-0005-0000-0000-000049030000}"/>
    <cellStyle name="60% - Accent5" xfId="368" xr:uid="{00000000-0005-0000-0000-00004A030000}"/>
    <cellStyle name="60% - Accent5 2" xfId="369" xr:uid="{00000000-0005-0000-0000-00004B030000}"/>
    <cellStyle name="60% - Accent5 2 2" xfId="370" xr:uid="{00000000-0005-0000-0000-00004C030000}"/>
    <cellStyle name="60% - Accent5 3" xfId="371" xr:uid="{00000000-0005-0000-0000-00004D030000}"/>
    <cellStyle name="60% - Accent5_1) 도로시설물" xfId="372" xr:uid="{00000000-0005-0000-0000-00004E030000}"/>
    <cellStyle name="60% - Accent6" xfId="373" xr:uid="{00000000-0005-0000-0000-00004F030000}"/>
    <cellStyle name="60% - Accent6 2" xfId="374" xr:uid="{00000000-0005-0000-0000-000050030000}"/>
    <cellStyle name="60% - Accent6 2 2" xfId="375" xr:uid="{00000000-0005-0000-0000-000051030000}"/>
    <cellStyle name="60% - Accent6 3" xfId="376" xr:uid="{00000000-0005-0000-0000-000052030000}"/>
    <cellStyle name="60% - Accent6_1) 도로시설물" xfId="377" xr:uid="{00000000-0005-0000-0000-000053030000}"/>
    <cellStyle name="60% - 강조색1 10" xfId="378" xr:uid="{00000000-0005-0000-0000-000054030000}"/>
    <cellStyle name="60% - 강조색1 11" xfId="3107" xr:uid="{00000000-0005-0000-0000-000055030000}"/>
    <cellStyle name="60% - 강조색1 11 2" xfId="3108" xr:uid="{00000000-0005-0000-0000-000056030000}"/>
    <cellStyle name="60% - 강조색1 11 3" xfId="3109" xr:uid="{00000000-0005-0000-0000-000057030000}"/>
    <cellStyle name="60% - 강조색1 11 4" xfId="3110" xr:uid="{00000000-0005-0000-0000-000058030000}"/>
    <cellStyle name="60% - 강조색1 11 5" xfId="3111" xr:uid="{00000000-0005-0000-0000-000059030000}"/>
    <cellStyle name="60% - 강조색1 11 6" xfId="3112" xr:uid="{00000000-0005-0000-0000-00005A030000}"/>
    <cellStyle name="60% - 강조색1 11 7" xfId="3113" xr:uid="{00000000-0005-0000-0000-00005B030000}"/>
    <cellStyle name="60% - 강조색1 2" xfId="379" xr:uid="{00000000-0005-0000-0000-00005C030000}"/>
    <cellStyle name="60% - 강조색1 2 2" xfId="380" xr:uid="{00000000-0005-0000-0000-00005D030000}"/>
    <cellStyle name="60% - 강조색1 2 2 2" xfId="381" xr:uid="{00000000-0005-0000-0000-00005E030000}"/>
    <cellStyle name="60% - 강조색1 2 2 2 2" xfId="3114" xr:uid="{00000000-0005-0000-0000-00005F030000}"/>
    <cellStyle name="60% - 강조색1 2 2 2 2 2" xfId="3115" xr:uid="{00000000-0005-0000-0000-000060030000}"/>
    <cellStyle name="60% - 강조색1 2 2 2 2 2 2" xfId="3116" xr:uid="{00000000-0005-0000-0000-000061030000}"/>
    <cellStyle name="60% - 강조색1 2 2 2 2 2 2 2" xfId="3117" xr:uid="{00000000-0005-0000-0000-000062030000}"/>
    <cellStyle name="60% - 강조색1 2 2 2 2 2 2 2 2" xfId="3118" xr:uid="{00000000-0005-0000-0000-000063030000}"/>
    <cellStyle name="60% - 강조색1 2 2 2 2 2 2 2 3" xfId="3119" xr:uid="{00000000-0005-0000-0000-000064030000}"/>
    <cellStyle name="60% - 강조색1 2 2 2 2 2 2 3" xfId="3120" xr:uid="{00000000-0005-0000-0000-000065030000}"/>
    <cellStyle name="60% - 강조색1 2 2 2 2 2 3" xfId="3121" xr:uid="{00000000-0005-0000-0000-000066030000}"/>
    <cellStyle name="60% - 강조색1 2 2 2 2 3" xfId="3122" xr:uid="{00000000-0005-0000-0000-000067030000}"/>
    <cellStyle name="60% - 강조색1 2 2 2 2 4" xfId="3123" xr:uid="{00000000-0005-0000-0000-000068030000}"/>
    <cellStyle name="60% - 강조색1 2 2 2 3" xfId="3124" xr:uid="{00000000-0005-0000-0000-000069030000}"/>
    <cellStyle name="60% - 강조색1 2 2 2 4" xfId="3125" xr:uid="{00000000-0005-0000-0000-00006A030000}"/>
    <cellStyle name="60% - 강조색1 2 2 3" xfId="382" xr:uid="{00000000-0005-0000-0000-00006B030000}"/>
    <cellStyle name="60% - 강조색1 2 2 4" xfId="3126" xr:uid="{00000000-0005-0000-0000-00006C030000}"/>
    <cellStyle name="60% - 강조색1 2 2 5" xfId="3127" xr:uid="{00000000-0005-0000-0000-00006D030000}"/>
    <cellStyle name="60% - 강조색1 2 2 6" xfId="3128" xr:uid="{00000000-0005-0000-0000-00006E030000}"/>
    <cellStyle name="60% - 강조색1 2 3" xfId="383" xr:uid="{00000000-0005-0000-0000-00006F030000}"/>
    <cellStyle name="60% - 강조색1 2 3 2" xfId="3129" xr:uid="{00000000-0005-0000-0000-000070030000}"/>
    <cellStyle name="60% - 강조색1 2 3 3" xfId="3130" xr:uid="{00000000-0005-0000-0000-000071030000}"/>
    <cellStyle name="60% - 강조색1 2 4" xfId="384" xr:uid="{00000000-0005-0000-0000-000072030000}"/>
    <cellStyle name="60% - 강조색1 2 5" xfId="3131" xr:uid="{00000000-0005-0000-0000-000073030000}"/>
    <cellStyle name="60% - 강조색1 2_1) 도로시설물" xfId="385" xr:uid="{00000000-0005-0000-0000-000074030000}"/>
    <cellStyle name="60% - 강조색1 3" xfId="386" xr:uid="{00000000-0005-0000-0000-000075030000}"/>
    <cellStyle name="60% - 강조색1 3 2" xfId="387" xr:uid="{00000000-0005-0000-0000-000076030000}"/>
    <cellStyle name="60% - 강조색1 3 2 2" xfId="388" xr:uid="{00000000-0005-0000-0000-000077030000}"/>
    <cellStyle name="60% - 강조색1 3 3" xfId="389" xr:uid="{00000000-0005-0000-0000-000078030000}"/>
    <cellStyle name="60% - 강조색1 4" xfId="390" xr:uid="{00000000-0005-0000-0000-000079030000}"/>
    <cellStyle name="60% - 강조색1 4 2" xfId="391" xr:uid="{00000000-0005-0000-0000-00007A030000}"/>
    <cellStyle name="60% - 강조색1 4 3" xfId="392" xr:uid="{00000000-0005-0000-0000-00007B030000}"/>
    <cellStyle name="60% - 강조색1 5" xfId="393" xr:uid="{00000000-0005-0000-0000-00007C030000}"/>
    <cellStyle name="60% - 강조색1 5 2" xfId="394" xr:uid="{00000000-0005-0000-0000-00007D030000}"/>
    <cellStyle name="60% - 강조색1 6" xfId="395" xr:uid="{00000000-0005-0000-0000-00007E030000}"/>
    <cellStyle name="60% - 강조색1 6 10" xfId="3132" xr:uid="{00000000-0005-0000-0000-00007F030000}"/>
    <cellStyle name="60% - 강조색1 6 2" xfId="3133" xr:uid="{00000000-0005-0000-0000-000080030000}"/>
    <cellStyle name="60% - 강조색1 6 3" xfId="3134" xr:uid="{00000000-0005-0000-0000-000081030000}"/>
    <cellStyle name="60% - 강조색1 6 4" xfId="3135" xr:uid="{00000000-0005-0000-0000-000082030000}"/>
    <cellStyle name="60% - 강조색1 6 5" xfId="3136" xr:uid="{00000000-0005-0000-0000-000083030000}"/>
    <cellStyle name="60% - 강조색1 6 6" xfId="3137" xr:uid="{00000000-0005-0000-0000-000084030000}"/>
    <cellStyle name="60% - 강조색1 6 7" xfId="3138" xr:uid="{00000000-0005-0000-0000-000085030000}"/>
    <cellStyle name="60% - 강조색1 6 8" xfId="3139" xr:uid="{00000000-0005-0000-0000-000086030000}"/>
    <cellStyle name="60% - 강조색1 6 9" xfId="3140" xr:uid="{00000000-0005-0000-0000-000087030000}"/>
    <cellStyle name="60% - 강조색1 7" xfId="396" xr:uid="{00000000-0005-0000-0000-000088030000}"/>
    <cellStyle name="60% - 강조색1 7 2" xfId="3141" xr:uid="{00000000-0005-0000-0000-000089030000}"/>
    <cellStyle name="60% - 강조색1 8" xfId="397" xr:uid="{00000000-0005-0000-0000-00008A030000}"/>
    <cellStyle name="60% - 강조색1 8 2" xfId="3142" xr:uid="{00000000-0005-0000-0000-00008B030000}"/>
    <cellStyle name="60% - 강조색1 9" xfId="398" xr:uid="{00000000-0005-0000-0000-00008C030000}"/>
    <cellStyle name="60% - 강조색2 10" xfId="399" xr:uid="{00000000-0005-0000-0000-00008D030000}"/>
    <cellStyle name="60% - 강조색2 11" xfId="3143" xr:uid="{00000000-0005-0000-0000-00008E030000}"/>
    <cellStyle name="60% - 강조색2 11 2" xfId="3144" xr:uid="{00000000-0005-0000-0000-00008F030000}"/>
    <cellStyle name="60% - 강조색2 11 3" xfId="3145" xr:uid="{00000000-0005-0000-0000-000090030000}"/>
    <cellStyle name="60% - 강조색2 11 4" xfId="3146" xr:uid="{00000000-0005-0000-0000-000091030000}"/>
    <cellStyle name="60% - 강조색2 11 5" xfId="3147" xr:uid="{00000000-0005-0000-0000-000092030000}"/>
    <cellStyle name="60% - 강조색2 11 6" xfId="3148" xr:uid="{00000000-0005-0000-0000-000093030000}"/>
    <cellStyle name="60% - 강조색2 11 7" xfId="3149" xr:uid="{00000000-0005-0000-0000-000094030000}"/>
    <cellStyle name="60% - 강조색2 2" xfId="400" xr:uid="{00000000-0005-0000-0000-000095030000}"/>
    <cellStyle name="60% - 강조색2 2 2" xfId="401" xr:uid="{00000000-0005-0000-0000-000096030000}"/>
    <cellStyle name="60% - 강조색2 2 2 2" xfId="402" xr:uid="{00000000-0005-0000-0000-000097030000}"/>
    <cellStyle name="60% - 강조색2 2 2 2 2" xfId="3150" xr:uid="{00000000-0005-0000-0000-000098030000}"/>
    <cellStyle name="60% - 강조색2 2 2 2 2 2" xfId="3151" xr:uid="{00000000-0005-0000-0000-000099030000}"/>
    <cellStyle name="60% - 강조색2 2 2 2 2 2 2" xfId="3152" xr:uid="{00000000-0005-0000-0000-00009A030000}"/>
    <cellStyle name="60% - 강조색2 2 2 2 2 2 2 2" xfId="3153" xr:uid="{00000000-0005-0000-0000-00009B030000}"/>
    <cellStyle name="60% - 강조색2 2 2 2 2 2 2 2 2" xfId="3154" xr:uid="{00000000-0005-0000-0000-00009C030000}"/>
    <cellStyle name="60% - 강조색2 2 2 2 2 2 2 2 3" xfId="3155" xr:uid="{00000000-0005-0000-0000-00009D030000}"/>
    <cellStyle name="60% - 강조색2 2 2 2 2 2 2 3" xfId="3156" xr:uid="{00000000-0005-0000-0000-00009E030000}"/>
    <cellStyle name="60% - 강조색2 2 2 2 2 2 3" xfId="3157" xr:uid="{00000000-0005-0000-0000-00009F030000}"/>
    <cellStyle name="60% - 강조색2 2 2 2 2 3" xfId="3158" xr:uid="{00000000-0005-0000-0000-0000A0030000}"/>
    <cellStyle name="60% - 강조색2 2 2 2 2 4" xfId="3159" xr:uid="{00000000-0005-0000-0000-0000A1030000}"/>
    <cellStyle name="60% - 강조색2 2 2 2 3" xfId="3160" xr:uid="{00000000-0005-0000-0000-0000A2030000}"/>
    <cellStyle name="60% - 강조색2 2 2 2 4" xfId="3161" xr:uid="{00000000-0005-0000-0000-0000A3030000}"/>
    <cellStyle name="60% - 강조색2 2 2 3" xfId="403" xr:uid="{00000000-0005-0000-0000-0000A4030000}"/>
    <cellStyle name="60% - 강조색2 2 2 4" xfId="3162" xr:uid="{00000000-0005-0000-0000-0000A5030000}"/>
    <cellStyle name="60% - 강조색2 2 2 5" xfId="3163" xr:uid="{00000000-0005-0000-0000-0000A6030000}"/>
    <cellStyle name="60% - 강조색2 2 2 6" xfId="3164" xr:uid="{00000000-0005-0000-0000-0000A7030000}"/>
    <cellStyle name="60% - 강조색2 2 3" xfId="404" xr:uid="{00000000-0005-0000-0000-0000A8030000}"/>
    <cellStyle name="60% - 강조색2 2 3 2" xfId="3165" xr:uid="{00000000-0005-0000-0000-0000A9030000}"/>
    <cellStyle name="60% - 강조색2 2 3 3" xfId="3166" xr:uid="{00000000-0005-0000-0000-0000AA030000}"/>
    <cellStyle name="60% - 강조색2 2 4" xfId="405" xr:uid="{00000000-0005-0000-0000-0000AB030000}"/>
    <cellStyle name="60% - 강조색2 2 5" xfId="3167" xr:uid="{00000000-0005-0000-0000-0000AC030000}"/>
    <cellStyle name="60% - 강조색2 2_1) 도로시설물" xfId="406" xr:uid="{00000000-0005-0000-0000-0000AD030000}"/>
    <cellStyle name="60% - 강조색2 3" xfId="407" xr:uid="{00000000-0005-0000-0000-0000AE030000}"/>
    <cellStyle name="60% - 강조색2 3 2" xfId="408" xr:uid="{00000000-0005-0000-0000-0000AF030000}"/>
    <cellStyle name="60% - 강조색2 3 2 2" xfId="409" xr:uid="{00000000-0005-0000-0000-0000B0030000}"/>
    <cellStyle name="60% - 강조색2 3 3" xfId="410" xr:uid="{00000000-0005-0000-0000-0000B1030000}"/>
    <cellStyle name="60% - 강조색2 4" xfId="411" xr:uid="{00000000-0005-0000-0000-0000B2030000}"/>
    <cellStyle name="60% - 강조색2 4 2" xfId="412" xr:uid="{00000000-0005-0000-0000-0000B3030000}"/>
    <cellStyle name="60% - 강조색2 4 3" xfId="413" xr:uid="{00000000-0005-0000-0000-0000B4030000}"/>
    <cellStyle name="60% - 강조색2 5" xfId="414" xr:uid="{00000000-0005-0000-0000-0000B5030000}"/>
    <cellStyle name="60% - 강조색2 5 2" xfId="415" xr:uid="{00000000-0005-0000-0000-0000B6030000}"/>
    <cellStyle name="60% - 강조색2 6" xfId="416" xr:uid="{00000000-0005-0000-0000-0000B7030000}"/>
    <cellStyle name="60% - 강조색2 6 10" xfId="3168" xr:uid="{00000000-0005-0000-0000-0000B8030000}"/>
    <cellStyle name="60% - 강조색2 6 2" xfId="3169" xr:uid="{00000000-0005-0000-0000-0000B9030000}"/>
    <cellStyle name="60% - 강조색2 6 3" xfId="3170" xr:uid="{00000000-0005-0000-0000-0000BA030000}"/>
    <cellStyle name="60% - 강조색2 6 4" xfId="3171" xr:uid="{00000000-0005-0000-0000-0000BB030000}"/>
    <cellStyle name="60% - 강조색2 6 5" xfId="3172" xr:uid="{00000000-0005-0000-0000-0000BC030000}"/>
    <cellStyle name="60% - 강조색2 6 6" xfId="3173" xr:uid="{00000000-0005-0000-0000-0000BD030000}"/>
    <cellStyle name="60% - 강조색2 6 7" xfId="3174" xr:uid="{00000000-0005-0000-0000-0000BE030000}"/>
    <cellStyle name="60% - 강조색2 6 8" xfId="3175" xr:uid="{00000000-0005-0000-0000-0000BF030000}"/>
    <cellStyle name="60% - 강조색2 6 9" xfId="3176" xr:uid="{00000000-0005-0000-0000-0000C0030000}"/>
    <cellStyle name="60% - 강조색2 7" xfId="417" xr:uid="{00000000-0005-0000-0000-0000C1030000}"/>
    <cellStyle name="60% - 강조색2 7 2" xfId="3177" xr:uid="{00000000-0005-0000-0000-0000C2030000}"/>
    <cellStyle name="60% - 강조색2 8" xfId="418" xr:uid="{00000000-0005-0000-0000-0000C3030000}"/>
    <cellStyle name="60% - 강조색2 8 2" xfId="3178" xr:uid="{00000000-0005-0000-0000-0000C4030000}"/>
    <cellStyle name="60% - 강조색2 9" xfId="419" xr:uid="{00000000-0005-0000-0000-0000C5030000}"/>
    <cellStyle name="60% - 강조색3 10" xfId="420" xr:uid="{00000000-0005-0000-0000-0000C6030000}"/>
    <cellStyle name="60% - 강조색3 11" xfId="3179" xr:uid="{00000000-0005-0000-0000-0000C7030000}"/>
    <cellStyle name="60% - 강조색3 11 2" xfId="3180" xr:uid="{00000000-0005-0000-0000-0000C8030000}"/>
    <cellStyle name="60% - 강조색3 11 3" xfId="3181" xr:uid="{00000000-0005-0000-0000-0000C9030000}"/>
    <cellStyle name="60% - 강조색3 11 4" xfId="3182" xr:uid="{00000000-0005-0000-0000-0000CA030000}"/>
    <cellStyle name="60% - 강조색3 11 5" xfId="3183" xr:uid="{00000000-0005-0000-0000-0000CB030000}"/>
    <cellStyle name="60% - 강조색3 11 6" xfId="3184" xr:uid="{00000000-0005-0000-0000-0000CC030000}"/>
    <cellStyle name="60% - 강조색3 11 7" xfId="3185" xr:uid="{00000000-0005-0000-0000-0000CD030000}"/>
    <cellStyle name="60% - 강조색3 2" xfId="421" xr:uid="{00000000-0005-0000-0000-0000CE030000}"/>
    <cellStyle name="60% - 강조색3 2 2" xfId="422" xr:uid="{00000000-0005-0000-0000-0000CF030000}"/>
    <cellStyle name="60% - 강조색3 2 2 2" xfId="423" xr:uid="{00000000-0005-0000-0000-0000D0030000}"/>
    <cellStyle name="60% - 강조색3 2 2 2 2" xfId="3186" xr:uid="{00000000-0005-0000-0000-0000D1030000}"/>
    <cellStyle name="60% - 강조색3 2 2 2 2 2" xfId="3187" xr:uid="{00000000-0005-0000-0000-0000D2030000}"/>
    <cellStyle name="60% - 강조색3 2 2 2 2 2 2" xfId="3188" xr:uid="{00000000-0005-0000-0000-0000D3030000}"/>
    <cellStyle name="60% - 강조색3 2 2 2 2 2 2 2" xfId="3189" xr:uid="{00000000-0005-0000-0000-0000D4030000}"/>
    <cellStyle name="60% - 강조색3 2 2 2 2 2 2 2 2" xfId="3190" xr:uid="{00000000-0005-0000-0000-0000D5030000}"/>
    <cellStyle name="60% - 강조색3 2 2 2 2 2 2 2 3" xfId="3191" xr:uid="{00000000-0005-0000-0000-0000D6030000}"/>
    <cellStyle name="60% - 강조색3 2 2 2 2 2 2 3" xfId="3192" xr:uid="{00000000-0005-0000-0000-0000D7030000}"/>
    <cellStyle name="60% - 강조색3 2 2 2 2 2 3" xfId="3193" xr:uid="{00000000-0005-0000-0000-0000D8030000}"/>
    <cellStyle name="60% - 강조색3 2 2 2 2 3" xfId="3194" xr:uid="{00000000-0005-0000-0000-0000D9030000}"/>
    <cellStyle name="60% - 강조색3 2 2 2 2 4" xfId="3195" xr:uid="{00000000-0005-0000-0000-0000DA030000}"/>
    <cellStyle name="60% - 강조색3 2 2 2 3" xfId="3196" xr:uid="{00000000-0005-0000-0000-0000DB030000}"/>
    <cellStyle name="60% - 강조색3 2 2 2 4" xfId="3197" xr:uid="{00000000-0005-0000-0000-0000DC030000}"/>
    <cellStyle name="60% - 강조색3 2 2 3" xfId="424" xr:uid="{00000000-0005-0000-0000-0000DD030000}"/>
    <cellStyle name="60% - 강조색3 2 2 4" xfId="3198" xr:uid="{00000000-0005-0000-0000-0000DE030000}"/>
    <cellStyle name="60% - 강조색3 2 2 5" xfId="3199" xr:uid="{00000000-0005-0000-0000-0000DF030000}"/>
    <cellStyle name="60% - 강조색3 2 2 6" xfId="3200" xr:uid="{00000000-0005-0000-0000-0000E0030000}"/>
    <cellStyle name="60% - 강조색3 2 3" xfId="425" xr:uid="{00000000-0005-0000-0000-0000E1030000}"/>
    <cellStyle name="60% - 강조색3 2 3 2" xfId="3201" xr:uid="{00000000-0005-0000-0000-0000E2030000}"/>
    <cellStyle name="60% - 강조색3 2 3 3" xfId="3202" xr:uid="{00000000-0005-0000-0000-0000E3030000}"/>
    <cellStyle name="60% - 강조색3 2 4" xfId="426" xr:uid="{00000000-0005-0000-0000-0000E4030000}"/>
    <cellStyle name="60% - 강조색3 2 5" xfId="3203" xr:uid="{00000000-0005-0000-0000-0000E5030000}"/>
    <cellStyle name="60% - 강조색3 2_1) 도로시설물" xfId="427" xr:uid="{00000000-0005-0000-0000-0000E6030000}"/>
    <cellStyle name="60% - 강조색3 3" xfId="428" xr:uid="{00000000-0005-0000-0000-0000E7030000}"/>
    <cellStyle name="60% - 강조색3 3 2" xfId="429" xr:uid="{00000000-0005-0000-0000-0000E8030000}"/>
    <cellStyle name="60% - 강조색3 3 2 2" xfId="430" xr:uid="{00000000-0005-0000-0000-0000E9030000}"/>
    <cellStyle name="60% - 강조색3 3 3" xfId="431" xr:uid="{00000000-0005-0000-0000-0000EA030000}"/>
    <cellStyle name="60% - 강조색3 4" xfId="432" xr:uid="{00000000-0005-0000-0000-0000EB030000}"/>
    <cellStyle name="60% - 강조색3 4 2" xfId="433" xr:uid="{00000000-0005-0000-0000-0000EC030000}"/>
    <cellStyle name="60% - 강조색3 4 3" xfId="434" xr:uid="{00000000-0005-0000-0000-0000ED030000}"/>
    <cellStyle name="60% - 강조색3 5" xfId="435" xr:uid="{00000000-0005-0000-0000-0000EE030000}"/>
    <cellStyle name="60% - 강조색3 5 2" xfId="436" xr:uid="{00000000-0005-0000-0000-0000EF030000}"/>
    <cellStyle name="60% - 강조색3 6" xfId="437" xr:uid="{00000000-0005-0000-0000-0000F0030000}"/>
    <cellStyle name="60% - 강조색3 6 10" xfId="3204" xr:uid="{00000000-0005-0000-0000-0000F1030000}"/>
    <cellStyle name="60% - 강조색3 6 2" xfId="3205" xr:uid="{00000000-0005-0000-0000-0000F2030000}"/>
    <cellStyle name="60% - 강조색3 6 3" xfId="3206" xr:uid="{00000000-0005-0000-0000-0000F3030000}"/>
    <cellStyle name="60% - 강조색3 6 4" xfId="3207" xr:uid="{00000000-0005-0000-0000-0000F4030000}"/>
    <cellStyle name="60% - 강조색3 6 5" xfId="3208" xr:uid="{00000000-0005-0000-0000-0000F5030000}"/>
    <cellStyle name="60% - 강조색3 6 6" xfId="3209" xr:uid="{00000000-0005-0000-0000-0000F6030000}"/>
    <cellStyle name="60% - 강조색3 6 7" xfId="3210" xr:uid="{00000000-0005-0000-0000-0000F7030000}"/>
    <cellStyle name="60% - 강조색3 6 8" xfId="3211" xr:uid="{00000000-0005-0000-0000-0000F8030000}"/>
    <cellStyle name="60% - 강조색3 6 9" xfId="3212" xr:uid="{00000000-0005-0000-0000-0000F9030000}"/>
    <cellStyle name="60% - 강조색3 7" xfId="438" xr:uid="{00000000-0005-0000-0000-0000FA030000}"/>
    <cellStyle name="60% - 강조색3 7 2" xfId="3213" xr:uid="{00000000-0005-0000-0000-0000FB030000}"/>
    <cellStyle name="60% - 강조색3 8" xfId="439" xr:uid="{00000000-0005-0000-0000-0000FC030000}"/>
    <cellStyle name="60% - 강조색3 8 2" xfId="3214" xr:uid="{00000000-0005-0000-0000-0000FD030000}"/>
    <cellStyle name="60% - 강조색3 9" xfId="440" xr:uid="{00000000-0005-0000-0000-0000FE030000}"/>
    <cellStyle name="60% - 강조색4 10" xfId="441" xr:uid="{00000000-0005-0000-0000-0000FF030000}"/>
    <cellStyle name="60% - 강조색4 11" xfId="3215" xr:uid="{00000000-0005-0000-0000-000000040000}"/>
    <cellStyle name="60% - 강조색4 11 2" xfId="3216" xr:uid="{00000000-0005-0000-0000-000001040000}"/>
    <cellStyle name="60% - 강조색4 11 3" xfId="3217" xr:uid="{00000000-0005-0000-0000-000002040000}"/>
    <cellStyle name="60% - 강조색4 11 4" xfId="3218" xr:uid="{00000000-0005-0000-0000-000003040000}"/>
    <cellStyle name="60% - 강조색4 11 5" xfId="3219" xr:uid="{00000000-0005-0000-0000-000004040000}"/>
    <cellStyle name="60% - 강조색4 11 6" xfId="3220" xr:uid="{00000000-0005-0000-0000-000005040000}"/>
    <cellStyle name="60% - 강조색4 11 7" xfId="3221" xr:uid="{00000000-0005-0000-0000-000006040000}"/>
    <cellStyle name="60% - 강조색4 2" xfId="442" xr:uid="{00000000-0005-0000-0000-000007040000}"/>
    <cellStyle name="60% - 강조색4 2 2" xfId="443" xr:uid="{00000000-0005-0000-0000-000008040000}"/>
    <cellStyle name="60% - 강조색4 2 2 2" xfId="444" xr:uid="{00000000-0005-0000-0000-000009040000}"/>
    <cellStyle name="60% - 강조색4 2 2 2 2" xfId="3222" xr:uid="{00000000-0005-0000-0000-00000A040000}"/>
    <cellStyle name="60% - 강조색4 2 2 2 2 2" xfId="3223" xr:uid="{00000000-0005-0000-0000-00000B040000}"/>
    <cellStyle name="60% - 강조색4 2 2 2 2 2 2" xfId="3224" xr:uid="{00000000-0005-0000-0000-00000C040000}"/>
    <cellStyle name="60% - 강조색4 2 2 2 2 2 2 2" xfId="3225" xr:uid="{00000000-0005-0000-0000-00000D040000}"/>
    <cellStyle name="60% - 강조색4 2 2 2 2 2 2 2 2" xfId="3226" xr:uid="{00000000-0005-0000-0000-00000E040000}"/>
    <cellStyle name="60% - 강조색4 2 2 2 2 2 2 2 3" xfId="3227" xr:uid="{00000000-0005-0000-0000-00000F040000}"/>
    <cellStyle name="60% - 강조색4 2 2 2 2 2 2 3" xfId="3228" xr:uid="{00000000-0005-0000-0000-000010040000}"/>
    <cellStyle name="60% - 강조색4 2 2 2 2 2 3" xfId="3229" xr:uid="{00000000-0005-0000-0000-000011040000}"/>
    <cellStyle name="60% - 강조색4 2 2 2 2 3" xfId="3230" xr:uid="{00000000-0005-0000-0000-000012040000}"/>
    <cellStyle name="60% - 강조색4 2 2 2 2 4" xfId="3231" xr:uid="{00000000-0005-0000-0000-000013040000}"/>
    <cellStyle name="60% - 강조색4 2 2 2 3" xfId="3232" xr:uid="{00000000-0005-0000-0000-000014040000}"/>
    <cellStyle name="60% - 강조색4 2 2 2 4" xfId="3233" xr:uid="{00000000-0005-0000-0000-000015040000}"/>
    <cellStyle name="60% - 강조색4 2 2 3" xfId="445" xr:uid="{00000000-0005-0000-0000-000016040000}"/>
    <cellStyle name="60% - 강조색4 2 2 4" xfId="3234" xr:uid="{00000000-0005-0000-0000-000017040000}"/>
    <cellStyle name="60% - 강조색4 2 2 5" xfId="3235" xr:uid="{00000000-0005-0000-0000-000018040000}"/>
    <cellStyle name="60% - 강조색4 2 2 6" xfId="3236" xr:uid="{00000000-0005-0000-0000-000019040000}"/>
    <cellStyle name="60% - 강조색4 2 3" xfId="446" xr:uid="{00000000-0005-0000-0000-00001A040000}"/>
    <cellStyle name="60% - 강조색4 2 3 2" xfId="3237" xr:uid="{00000000-0005-0000-0000-00001B040000}"/>
    <cellStyle name="60% - 강조색4 2 3 3" xfId="3238" xr:uid="{00000000-0005-0000-0000-00001C040000}"/>
    <cellStyle name="60% - 강조색4 2 4" xfId="447" xr:uid="{00000000-0005-0000-0000-00001D040000}"/>
    <cellStyle name="60% - 강조색4 2 5" xfId="3239" xr:uid="{00000000-0005-0000-0000-00001E040000}"/>
    <cellStyle name="60% - 강조색4 2_1) 도로시설물" xfId="448" xr:uid="{00000000-0005-0000-0000-00001F040000}"/>
    <cellStyle name="60% - 강조색4 3" xfId="449" xr:uid="{00000000-0005-0000-0000-000020040000}"/>
    <cellStyle name="60% - 강조색4 3 2" xfId="450" xr:uid="{00000000-0005-0000-0000-000021040000}"/>
    <cellStyle name="60% - 강조색4 3 2 2" xfId="451" xr:uid="{00000000-0005-0000-0000-000022040000}"/>
    <cellStyle name="60% - 강조색4 3 3" xfId="452" xr:uid="{00000000-0005-0000-0000-000023040000}"/>
    <cellStyle name="60% - 강조색4 4" xfId="453" xr:uid="{00000000-0005-0000-0000-000024040000}"/>
    <cellStyle name="60% - 강조색4 4 2" xfId="454" xr:uid="{00000000-0005-0000-0000-000025040000}"/>
    <cellStyle name="60% - 강조색4 4 3" xfId="455" xr:uid="{00000000-0005-0000-0000-000026040000}"/>
    <cellStyle name="60% - 강조색4 5" xfId="456" xr:uid="{00000000-0005-0000-0000-000027040000}"/>
    <cellStyle name="60% - 강조색4 5 2" xfId="457" xr:uid="{00000000-0005-0000-0000-000028040000}"/>
    <cellStyle name="60% - 강조색4 6" xfId="458" xr:uid="{00000000-0005-0000-0000-000029040000}"/>
    <cellStyle name="60% - 강조색4 6 10" xfId="3240" xr:uid="{00000000-0005-0000-0000-00002A040000}"/>
    <cellStyle name="60% - 강조색4 6 2" xfId="3241" xr:uid="{00000000-0005-0000-0000-00002B040000}"/>
    <cellStyle name="60% - 강조색4 6 3" xfId="3242" xr:uid="{00000000-0005-0000-0000-00002C040000}"/>
    <cellStyle name="60% - 강조색4 6 4" xfId="3243" xr:uid="{00000000-0005-0000-0000-00002D040000}"/>
    <cellStyle name="60% - 강조색4 6 5" xfId="3244" xr:uid="{00000000-0005-0000-0000-00002E040000}"/>
    <cellStyle name="60% - 강조색4 6 6" xfId="3245" xr:uid="{00000000-0005-0000-0000-00002F040000}"/>
    <cellStyle name="60% - 강조색4 6 7" xfId="3246" xr:uid="{00000000-0005-0000-0000-000030040000}"/>
    <cellStyle name="60% - 강조색4 6 8" xfId="3247" xr:uid="{00000000-0005-0000-0000-000031040000}"/>
    <cellStyle name="60% - 강조색4 6 9" xfId="3248" xr:uid="{00000000-0005-0000-0000-000032040000}"/>
    <cellStyle name="60% - 강조색4 7" xfId="459" xr:uid="{00000000-0005-0000-0000-000033040000}"/>
    <cellStyle name="60% - 강조색4 7 2" xfId="3249" xr:uid="{00000000-0005-0000-0000-000034040000}"/>
    <cellStyle name="60% - 강조색4 8" xfId="460" xr:uid="{00000000-0005-0000-0000-000035040000}"/>
    <cellStyle name="60% - 강조색4 8 2" xfId="3250" xr:uid="{00000000-0005-0000-0000-000036040000}"/>
    <cellStyle name="60% - 강조색4 9" xfId="461" xr:uid="{00000000-0005-0000-0000-000037040000}"/>
    <cellStyle name="60% - 강조색5 10" xfId="462" xr:uid="{00000000-0005-0000-0000-000038040000}"/>
    <cellStyle name="60% - 강조색5 11" xfId="3251" xr:uid="{00000000-0005-0000-0000-000039040000}"/>
    <cellStyle name="60% - 강조색5 11 2" xfId="3252" xr:uid="{00000000-0005-0000-0000-00003A040000}"/>
    <cellStyle name="60% - 강조색5 11 3" xfId="3253" xr:uid="{00000000-0005-0000-0000-00003B040000}"/>
    <cellStyle name="60% - 강조색5 11 4" xfId="3254" xr:uid="{00000000-0005-0000-0000-00003C040000}"/>
    <cellStyle name="60% - 강조색5 11 5" xfId="3255" xr:uid="{00000000-0005-0000-0000-00003D040000}"/>
    <cellStyle name="60% - 강조색5 11 6" xfId="3256" xr:uid="{00000000-0005-0000-0000-00003E040000}"/>
    <cellStyle name="60% - 강조색5 11 7" xfId="3257" xr:uid="{00000000-0005-0000-0000-00003F040000}"/>
    <cellStyle name="60% - 강조색5 2" xfId="463" xr:uid="{00000000-0005-0000-0000-000040040000}"/>
    <cellStyle name="60% - 강조색5 2 2" xfId="464" xr:uid="{00000000-0005-0000-0000-000041040000}"/>
    <cellStyle name="60% - 강조색5 2 2 2" xfId="465" xr:uid="{00000000-0005-0000-0000-000042040000}"/>
    <cellStyle name="60% - 강조색5 2 2 2 2" xfId="3258" xr:uid="{00000000-0005-0000-0000-000043040000}"/>
    <cellStyle name="60% - 강조색5 2 2 2 2 2" xfId="3259" xr:uid="{00000000-0005-0000-0000-000044040000}"/>
    <cellStyle name="60% - 강조색5 2 2 2 2 2 2" xfId="3260" xr:uid="{00000000-0005-0000-0000-000045040000}"/>
    <cellStyle name="60% - 강조색5 2 2 2 2 2 2 2" xfId="3261" xr:uid="{00000000-0005-0000-0000-000046040000}"/>
    <cellStyle name="60% - 강조색5 2 2 2 2 2 2 2 2" xfId="3262" xr:uid="{00000000-0005-0000-0000-000047040000}"/>
    <cellStyle name="60% - 강조색5 2 2 2 2 2 2 2 3" xfId="3263" xr:uid="{00000000-0005-0000-0000-000048040000}"/>
    <cellStyle name="60% - 강조색5 2 2 2 2 2 2 3" xfId="3264" xr:uid="{00000000-0005-0000-0000-000049040000}"/>
    <cellStyle name="60% - 강조색5 2 2 2 2 2 3" xfId="3265" xr:uid="{00000000-0005-0000-0000-00004A040000}"/>
    <cellStyle name="60% - 강조색5 2 2 2 2 3" xfId="3266" xr:uid="{00000000-0005-0000-0000-00004B040000}"/>
    <cellStyle name="60% - 강조색5 2 2 2 2 4" xfId="3267" xr:uid="{00000000-0005-0000-0000-00004C040000}"/>
    <cellStyle name="60% - 강조색5 2 2 2 3" xfId="3268" xr:uid="{00000000-0005-0000-0000-00004D040000}"/>
    <cellStyle name="60% - 강조색5 2 2 2 4" xfId="3269" xr:uid="{00000000-0005-0000-0000-00004E040000}"/>
    <cellStyle name="60% - 강조색5 2 2 3" xfId="466" xr:uid="{00000000-0005-0000-0000-00004F040000}"/>
    <cellStyle name="60% - 강조색5 2 2 4" xfId="3270" xr:uid="{00000000-0005-0000-0000-000050040000}"/>
    <cellStyle name="60% - 강조색5 2 2 5" xfId="3271" xr:uid="{00000000-0005-0000-0000-000051040000}"/>
    <cellStyle name="60% - 강조색5 2 2 6" xfId="3272" xr:uid="{00000000-0005-0000-0000-000052040000}"/>
    <cellStyle name="60% - 강조색5 2 3" xfId="467" xr:uid="{00000000-0005-0000-0000-000053040000}"/>
    <cellStyle name="60% - 강조색5 2 3 2" xfId="3273" xr:uid="{00000000-0005-0000-0000-000054040000}"/>
    <cellStyle name="60% - 강조색5 2 3 3" xfId="3274" xr:uid="{00000000-0005-0000-0000-000055040000}"/>
    <cellStyle name="60% - 강조색5 2 4" xfId="468" xr:uid="{00000000-0005-0000-0000-000056040000}"/>
    <cellStyle name="60% - 강조색5 2 5" xfId="3275" xr:uid="{00000000-0005-0000-0000-000057040000}"/>
    <cellStyle name="60% - 강조색5 2_1) 도로시설물" xfId="469" xr:uid="{00000000-0005-0000-0000-000058040000}"/>
    <cellStyle name="60% - 강조색5 3" xfId="470" xr:uid="{00000000-0005-0000-0000-000059040000}"/>
    <cellStyle name="60% - 강조색5 3 2" xfId="471" xr:uid="{00000000-0005-0000-0000-00005A040000}"/>
    <cellStyle name="60% - 강조색5 3 2 2" xfId="472" xr:uid="{00000000-0005-0000-0000-00005B040000}"/>
    <cellStyle name="60% - 강조색5 3 3" xfId="473" xr:uid="{00000000-0005-0000-0000-00005C040000}"/>
    <cellStyle name="60% - 강조색5 4" xfId="474" xr:uid="{00000000-0005-0000-0000-00005D040000}"/>
    <cellStyle name="60% - 강조색5 4 2" xfId="475" xr:uid="{00000000-0005-0000-0000-00005E040000}"/>
    <cellStyle name="60% - 강조색5 4 3" xfId="476" xr:uid="{00000000-0005-0000-0000-00005F040000}"/>
    <cellStyle name="60% - 강조색5 5" xfId="477" xr:uid="{00000000-0005-0000-0000-000060040000}"/>
    <cellStyle name="60% - 강조색5 5 2" xfId="478" xr:uid="{00000000-0005-0000-0000-000061040000}"/>
    <cellStyle name="60% - 강조색5 6" xfId="479" xr:uid="{00000000-0005-0000-0000-000062040000}"/>
    <cellStyle name="60% - 강조색5 6 10" xfId="3276" xr:uid="{00000000-0005-0000-0000-000063040000}"/>
    <cellStyle name="60% - 강조색5 6 2" xfId="3277" xr:uid="{00000000-0005-0000-0000-000064040000}"/>
    <cellStyle name="60% - 강조색5 6 3" xfId="3278" xr:uid="{00000000-0005-0000-0000-000065040000}"/>
    <cellStyle name="60% - 강조색5 6 4" xfId="3279" xr:uid="{00000000-0005-0000-0000-000066040000}"/>
    <cellStyle name="60% - 강조색5 6 5" xfId="3280" xr:uid="{00000000-0005-0000-0000-000067040000}"/>
    <cellStyle name="60% - 강조색5 6 6" xfId="3281" xr:uid="{00000000-0005-0000-0000-000068040000}"/>
    <cellStyle name="60% - 강조색5 6 7" xfId="3282" xr:uid="{00000000-0005-0000-0000-000069040000}"/>
    <cellStyle name="60% - 강조색5 6 8" xfId="3283" xr:uid="{00000000-0005-0000-0000-00006A040000}"/>
    <cellStyle name="60% - 강조색5 6 9" xfId="3284" xr:uid="{00000000-0005-0000-0000-00006B040000}"/>
    <cellStyle name="60% - 강조색5 7" xfId="480" xr:uid="{00000000-0005-0000-0000-00006C040000}"/>
    <cellStyle name="60% - 강조색5 7 2" xfId="3285" xr:uid="{00000000-0005-0000-0000-00006D040000}"/>
    <cellStyle name="60% - 강조색5 8" xfId="481" xr:uid="{00000000-0005-0000-0000-00006E040000}"/>
    <cellStyle name="60% - 강조색5 8 2" xfId="3286" xr:uid="{00000000-0005-0000-0000-00006F040000}"/>
    <cellStyle name="60% - 강조색5 9" xfId="482" xr:uid="{00000000-0005-0000-0000-000070040000}"/>
    <cellStyle name="60% - 강조색6 10" xfId="483" xr:uid="{00000000-0005-0000-0000-000071040000}"/>
    <cellStyle name="60% - 강조색6 11" xfId="3287" xr:uid="{00000000-0005-0000-0000-000072040000}"/>
    <cellStyle name="60% - 강조색6 11 2" xfId="3288" xr:uid="{00000000-0005-0000-0000-000073040000}"/>
    <cellStyle name="60% - 강조색6 11 3" xfId="3289" xr:uid="{00000000-0005-0000-0000-000074040000}"/>
    <cellStyle name="60% - 강조색6 11 4" xfId="3290" xr:uid="{00000000-0005-0000-0000-000075040000}"/>
    <cellStyle name="60% - 강조색6 11 5" xfId="3291" xr:uid="{00000000-0005-0000-0000-000076040000}"/>
    <cellStyle name="60% - 강조색6 11 6" xfId="3292" xr:uid="{00000000-0005-0000-0000-000077040000}"/>
    <cellStyle name="60% - 강조색6 11 7" xfId="3293" xr:uid="{00000000-0005-0000-0000-000078040000}"/>
    <cellStyle name="60% - 강조색6 2" xfId="484" xr:uid="{00000000-0005-0000-0000-000079040000}"/>
    <cellStyle name="60% - 강조색6 2 2" xfId="485" xr:uid="{00000000-0005-0000-0000-00007A040000}"/>
    <cellStyle name="60% - 강조색6 2 2 2" xfId="486" xr:uid="{00000000-0005-0000-0000-00007B040000}"/>
    <cellStyle name="60% - 강조색6 2 2 2 2" xfId="3294" xr:uid="{00000000-0005-0000-0000-00007C040000}"/>
    <cellStyle name="60% - 강조색6 2 2 2 2 2" xfId="3295" xr:uid="{00000000-0005-0000-0000-00007D040000}"/>
    <cellStyle name="60% - 강조색6 2 2 2 2 2 2" xfId="3296" xr:uid="{00000000-0005-0000-0000-00007E040000}"/>
    <cellStyle name="60% - 강조색6 2 2 2 2 2 2 2" xfId="3297" xr:uid="{00000000-0005-0000-0000-00007F040000}"/>
    <cellStyle name="60% - 강조색6 2 2 2 2 2 2 2 2" xfId="3298" xr:uid="{00000000-0005-0000-0000-000080040000}"/>
    <cellStyle name="60% - 강조색6 2 2 2 2 2 2 2 3" xfId="3299" xr:uid="{00000000-0005-0000-0000-000081040000}"/>
    <cellStyle name="60% - 강조색6 2 2 2 2 2 2 3" xfId="3300" xr:uid="{00000000-0005-0000-0000-000082040000}"/>
    <cellStyle name="60% - 강조색6 2 2 2 2 2 3" xfId="3301" xr:uid="{00000000-0005-0000-0000-000083040000}"/>
    <cellStyle name="60% - 강조색6 2 2 2 2 3" xfId="3302" xr:uid="{00000000-0005-0000-0000-000084040000}"/>
    <cellStyle name="60% - 강조색6 2 2 2 2 4" xfId="3303" xr:uid="{00000000-0005-0000-0000-000085040000}"/>
    <cellStyle name="60% - 강조색6 2 2 2 3" xfId="3304" xr:uid="{00000000-0005-0000-0000-000086040000}"/>
    <cellStyle name="60% - 강조색6 2 2 2 4" xfId="3305" xr:uid="{00000000-0005-0000-0000-000087040000}"/>
    <cellStyle name="60% - 강조색6 2 2 3" xfId="487" xr:uid="{00000000-0005-0000-0000-000088040000}"/>
    <cellStyle name="60% - 강조색6 2 2 4" xfId="3306" xr:uid="{00000000-0005-0000-0000-000089040000}"/>
    <cellStyle name="60% - 강조색6 2 2 5" xfId="3307" xr:uid="{00000000-0005-0000-0000-00008A040000}"/>
    <cellStyle name="60% - 강조색6 2 2 6" xfId="3308" xr:uid="{00000000-0005-0000-0000-00008B040000}"/>
    <cellStyle name="60% - 강조색6 2 3" xfId="488" xr:uid="{00000000-0005-0000-0000-00008C040000}"/>
    <cellStyle name="60% - 강조색6 2 3 2" xfId="3309" xr:uid="{00000000-0005-0000-0000-00008D040000}"/>
    <cellStyle name="60% - 강조색6 2 3 3" xfId="3310" xr:uid="{00000000-0005-0000-0000-00008E040000}"/>
    <cellStyle name="60% - 강조색6 2 4" xfId="489" xr:uid="{00000000-0005-0000-0000-00008F040000}"/>
    <cellStyle name="60% - 강조색6 2 5" xfId="3311" xr:uid="{00000000-0005-0000-0000-000090040000}"/>
    <cellStyle name="60% - 강조색6 2_1) 도로시설물" xfId="490" xr:uid="{00000000-0005-0000-0000-000091040000}"/>
    <cellStyle name="60% - 강조색6 3" xfId="491" xr:uid="{00000000-0005-0000-0000-000092040000}"/>
    <cellStyle name="60% - 강조색6 3 2" xfId="492" xr:uid="{00000000-0005-0000-0000-000093040000}"/>
    <cellStyle name="60% - 강조색6 3 2 2" xfId="493" xr:uid="{00000000-0005-0000-0000-000094040000}"/>
    <cellStyle name="60% - 강조색6 3 3" xfId="494" xr:uid="{00000000-0005-0000-0000-000095040000}"/>
    <cellStyle name="60% - 강조색6 4" xfId="495" xr:uid="{00000000-0005-0000-0000-000096040000}"/>
    <cellStyle name="60% - 강조색6 4 2" xfId="496" xr:uid="{00000000-0005-0000-0000-000097040000}"/>
    <cellStyle name="60% - 강조색6 4 3" xfId="497" xr:uid="{00000000-0005-0000-0000-000098040000}"/>
    <cellStyle name="60% - 강조색6 5" xfId="498" xr:uid="{00000000-0005-0000-0000-000099040000}"/>
    <cellStyle name="60% - 강조색6 5 2" xfId="499" xr:uid="{00000000-0005-0000-0000-00009A040000}"/>
    <cellStyle name="60% - 강조색6 6" xfId="500" xr:uid="{00000000-0005-0000-0000-00009B040000}"/>
    <cellStyle name="60% - 강조색6 6 10" xfId="3312" xr:uid="{00000000-0005-0000-0000-00009C040000}"/>
    <cellStyle name="60% - 강조색6 6 2" xfId="3313" xr:uid="{00000000-0005-0000-0000-00009D040000}"/>
    <cellStyle name="60% - 강조색6 6 3" xfId="3314" xr:uid="{00000000-0005-0000-0000-00009E040000}"/>
    <cellStyle name="60% - 강조색6 6 4" xfId="3315" xr:uid="{00000000-0005-0000-0000-00009F040000}"/>
    <cellStyle name="60% - 강조색6 6 5" xfId="3316" xr:uid="{00000000-0005-0000-0000-0000A0040000}"/>
    <cellStyle name="60% - 강조색6 6 6" xfId="3317" xr:uid="{00000000-0005-0000-0000-0000A1040000}"/>
    <cellStyle name="60% - 강조색6 6 7" xfId="3318" xr:uid="{00000000-0005-0000-0000-0000A2040000}"/>
    <cellStyle name="60% - 강조색6 6 8" xfId="3319" xr:uid="{00000000-0005-0000-0000-0000A3040000}"/>
    <cellStyle name="60% - 강조색6 6 9" xfId="3320" xr:uid="{00000000-0005-0000-0000-0000A4040000}"/>
    <cellStyle name="60% - 강조색6 7" xfId="501" xr:uid="{00000000-0005-0000-0000-0000A5040000}"/>
    <cellStyle name="60% - 강조색6 7 2" xfId="3321" xr:uid="{00000000-0005-0000-0000-0000A6040000}"/>
    <cellStyle name="60% - 강조색6 8" xfId="502" xr:uid="{00000000-0005-0000-0000-0000A7040000}"/>
    <cellStyle name="60% - 강조색6 8 2" xfId="3322" xr:uid="{00000000-0005-0000-0000-0000A8040000}"/>
    <cellStyle name="60% - 강조색6 9" xfId="503" xr:uid="{00000000-0005-0000-0000-0000A9040000}"/>
    <cellStyle name="Accent1" xfId="504" xr:uid="{00000000-0005-0000-0000-0000AA040000}"/>
    <cellStyle name="Accent1 2" xfId="505" xr:uid="{00000000-0005-0000-0000-0000AB040000}"/>
    <cellStyle name="Accent1 2 2" xfId="506" xr:uid="{00000000-0005-0000-0000-0000AC040000}"/>
    <cellStyle name="Accent1 3" xfId="507" xr:uid="{00000000-0005-0000-0000-0000AD040000}"/>
    <cellStyle name="Accent1_1) 도로시설물" xfId="508" xr:uid="{00000000-0005-0000-0000-0000AE040000}"/>
    <cellStyle name="Accent2" xfId="509" xr:uid="{00000000-0005-0000-0000-0000AF040000}"/>
    <cellStyle name="Accent2 2" xfId="510" xr:uid="{00000000-0005-0000-0000-0000B0040000}"/>
    <cellStyle name="Accent2 2 2" xfId="511" xr:uid="{00000000-0005-0000-0000-0000B1040000}"/>
    <cellStyle name="Accent2 3" xfId="512" xr:uid="{00000000-0005-0000-0000-0000B2040000}"/>
    <cellStyle name="Accent2_1) 도로시설물" xfId="513" xr:uid="{00000000-0005-0000-0000-0000B3040000}"/>
    <cellStyle name="Accent3" xfId="514" xr:uid="{00000000-0005-0000-0000-0000B4040000}"/>
    <cellStyle name="Accent3 2" xfId="515" xr:uid="{00000000-0005-0000-0000-0000B5040000}"/>
    <cellStyle name="Accent3 2 2" xfId="516" xr:uid="{00000000-0005-0000-0000-0000B6040000}"/>
    <cellStyle name="Accent3 3" xfId="517" xr:uid="{00000000-0005-0000-0000-0000B7040000}"/>
    <cellStyle name="Accent3_1) 도로시설물" xfId="518" xr:uid="{00000000-0005-0000-0000-0000B8040000}"/>
    <cellStyle name="Accent4" xfId="519" xr:uid="{00000000-0005-0000-0000-0000B9040000}"/>
    <cellStyle name="Accent4 2" xfId="520" xr:uid="{00000000-0005-0000-0000-0000BA040000}"/>
    <cellStyle name="Accent4 2 2" xfId="521" xr:uid="{00000000-0005-0000-0000-0000BB040000}"/>
    <cellStyle name="Accent4 3" xfId="522" xr:uid="{00000000-0005-0000-0000-0000BC040000}"/>
    <cellStyle name="Accent4_1) 도로시설물" xfId="523" xr:uid="{00000000-0005-0000-0000-0000BD040000}"/>
    <cellStyle name="Accent5" xfId="524" xr:uid="{00000000-0005-0000-0000-0000BE040000}"/>
    <cellStyle name="Accent5 2" xfId="525" xr:uid="{00000000-0005-0000-0000-0000BF040000}"/>
    <cellStyle name="Accent5 2 2" xfId="526" xr:uid="{00000000-0005-0000-0000-0000C0040000}"/>
    <cellStyle name="Accent5 3" xfId="527" xr:uid="{00000000-0005-0000-0000-0000C1040000}"/>
    <cellStyle name="Accent5_1) 도로시설물" xfId="528" xr:uid="{00000000-0005-0000-0000-0000C2040000}"/>
    <cellStyle name="Accent6" xfId="529" xr:uid="{00000000-0005-0000-0000-0000C3040000}"/>
    <cellStyle name="Accent6 2" xfId="530" xr:uid="{00000000-0005-0000-0000-0000C4040000}"/>
    <cellStyle name="Accent6 2 2" xfId="531" xr:uid="{00000000-0005-0000-0000-0000C5040000}"/>
    <cellStyle name="Accent6 3" xfId="532" xr:uid="{00000000-0005-0000-0000-0000C6040000}"/>
    <cellStyle name="Accent6_1) 도로시설물" xfId="533" xr:uid="{00000000-0005-0000-0000-0000C7040000}"/>
    <cellStyle name="ÅëÈ­ [0]_¼ÕÀÍ¿¹»ê" xfId="534" xr:uid="{00000000-0005-0000-0000-0000C8040000}"/>
    <cellStyle name="AeE­ [0]_¼OAI¿¹≫e" xfId="535" xr:uid="{00000000-0005-0000-0000-0000C9040000}"/>
    <cellStyle name="ÅëÈ­ [0]_ÀÎ°Çºñ,¿ÜÁÖºñ" xfId="536" xr:uid="{00000000-0005-0000-0000-0000CA040000}"/>
    <cellStyle name="AeE­ [0]_AI°Cºn,μμ±Þºn" xfId="537" xr:uid="{00000000-0005-0000-0000-0000CB040000}"/>
    <cellStyle name="ÅëÈ­ [0]_laroux" xfId="538" xr:uid="{00000000-0005-0000-0000-0000CC040000}"/>
    <cellStyle name="AeE­ [0]_laroux_1" xfId="539" xr:uid="{00000000-0005-0000-0000-0000CD040000}"/>
    <cellStyle name="ÅëÈ­ [0]_laroux_1" xfId="540" xr:uid="{00000000-0005-0000-0000-0000CE040000}"/>
    <cellStyle name="AeE­ [0]_laroux_1 2" xfId="541" xr:uid="{00000000-0005-0000-0000-0000CF040000}"/>
    <cellStyle name="ÅëÈ­ [0]_laroux_1 2" xfId="542" xr:uid="{00000000-0005-0000-0000-0000D0040000}"/>
    <cellStyle name="AeE­ [0]_laroux_1 3" xfId="543" xr:uid="{00000000-0005-0000-0000-0000D1040000}"/>
    <cellStyle name="ÅëÈ­ [0]_laroux_1 3" xfId="544" xr:uid="{00000000-0005-0000-0000-0000D2040000}"/>
    <cellStyle name="AeE­ [0]_laroux_2" xfId="545" xr:uid="{00000000-0005-0000-0000-0000D3040000}"/>
    <cellStyle name="ÅëÈ­ [0]_laroux_2" xfId="546" xr:uid="{00000000-0005-0000-0000-0000D4040000}"/>
    <cellStyle name="AeE­ [0]_laroux_2 2" xfId="547" xr:uid="{00000000-0005-0000-0000-0000D5040000}"/>
    <cellStyle name="ÅëÈ­ [0]_laroux_2 2" xfId="548" xr:uid="{00000000-0005-0000-0000-0000D6040000}"/>
    <cellStyle name="AeE­ [0]_laroux_2 3" xfId="549" xr:uid="{00000000-0005-0000-0000-0000D7040000}"/>
    <cellStyle name="ÅëÈ­ [0]_laroux_2 3" xfId="550" xr:uid="{00000000-0005-0000-0000-0000D8040000}"/>
    <cellStyle name="AeE­ [0]_laroux_2_41-06농림16" xfId="551" xr:uid="{00000000-0005-0000-0000-0000D9040000}"/>
    <cellStyle name="ÅëÈ­ [0]_laroux_2_41-06농림16" xfId="552" xr:uid="{00000000-0005-0000-0000-0000DA040000}"/>
    <cellStyle name="AeE­ [0]_laroux_2_41-06농림16 2" xfId="553" xr:uid="{00000000-0005-0000-0000-0000DB040000}"/>
    <cellStyle name="ÅëÈ­ [0]_laroux_2_41-06농림16 2" xfId="554" xr:uid="{00000000-0005-0000-0000-0000DC040000}"/>
    <cellStyle name="AeE­ [0]_laroux_2_41-06농림16 3" xfId="555" xr:uid="{00000000-0005-0000-0000-0000DD040000}"/>
    <cellStyle name="ÅëÈ­ [0]_laroux_2_41-06농림16 3" xfId="556" xr:uid="{00000000-0005-0000-0000-0000DE040000}"/>
    <cellStyle name="AeE­ [0]_laroux_2_41-06농림41" xfId="557" xr:uid="{00000000-0005-0000-0000-0000DF040000}"/>
    <cellStyle name="ÅëÈ­ [0]_laroux_2_41-06농림41" xfId="558" xr:uid="{00000000-0005-0000-0000-0000E0040000}"/>
    <cellStyle name="AeE­ [0]_laroux_2_41-06농림41 2" xfId="559" xr:uid="{00000000-0005-0000-0000-0000E1040000}"/>
    <cellStyle name="ÅëÈ­ [0]_laroux_2_41-06농림41 2" xfId="560" xr:uid="{00000000-0005-0000-0000-0000E2040000}"/>
    <cellStyle name="AeE­ [0]_laroux_2_41-06농림41 3" xfId="561" xr:uid="{00000000-0005-0000-0000-0000E3040000}"/>
    <cellStyle name="ÅëÈ­ [0]_laroux_2_41-06농림41 3" xfId="562" xr:uid="{00000000-0005-0000-0000-0000E4040000}"/>
    <cellStyle name="AeE­ [0]_Sheet1" xfId="563" xr:uid="{00000000-0005-0000-0000-0000E5040000}"/>
    <cellStyle name="ÅëÈ­ [0]_Sheet1" xfId="564" xr:uid="{00000000-0005-0000-0000-0000E6040000}"/>
    <cellStyle name="AeE­ [0]_Sheet1 2" xfId="565" xr:uid="{00000000-0005-0000-0000-0000E7040000}"/>
    <cellStyle name="ÅëÈ­ [0]_Sheet1 2" xfId="566" xr:uid="{00000000-0005-0000-0000-0000E8040000}"/>
    <cellStyle name="AeE­ [0]_Sheet1 3" xfId="567" xr:uid="{00000000-0005-0000-0000-0000E9040000}"/>
    <cellStyle name="ÅëÈ­ [0]_Sheet1 3" xfId="568" xr:uid="{00000000-0005-0000-0000-0000EA040000}"/>
    <cellStyle name="ÅëÈ­_¼ÕÀÍ¿¹»ê" xfId="569" xr:uid="{00000000-0005-0000-0000-0000EB040000}"/>
    <cellStyle name="AeE­_¼OAI¿¹≫e" xfId="570" xr:uid="{00000000-0005-0000-0000-0000EC040000}"/>
    <cellStyle name="ÅëÈ­_ÀÎ°Çºñ,¿ÜÁÖºñ" xfId="571" xr:uid="{00000000-0005-0000-0000-0000ED040000}"/>
    <cellStyle name="AeE­_AI°Cºn,μμ±Þºn" xfId="572" xr:uid="{00000000-0005-0000-0000-0000EE040000}"/>
    <cellStyle name="ÅëÈ­_laroux" xfId="573" xr:uid="{00000000-0005-0000-0000-0000EF040000}"/>
    <cellStyle name="AeE­_laroux_1" xfId="574" xr:uid="{00000000-0005-0000-0000-0000F0040000}"/>
    <cellStyle name="ÅëÈ­_laroux_1" xfId="575" xr:uid="{00000000-0005-0000-0000-0000F1040000}"/>
    <cellStyle name="AeE­_laroux_1 2" xfId="576" xr:uid="{00000000-0005-0000-0000-0000F2040000}"/>
    <cellStyle name="ÅëÈ­_laroux_1 2" xfId="577" xr:uid="{00000000-0005-0000-0000-0000F3040000}"/>
    <cellStyle name="AeE­_laroux_1 3" xfId="578" xr:uid="{00000000-0005-0000-0000-0000F4040000}"/>
    <cellStyle name="ÅëÈ­_laroux_1 3" xfId="579" xr:uid="{00000000-0005-0000-0000-0000F5040000}"/>
    <cellStyle name="AeE­_laroux_2" xfId="580" xr:uid="{00000000-0005-0000-0000-0000F6040000}"/>
    <cellStyle name="ÅëÈ­_laroux_2" xfId="581" xr:uid="{00000000-0005-0000-0000-0000F7040000}"/>
    <cellStyle name="AeE­_laroux_2 2" xfId="582" xr:uid="{00000000-0005-0000-0000-0000F8040000}"/>
    <cellStyle name="ÅëÈ­_laroux_2 2" xfId="583" xr:uid="{00000000-0005-0000-0000-0000F9040000}"/>
    <cellStyle name="AeE­_laroux_2 3" xfId="584" xr:uid="{00000000-0005-0000-0000-0000FA040000}"/>
    <cellStyle name="ÅëÈ­_laroux_2 3" xfId="585" xr:uid="{00000000-0005-0000-0000-0000FB040000}"/>
    <cellStyle name="AeE­_laroux_2_41-06농림16" xfId="586" xr:uid="{00000000-0005-0000-0000-0000FC040000}"/>
    <cellStyle name="ÅëÈ­_laroux_2_41-06농림16" xfId="587" xr:uid="{00000000-0005-0000-0000-0000FD040000}"/>
    <cellStyle name="AeE­_laroux_2_41-06농림16 2" xfId="588" xr:uid="{00000000-0005-0000-0000-0000FE040000}"/>
    <cellStyle name="ÅëÈ­_laroux_2_41-06농림16 2" xfId="589" xr:uid="{00000000-0005-0000-0000-0000FF040000}"/>
    <cellStyle name="AeE­_laroux_2_41-06농림16 3" xfId="590" xr:uid="{00000000-0005-0000-0000-000000050000}"/>
    <cellStyle name="ÅëÈ­_laroux_2_41-06농림16 3" xfId="591" xr:uid="{00000000-0005-0000-0000-000001050000}"/>
    <cellStyle name="AeE­_laroux_2_41-06농림41" xfId="592" xr:uid="{00000000-0005-0000-0000-000002050000}"/>
    <cellStyle name="ÅëÈ­_laroux_2_41-06농림41" xfId="593" xr:uid="{00000000-0005-0000-0000-000003050000}"/>
    <cellStyle name="AeE­_laroux_2_41-06농림41 2" xfId="594" xr:uid="{00000000-0005-0000-0000-000004050000}"/>
    <cellStyle name="ÅëÈ­_laroux_2_41-06농림41 2" xfId="595" xr:uid="{00000000-0005-0000-0000-000005050000}"/>
    <cellStyle name="AeE­_laroux_2_41-06농림41 3" xfId="596" xr:uid="{00000000-0005-0000-0000-000006050000}"/>
    <cellStyle name="ÅëÈ­_laroux_2_41-06농림41 3" xfId="597" xr:uid="{00000000-0005-0000-0000-000007050000}"/>
    <cellStyle name="AeE­_Sheet1" xfId="598" xr:uid="{00000000-0005-0000-0000-000008050000}"/>
    <cellStyle name="ÅëÈ­_Sheet1" xfId="599" xr:uid="{00000000-0005-0000-0000-000009050000}"/>
    <cellStyle name="AeE­_Sheet1 2" xfId="600" xr:uid="{00000000-0005-0000-0000-00000A050000}"/>
    <cellStyle name="ÅëÈ­_Sheet1 2" xfId="601" xr:uid="{00000000-0005-0000-0000-00000B050000}"/>
    <cellStyle name="AeE­_Sheet1 3" xfId="602" xr:uid="{00000000-0005-0000-0000-00000C050000}"/>
    <cellStyle name="ÅëÈ­_Sheet1 3" xfId="603" xr:uid="{00000000-0005-0000-0000-00000D050000}"/>
    <cellStyle name="AeE­_Sheet1_41-06농림16" xfId="604" xr:uid="{00000000-0005-0000-0000-00000E050000}"/>
    <cellStyle name="ÅëÈ­_Sheet1_41-06농림16" xfId="605" xr:uid="{00000000-0005-0000-0000-00000F050000}"/>
    <cellStyle name="AeE­_Sheet1_41-06농림16 2" xfId="606" xr:uid="{00000000-0005-0000-0000-000010050000}"/>
    <cellStyle name="ÅëÈ­_Sheet1_41-06농림16 2" xfId="607" xr:uid="{00000000-0005-0000-0000-000011050000}"/>
    <cellStyle name="AeE­_Sheet1_41-06농림16 3" xfId="608" xr:uid="{00000000-0005-0000-0000-000012050000}"/>
    <cellStyle name="ÅëÈ­_Sheet1_41-06농림16 3" xfId="609" xr:uid="{00000000-0005-0000-0000-000013050000}"/>
    <cellStyle name="AeE­_Sheet1_41-06농림41" xfId="610" xr:uid="{00000000-0005-0000-0000-000014050000}"/>
    <cellStyle name="ÅëÈ­_Sheet1_41-06농림41" xfId="611" xr:uid="{00000000-0005-0000-0000-000015050000}"/>
    <cellStyle name="AeE­_Sheet1_41-06농림41 2" xfId="612" xr:uid="{00000000-0005-0000-0000-000016050000}"/>
    <cellStyle name="ÅëÈ­_Sheet1_41-06농림41 2" xfId="613" xr:uid="{00000000-0005-0000-0000-000017050000}"/>
    <cellStyle name="AeE­_Sheet1_41-06농림41 3" xfId="614" xr:uid="{00000000-0005-0000-0000-000018050000}"/>
    <cellStyle name="ÅëÈ­_Sheet1_41-06농림41 3" xfId="615" xr:uid="{00000000-0005-0000-0000-000019050000}"/>
    <cellStyle name="ÄÞ¸¶ [0]_¼ÕÀÍ¿¹»ê" xfId="616" xr:uid="{00000000-0005-0000-0000-00001A050000}"/>
    <cellStyle name="AÞ¸¶ [0]_¼OAI¿¹≫e" xfId="617" xr:uid="{00000000-0005-0000-0000-00001B050000}"/>
    <cellStyle name="ÄÞ¸¶ [0]_ÀÎ°Çºñ,¿ÜÁÖºñ" xfId="618" xr:uid="{00000000-0005-0000-0000-00001C050000}"/>
    <cellStyle name="AÞ¸¶ [0]_AI°Cºn,μμ±Þºn" xfId="619" xr:uid="{00000000-0005-0000-0000-00001D050000}"/>
    <cellStyle name="ÄÞ¸¶ [0]_laroux" xfId="620" xr:uid="{00000000-0005-0000-0000-00001E050000}"/>
    <cellStyle name="AÞ¸¶ [0]_laroux_1" xfId="621" xr:uid="{00000000-0005-0000-0000-00001F050000}"/>
    <cellStyle name="ÄÞ¸¶ [0]_laroux_1" xfId="622" xr:uid="{00000000-0005-0000-0000-000020050000}"/>
    <cellStyle name="AÞ¸¶ [0]_laroux_1 2" xfId="623" xr:uid="{00000000-0005-0000-0000-000021050000}"/>
    <cellStyle name="ÄÞ¸¶ [0]_laroux_1 2" xfId="624" xr:uid="{00000000-0005-0000-0000-000022050000}"/>
    <cellStyle name="AÞ¸¶ [0]_laroux_1 3" xfId="625" xr:uid="{00000000-0005-0000-0000-000023050000}"/>
    <cellStyle name="ÄÞ¸¶ [0]_laroux_1 3" xfId="626" xr:uid="{00000000-0005-0000-0000-000024050000}"/>
    <cellStyle name="AÞ¸¶ [0]_Sheet1" xfId="627" xr:uid="{00000000-0005-0000-0000-000025050000}"/>
    <cellStyle name="ÄÞ¸¶ [0]_Sheet1" xfId="628" xr:uid="{00000000-0005-0000-0000-000026050000}"/>
    <cellStyle name="AÞ¸¶ [0]_Sheet1 2" xfId="629" xr:uid="{00000000-0005-0000-0000-000027050000}"/>
    <cellStyle name="ÄÞ¸¶ [0]_Sheet1 2" xfId="630" xr:uid="{00000000-0005-0000-0000-000028050000}"/>
    <cellStyle name="AÞ¸¶ [0]_Sheet1 3" xfId="631" xr:uid="{00000000-0005-0000-0000-000029050000}"/>
    <cellStyle name="ÄÞ¸¶ [0]_Sheet1 3" xfId="632" xr:uid="{00000000-0005-0000-0000-00002A050000}"/>
    <cellStyle name="ÄÞ¸¶_¼ÕÀÍ¿¹»ê" xfId="633" xr:uid="{00000000-0005-0000-0000-00002B050000}"/>
    <cellStyle name="AÞ¸¶_¼OAI¿¹≫e" xfId="634" xr:uid="{00000000-0005-0000-0000-00002C050000}"/>
    <cellStyle name="ÄÞ¸¶_ÀÎ°Çºñ,¿ÜÁÖºñ" xfId="635" xr:uid="{00000000-0005-0000-0000-00002D050000}"/>
    <cellStyle name="AÞ¸¶_AI°Cºn,μμ±Þºn" xfId="636" xr:uid="{00000000-0005-0000-0000-00002E050000}"/>
    <cellStyle name="ÄÞ¸¶_laroux" xfId="637" xr:uid="{00000000-0005-0000-0000-00002F050000}"/>
    <cellStyle name="AÞ¸¶_laroux_1" xfId="638" xr:uid="{00000000-0005-0000-0000-000030050000}"/>
    <cellStyle name="ÄÞ¸¶_laroux_1" xfId="639" xr:uid="{00000000-0005-0000-0000-000031050000}"/>
    <cellStyle name="AÞ¸¶_laroux_1 2" xfId="640" xr:uid="{00000000-0005-0000-0000-000032050000}"/>
    <cellStyle name="ÄÞ¸¶_laroux_1 2" xfId="641" xr:uid="{00000000-0005-0000-0000-000033050000}"/>
    <cellStyle name="AÞ¸¶_laroux_1 3" xfId="642" xr:uid="{00000000-0005-0000-0000-000034050000}"/>
    <cellStyle name="ÄÞ¸¶_laroux_1 3" xfId="643" xr:uid="{00000000-0005-0000-0000-000035050000}"/>
    <cellStyle name="AÞ¸¶_Sheet1" xfId="644" xr:uid="{00000000-0005-0000-0000-000036050000}"/>
    <cellStyle name="ÄÞ¸¶_Sheet1" xfId="645" xr:uid="{00000000-0005-0000-0000-000037050000}"/>
    <cellStyle name="AÞ¸¶_Sheet1 2" xfId="646" xr:uid="{00000000-0005-0000-0000-000038050000}"/>
    <cellStyle name="ÄÞ¸¶_Sheet1 2" xfId="647" xr:uid="{00000000-0005-0000-0000-000039050000}"/>
    <cellStyle name="AÞ¸¶_Sheet1 3" xfId="648" xr:uid="{00000000-0005-0000-0000-00003A050000}"/>
    <cellStyle name="ÄÞ¸¶_Sheet1 3" xfId="649" xr:uid="{00000000-0005-0000-0000-00003B050000}"/>
    <cellStyle name="AÞ¸¶_Sheet1_41-06농림16" xfId="650" xr:uid="{00000000-0005-0000-0000-00003C050000}"/>
    <cellStyle name="ÄÞ¸¶_Sheet1_41-06농림16" xfId="651" xr:uid="{00000000-0005-0000-0000-00003D050000}"/>
    <cellStyle name="AÞ¸¶_Sheet1_41-06농림16 2" xfId="652" xr:uid="{00000000-0005-0000-0000-00003E050000}"/>
    <cellStyle name="ÄÞ¸¶_Sheet1_41-06농림16 2" xfId="653" xr:uid="{00000000-0005-0000-0000-00003F050000}"/>
    <cellStyle name="AÞ¸¶_Sheet1_41-06농림16 3" xfId="654" xr:uid="{00000000-0005-0000-0000-000040050000}"/>
    <cellStyle name="ÄÞ¸¶_Sheet1_41-06농림16 3" xfId="655" xr:uid="{00000000-0005-0000-0000-000041050000}"/>
    <cellStyle name="AÞ¸¶_Sheet1_41-06농림41" xfId="656" xr:uid="{00000000-0005-0000-0000-000042050000}"/>
    <cellStyle name="ÄÞ¸¶_Sheet1_41-06농림41" xfId="657" xr:uid="{00000000-0005-0000-0000-000043050000}"/>
    <cellStyle name="AÞ¸¶_Sheet1_41-06농림41 2" xfId="658" xr:uid="{00000000-0005-0000-0000-000044050000}"/>
    <cellStyle name="ÄÞ¸¶_Sheet1_41-06농림41 2" xfId="659" xr:uid="{00000000-0005-0000-0000-000045050000}"/>
    <cellStyle name="AÞ¸¶_Sheet1_41-06농림41 3" xfId="660" xr:uid="{00000000-0005-0000-0000-000046050000}"/>
    <cellStyle name="ÄÞ¸¶_Sheet1_41-06농림41 3" xfId="661" xr:uid="{00000000-0005-0000-0000-000047050000}"/>
    <cellStyle name="Bad" xfId="662" xr:uid="{00000000-0005-0000-0000-000048050000}"/>
    <cellStyle name="Bad 2" xfId="663" xr:uid="{00000000-0005-0000-0000-000049050000}"/>
    <cellStyle name="Bad 2 2" xfId="664" xr:uid="{00000000-0005-0000-0000-00004A050000}"/>
    <cellStyle name="Bad 3" xfId="665" xr:uid="{00000000-0005-0000-0000-00004B050000}"/>
    <cellStyle name="Bad_1) 도로시설물" xfId="666" xr:uid="{00000000-0005-0000-0000-00004C050000}"/>
    <cellStyle name="C￥AØ_¿μ¾÷CoE² " xfId="667" xr:uid="{00000000-0005-0000-0000-00004D050000}"/>
    <cellStyle name="Ç¥ÁØ_¼ÕÀÍ¿¹»ê" xfId="668" xr:uid="{00000000-0005-0000-0000-00004E050000}"/>
    <cellStyle name="C￥AØ_¼OAI¿¹≫e" xfId="669" xr:uid="{00000000-0005-0000-0000-00004F050000}"/>
    <cellStyle name="Ç¥ÁØ_ÀÎ°Çºñ,¿ÜÁÖºñ" xfId="670" xr:uid="{00000000-0005-0000-0000-000050050000}"/>
    <cellStyle name="C￥AØ_AI°Cºn,μμ±Þºn" xfId="671" xr:uid="{00000000-0005-0000-0000-000051050000}"/>
    <cellStyle name="Ç¥ÁØ_laroux" xfId="672" xr:uid="{00000000-0005-0000-0000-000052050000}"/>
    <cellStyle name="C￥AØ_laroux_1" xfId="673" xr:uid="{00000000-0005-0000-0000-000053050000}"/>
    <cellStyle name="Ç¥ÁØ_laroux_1" xfId="674" xr:uid="{00000000-0005-0000-0000-000054050000}"/>
    <cellStyle name="C￥AØ_laroux_1 2" xfId="675" xr:uid="{00000000-0005-0000-0000-000055050000}"/>
    <cellStyle name="Ç¥ÁØ_laroux_1 2" xfId="676" xr:uid="{00000000-0005-0000-0000-000056050000}"/>
    <cellStyle name="C￥AØ_laroux_1 3" xfId="677" xr:uid="{00000000-0005-0000-0000-000057050000}"/>
    <cellStyle name="Ç¥ÁØ_laroux_1 3" xfId="678" xr:uid="{00000000-0005-0000-0000-000058050000}"/>
    <cellStyle name="C￥AØ_laroux_1_Sheet1" xfId="679" xr:uid="{00000000-0005-0000-0000-000059050000}"/>
    <cellStyle name="Ç¥ÁØ_laroux_1_Sheet1" xfId="680" xr:uid="{00000000-0005-0000-0000-00005A050000}"/>
    <cellStyle name="C￥AØ_laroux_1_Sheet1 2" xfId="681" xr:uid="{00000000-0005-0000-0000-00005B050000}"/>
    <cellStyle name="Ç¥ÁØ_laroux_1_Sheet1 2" xfId="682" xr:uid="{00000000-0005-0000-0000-00005C050000}"/>
    <cellStyle name="C￥AØ_laroux_1_Sheet1 3" xfId="683" xr:uid="{00000000-0005-0000-0000-00005D050000}"/>
    <cellStyle name="Ç¥ÁØ_laroux_1_Sheet1 3" xfId="684" xr:uid="{00000000-0005-0000-0000-00005E050000}"/>
    <cellStyle name="C￥AØ_laroux_2" xfId="685" xr:uid="{00000000-0005-0000-0000-00005F050000}"/>
    <cellStyle name="Ç¥ÁØ_laroux_2" xfId="686" xr:uid="{00000000-0005-0000-0000-000060050000}"/>
    <cellStyle name="C￥AØ_laroux_2 2" xfId="687" xr:uid="{00000000-0005-0000-0000-000061050000}"/>
    <cellStyle name="Ç¥ÁØ_laroux_2 2" xfId="688" xr:uid="{00000000-0005-0000-0000-000062050000}"/>
    <cellStyle name="C￥AØ_laroux_2 3" xfId="689" xr:uid="{00000000-0005-0000-0000-000063050000}"/>
    <cellStyle name="Ç¥ÁØ_laroux_2 3" xfId="690" xr:uid="{00000000-0005-0000-0000-000064050000}"/>
    <cellStyle name="C￥AØ_laroux_2_Sheet1" xfId="691" xr:uid="{00000000-0005-0000-0000-000065050000}"/>
    <cellStyle name="Ç¥ÁØ_laroux_2_Sheet1" xfId="692" xr:uid="{00000000-0005-0000-0000-000066050000}"/>
    <cellStyle name="C￥AØ_laroux_2_Sheet1 2" xfId="693" xr:uid="{00000000-0005-0000-0000-000067050000}"/>
    <cellStyle name="Ç¥ÁØ_laroux_2_Sheet1 2" xfId="694" xr:uid="{00000000-0005-0000-0000-000068050000}"/>
    <cellStyle name="C￥AØ_laroux_2_Sheet1 3" xfId="695" xr:uid="{00000000-0005-0000-0000-000069050000}"/>
    <cellStyle name="Ç¥ÁØ_laroux_2_Sheet1 3" xfId="696" xr:uid="{00000000-0005-0000-0000-00006A050000}"/>
    <cellStyle name="C￥AØ_laroux_3" xfId="697" xr:uid="{00000000-0005-0000-0000-00006B050000}"/>
    <cellStyle name="Ç¥ÁØ_laroux_3" xfId="698" xr:uid="{00000000-0005-0000-0000-00006C050000}"/>
    <cellStyle name="C￥AØ_laroux_3 2" xfId="699" xr:uid="{00000000-0005-0000-0000-00006D050000}"/>
    <cellStyle name="Ç¥ÁØ_laroux_3 2" xfId="700" xr:uid="{00000000-0005-0000-0000-00006E050000}"/>
    <cellStyle name="C￥AØ_laroux_3 3" xfId="701" xr:uid="{00000000-0005-0000-0000-00006F050000}"/>
    <cellStyle name="Ç¥ÁØ_laroux_3 3" xfId="702" xr:uid="{00000000-0005-0000-0000-000070050000}"/>
    <cellStyle name="C￥AØ_laroux_4" xfId="703" xr:uid="{00000000-0005-0000-0000-000071050000}"/>
    <cellStyle name="Ç¥ÁØ_laroux_4" xfId="704" xr:uid="{00000000-0005-0000-0000-000072050000}"/>
    <cellStyle name="C￥AØ_laroux_4 2" xfId="705" xr:uid="{00000000-0005-0000-0000-000073050000}"/>
    <cellStyle name="Ç¥ÁØ_laroux_4 2" xfId="706" xr:uid="{00000000-0005-0000-0000-000074050000}"/>
    <cellStyle name="C￥AØ_laroux_4 3" xfId="707" xr:uid="{00000000-0005-0000-0000-000075050000}"/>
    <cellStyle name="Ç¥ÁØ_laroux_4 3" xfId="708" xr:uid="{00000000-0005-0000-0000-000076050000}"/>
    <cellStyle name="C￥AØ_laroux_Sheet1" xfId="709" xr:uid="{00000000-0005-0000-0000-000077050000}"/>
    <cellStyle name="Ç¥ÁØ_laroux_Sheet1" xfId="710" xr:uid="{00000000-0005-0000-0000-000078050000}"/>
    <cellStyle name="C￥AØ_laroux_Sheet1 2" xfId="711" xr:uid="{00000000-0005-0000-0000-000079050000}"/>
    <cellStyle name="Ç¥ÁØ_laroux_Sheet1 2" xfId="712" xr:uid="{00000000-0005-0000-0000-00007A050000}"/>
    <cellStyle name="C￥AØ_laroux_Sheet1 3" xfId="713" xr:uid="{00000000-0005-0000-0000-00007B050000}"/>
    <cellStyle name="Ç¥ÁØ_laroux_Sheet1 3" xfId="714" xr:uid="{00000000-0005-0000-0000-00007C050000}"/>
    <cellStyle name="C￥AØ_Sheet1" xfId="715" xr:uid="{00000000-0005-0000-0000-00007D050000}"/>
    <cellStyle name="Ç¥ÁØ_Sheet1" xfId="716" xr:uid="{00000000-0005-0000-0000-00007E050000}"/>
    <cellStyle name="C￥AØ_Sheet1 2" xfId="717" xr:uid="{00000000-0005-0000-0000-00007F050000}"/>
    <cellStyle name="Ç¥ÁØ_Sheet1 2" xfId="718" xr:uid="{00000000-0005-0000-0000-000080050000}"/>
    <cellStyle name="C￥AØ_Sheet1 3" xfId="719" xr:uid="{00000000-0005-0000-0000-000081050000}"/>
    <cellStyle name="Ç¥ÁØ_Sheet1 3" xfId="720" xr:uid="{00000000-0005-0000-0000-000082050000}"/>
    <cellStyle name="Calc Currency (0)" xfId="721" xr:uid="{00000000-0005-0000-0000-000083050000}"/>
    <cellStyle name="Calc Currency (0) 2" xfId="722" xr:uid="{00000000-0005-0000-0000-000084050000}"/>
    <cellStyle name="Calculation" xfId="723" xr:uid="{00000000-0005-0000-0000-000085050000}"/>
    <cellStyle name="Calculation 2" xfId="724" xr:uid="{00000000-0005-0000-0000-000086050000}"/>
    <cellStyle name="Calculation 2 2" xfId="725" xr:uid="{00000000-0005-0000-0000-000087050000}"/>
    <cellStyle name="Calculation 3" xfId="726" xr:uid="{00000000-0005-0000-0000-000088050000}"/>
    <cellStyle name="Calculation_1) 도로시설물" xfId="727" xr:uid="{00000000-0005-0000-0000-000089050000}"/>
    <cellStyle name="category" xfId="728" xr:uid="{00000000-0005-0000-0000-00008A050000}"/>
    <cellStyle name="category 2" xfId="729" xr:uid="{00000000-0005-0000-0000-00008B050000}"/>
    <cellStyle name="Check Cell" xfId="730" xr:uid="{00000000-0005-0000-0000-00008C050000}"/>
    <cellStyle name="Check Cell 2" xfId="731" xr:uid="{00000000-0005-0000-0000-00008D050000}"/>
    <cellStyle name="Check Cell 2 2" xfId="732" xr:uid="{00000000-0005-0000-0000-00008E050000}"/>
    <cellStyle name="Check Cell 3" xfId="733" xr:uid="{00000000-0005-0000-0000-00008F050000}"/>
    <cellStyle name="Check Cell_1) 도로시설물" xfId="734" xr:uid="{00000000-0005-0000-0000-000090050000}"/>
    <cellStyle name="Comma [0]_ SG&amp;A Bridge " xfId="735" xr:uid="{00000000-0005-0000-0000-000091050000}"/>
    <cellStyle name="comma zerodec" xfId="736" xr:uid="{00000000-0005-0000-0000-000092050000}"/>
    <cellStyle name="comma zerodec 2" xfId="737" xr:uid="{00000000-0005-0000-0000-000093050000}"/>
    <cellStyle name="Comma_ SG&amp;A Bridge " xfId="738" xr:uid="{00000000-0005-0000-0000-000094050000}"/>
    <cellStyle name="Copied" xfId="739" xr:uid="{00000000-0005-0000-0000-000095050000}"/>
    <cellStyle name="Copied 2" xfId="740" xr:uid="{00000000-0005-0000-0000-000096050000}"/>
    <cellStyle name="Currency [0]_ SG&amp;A Bridge " xfId="741" xr:uid="{00000000-0005-0000-0000-000097050000}"/>
    <cellStyle name="Currency_ SG&amp;A Bridge " xfId="742" xr:uid="{00000000-0005-0000-0000-000098050000}"/>
    <cellStyle name="Currency1" xfId="743" xr:uid="{00000000-0005-0000-0000-000099050000}"/>
    <cellStyle name="Currency1 2" xfId="744" xr:uid="{00000000-0005-0000-0000-00009A050000}"/>
    <cellStyle name="Date" xfId="745" xr:uid="{00000000-0005-0000-0000-00009B050000}"/>
    <cellStyle name="Date 2" xfId="746" xr:uid="{00000000-0005-0000-0000-00009C050000}"/>
    <cellStyle name="Dezimal [0]_laroux" xfId="747" xr:uid="{00000000-0005-0000-0000-00009D050000}"/>
    <cellStyle name="Dezimal_laroux" xfId="748" xr:uid="{00000000-0005-0000-0000-00009E050000}"/>
    <cellStyle name="Dollar (zero dec)" xfId="749" xr:uid="{00000000-0005-0000-0000-00009F050000}"/>
    <cellStyle name="Dollar (zero dec) 2" xfId="750" xr:uid="{00000000-0005-0000-0000-0000A0050000}"/>
    <cellStyle name="Entered" xfId="751" xr:uid="{00000000-0005-0000-0000-0000A1050000}"/>
    <cellStyle name="Entered 2" xfId="752" xr:uid="{00000000-0005-0000-0000-0000A2050000}"/>
    <cellStyle name="Explanatory Text" xfId="753" xr:uid="{00000000-0005-0000-0000-0000A3050000}"/>
    <cellStyle name="Explanatory Text 2" xfId="754" xr:uid="{00000000-0005-0000-0000-0000A4050000}"/>
    <cellStyle name="Explanatory Text 2 2" xfId="755" xr:uid="{00000000-0005-0000-0000-0000A5050000}"/>
    <cellStyle name="Explanatory Text 3" xfId="756" xr:uid="{00000000-0005-0000-0000-0000A6050000}"/>
    <cellStyle name="Explanatory Text_1) 도로시설물" xfId="757" xr:uid="{00000000-0005-0000-0000-0000A7050000}"/>
    <cellStyle name="Fixed" xfId="758" xr:uid="{00000000-0005-0000-0000-0000A8050000}"/>
    <cellStyle name="Fixed 2" xfId="759" xr:uid="{00000000-0005-0000-0000-0000A9050000}"/>
    <cellStyle name="Good" xfId="760" xr:uid="{00000000-0005-0000-0000-0000AA050000}"/>
    <cellStyle name="Good 2" xfId="761" xr:uid="{00000000-0005-0000-0000-0000AB050000}"/>
    <cellStyle name="Good 2 2" xfId="762" xr:uid="{00000000-0005-0000-0000-0000AC050000}"/>
    <cellStyle name="Good 3" xfId="763" xr:uid="{00000000-0005-0000-0000-0000AD050000}"/>
    <cellStyle name="Good_1) 도로시설물" xfId="764" xr:uid="{00000000-0005-0000-0000-0000AE050000}"/>
    <cellStyle name="Grey" xfId="765" xr:uid="{00000000-0005-0000-0000-0000AF050000}"/>
    <cellStyle name="Grey 2" xfId="766" xr:uid="{00000000-0005-0000-0000-0000B0050000}"/>
    <cellStyle name="HEADER" xfId="767" xr:uid="{00000000-0005-0000-0000-0000B1050000}"/>
    <cellStyle name="HEADER 2" xfId="768" xr:uid="{00000000-0005-0000-0000-0000B2050000}"/>
    <cellStyle name="Header1" xfId="769" xr:uid="{00000000-0005-0000-0000-0000B3050000}"/>
    <cellStyle name="Header1 2" xfId="770" xr:uid="{00000000-0005-0000-0000-0000B4050000}"/>
    <cellStyle name="Header2" xfId="771" xr:uid="{00000000-0005-0000-0000-0000B5050000}"/>
    <cellStyle name="Header2 2" xfId="772" xr:uid="{00000000-0005-0000-0000-0000B6050000}"/>
    <cellStyle name="Heading 1" xfId="773" xr:uid="{00000000-0005-0000-0000-0000B7050000}"/>
    <cellStyle name="Heading 1 2" xfId="774" xr:uid="{00000000-0005-0000-0000-0000B8050000}"/>
    <cellStyle name="Heading 1 2 2" xfId="775" xr:uid="{00000000-0005-0000-0000-0000B9050000}"/>
    <cellStyle name="Heading 1 3" xfId="776" xr:uid="{00000000-0005-0000-0000-0000BA050000}"/>
    <cellStyle name="Heading 1_1) 도로시설물" xfId="777" xr:uid="{00000000-0005-0000-0000-0000BB050000}"/>
    <cellStyle name="Heading 2" xfId="778" xr:uid="{00000000-0005-0000-0000-0000BC050000}"/>
    <cellStyle name="Heading 2 2" xfId="779" xr:uid="{00000000-0005-0000-0000-0000BD050000}"/>
    <cellStyle name="Heading 2 2 2" xfId="780" xr:uid="{00000000-0005-0000-0000-0000BE050000}"/>
    <cellStyle name="Heading 2 3" xfId="781" xr:uid="{00000000-0005-0000-0000-0000BF050000}"/>
    <cellStyle name="Heading 2_1) 도로시설물" xfId="782" xr:uid="{00000000-0005-0000-0000-0000C0050000}"/>
    <cellStyle name="Heading 3" xfId="783" xr:uid="{00000000-0005-0000-0000-0000C1050000}"/>
    <cellStyle name="Heading 3 2" xfId="784" xr:uid="{00000000-0005-0000-0000-0000C2050000}"/>
    <cellStyle name="Heading 3 2 2" xfId="785" xr:uid="{00000000-0005-0000-0000-0000C3050000}"/>
    <cellStyle name="Heading 3 3" xfId="786" xr:uid="{00000000-0005-0000-0000-0000C4050000}"/>
    <cellStyle name="Heading 3_1) 도로시설물" xfId="787" xr:uid="{00000000-0005-0000-0000-0000C5050000}"/>
    <cellStyle name="Heading 4" xfId="788" xr:uid="{00000000-0005-0000-0000-0000C6050000}"/>
    <cellStyle name="Heading 4 2" xfId="789" xr:uid="{00000000-0005-0000-0000-0000C7050000}"/>
    <cellStyle name="Heading 4 2 2" xfId="790" xr:uid="{00000000-0005-0000-0000-0000C8050000}"/>
    <cellStyle name="Heading 4 3" xfId="791" xr:uid="{00000000-0005-0000-0000-0000C9050000}"/>
    <cellStyle name="Heading 4_1) 도로시설물" xfId="792" xr:uid="{00000000-0005-0000-0000-0000CA050000}"/>
    <cellStyle name="HEADING1" xfId="793" xr:uid="{00000000-0005-0000-0000-0000CB050000}"/>
    <cellStyle name="HEADING1 2" xfId="794" xr:uid="{00000000-0005-0000-0000-0000CC050000}"/>
    <cellStyle name="HEADING2" xfId="795" xr:uid="{00000000-0005-0000-0000-0000CD050000}"/>
    <cellStyle name="HEADING2 2" xfId="796" xr:uid="{00000000-0005-0000-0000-0000CE050000}"/>
    <cellStyle name="Input" xfId="797" xr:uid="{00000000-0005-0000-0000-0000CF050000}"/>
    <cellStyle name="Input [yellow]" xfId="798" xr:uid="{00000000-0005-0000-0000-0000D0050000}"/>
    <cellStyle name="Input [yellow] 2" xfId="799" xr:uid="{00000000-0005-0000-0000-0000D1050000}"/>
    <cellStyle name="Input 10" xfId="800" xr:uid="{00000000-0005-0000-0000-0000D2050000}"/>
    <cellStyle name="Input 10 2" xfId="801" xr:uid="{00000000-0005-0000-0000-0000D3050000}"/>
    <cellStyle name="Input 11" xfId="802" xr:uid="{00000000-0005-0000-0000-0000D4050000}"/>
    <cellStyle name="Input 11 2" xfId="803" xr:uid="{00000000-0005-0000-0000-0000D5050000}"/>
    <cellStyle name="Input 12" xfId="804" xr:uid="{00000000-0005-0000-0000-0000D6050000}"/>
    <cellStyle name="Input 12 2" xfId="805" xr:uid="{00000000-0005-0000-0000-0000D7050000}"/>
    <cellStyle name="Input 13" xfId="806" xr:uid="{00000000-0005-0000-0000-0000D8050000}"/>
    <cellStyle name="Input 14" xfId="807" xr:uid="{00000000-0005-0000-0000-0000D9050000}"/>
    <cellStyle name="Input 2" xfId="808" xr:uid="{00000000-0005-0000-0000-0000DA050000}"/>
    <cellStyle name="Input 2 2" xfId="809" xr:uid="{00000000-0005-0000-0000-0000DB050000}"/>
    <cellStyle name="Input 3" xfId="810" xr:uid="{00000000-0005-0000-0000-0000DC050000}"/>
    <cellStyle name="Input 3 2" xfId="811" xr:uid="{00000000-0005-0000-0000-0000DD050000}"/>
    <cellStyle name="Input 4" xfId="812" xr:uid="{00000000-0005-0000-0000-0000DE050000}"/>
    <cellStyle name="Input 4 2" xfId="813" xr:uid="{00000000-0005-0000-0000-0000DF050000}"/>
    <cellStyle name="Input 5" xfId="814" xr:uid="{00000000-0005-0000-0000-0000E0050000}"/>
    <cellStyle name="Input 5 2" xfId="815" xr:uid="{00000000-0005-0000-0000-0000E1050000}"/>
    <cellStyle name="Input 6" xfId="816" xr:uid="{00000000-0005-0000-0000-0000E2050000}"/>
    <cellStyle name="Input 6 2" xfId="817" xr:uid="{00000000-0005-0000-0000-0000E3050000}"/>
    <cellStyle name="Input 7" xfId="818" xr:uid="{00000000-0005-0000-0000-0000E4050000}"/>
    <cellStyle name="Input 7 2" xfId="819" xr:uid="{00000000-0005-0000-0000-0000E5050000}"/>
    <cellStyle name="Input 8" xfId="820" xr:uid="{00000000-0005-0000-0000-0000E6050000}"/>
    <cellStyle name="Input 8 2" xfId="821" xr:uid="{00000000-0005-0000-0000-0000E7050000}"/>
    <cellStyle name="Input 9" xfId="822" xr:uid="{00000000-0005-0000-0000-0000E8050000}"/>
    <cellStyle name="Input 9 2" xfId="823" xr:uid="{00000000-0005-0000-0000-0000E9050000}"/>
    <cellStyle name="Input_1) 도로시설물" xfId="824" xr:uid="{00000000-0005-0000-0000-0000EA050000}"/>
    <cellStyle name="Linked Cell" xfId="825" xr:uid="{00000000-0005-0000-0000-0000EB050000}"/>
    <cellStyle name="Linked Cell 2" xfId="826" xr:uid="{00000000-0005-0000-0000-0000EC050000}"/>
    <cellStyle name="Linked Cell 2 2" xfId="827" xr:uid="{00000000-0005-0000-0000-0000ED050000}"/>
    <cellStyle name="Linked Cell 3" xfId="828" xr:uid="{00000000-0005-0000-0000-0000EE050000}"/>
    <cellStyle name="Linked Cell_1) 도로시설물" xfId="829" xr:uid="{00000000-0005-0000-0000-0000EF050000}"/>
    <cellStyle name="Milliers [0]_Arabian Spec" xfId="830" xr:uid="{00000000-0005-0000-0000-0000F0050000}"/>
    <cellStyle name="Milliers_Arabian Spec" xfId="831" xr:uid="{00000000-0005-0000-0000-0000F1050000}"/>
    <cellStyle name="Model" xfId="832" xr:uid="{00000000-0005-0000-0000-0000F2050000}"/>
    <cellStyle name="Model 2" xfId="833" xr:uid="{00000000-0005-0000-0000-0000F3050000}"/>
    <cellStyle name="Mon?aire [0]_Arabian Spec" xfId="834" xr:uid="{00000000-0005-0000-0000-0000F4050000}"/>
    <cellStyle name="Mon?aire_Arabian Spec" xfId="835" xr:uid="{00000000-0005-0000-0000-0000F5050000}"/>
    <cellStyle name="Neutral" xfId="836" xr:uid="{00000000-0005-0000-0000-0000F6050000}"/>
    <cellStyle name="Neutral 2" xfId="837" xr:uid="{00000000-0005-0000-0000-0000F7050000}"/>
    <cellStyle name="Neutral 2 2" xfId="838" xr:uid="{00000000-0005-0000-0000-0000F8050000}"/>
    <cellStyle name="Neutral 3" xfId="839" xr:uid="{00000000-0005-0000-0000-0000F9050000}"/>
    <cellStyle name="Neutral_1) 도로시설물" xfId="840" xr:uid="{00000000-0005-0000-0000-0000FA050000}"/>
    <cellStyle name="Normal - Style1" xfId="841" xr:uid="{00000000-0005-0000-0000-0000FB050000}"/>
    <cellStyle name="Normal - Style1 2" xfId="842" xr:uid="{00000000-0005-0000-0000-0000FC050000}"/>
    <cellStyle name="Normal_ SG&amp;A Bridge " xfId="843" xr:uid="{00000000-0005-0000-0000-0000FD050000}"/>
    <cellStyle name="Note" xfId="844" xr:uid="{00000000-0005-0000-0000-0000FE050000}"/>
    <cellStyle name="Note 2" xfId="845" xr:uid="{00000000-0005-0000-0000-0000FF050000}"/>
    <cellStyle name="Output" xfId="846" xr:uid="{00000000-0005-0000-0000-000000060000}"/>
    <cellStyle name="Output 2" xfId="847" xr:uid="{00000000-0005-0000-0000-000001060000}"/>
    <cellStyle name="Output 2 2" xfId="848" xr:uid="{00000000-0005-0000-0000-000002060000}"/>
    <cellStyle name="Output 3" xfId="849" xr:uid="{00000000-0005-0000-0000-000003060000}"/>
    <cellStyle name="Output_1) 도로시설물" xfId="850" xr:uid="{00000000-0005-0000-0000-000004060000}"/>
    <cellStyle name="Percent [2]" xfId="851" xr:uid="{00000000-0005-0000-0000-000005060000}"/>
    <cellStyle name="Percent [2] 2" xfId="852" xr:uid="{00000000-0005-0000-0000-000006060000}"/>
    <cellStyle name="Standard_laroux" xfId="853" xr:uid="{00000000-0005-0000-0000-000007060000}"/>
    <cellStyle name="subhead" xfId="854" xr:uid="{00000000-0005-0000-0000-000008060000}"/>
    <cellStyle name="subhead 2" xfId="855" xr:uid="{00000000-0005-0000-0000-000009060000}"/>
    <cellStyle name="Title" xfId="856" xr:uid="{00000000-0005-0000-0000-00000A060000}"/>
    <cellStyle name="Title 2" xfId="857" xr:uid="{00000000-0005-0000-0000-00000B060000}"/>
    <cellStyle name="Title 2 2" xfId="858" xr:uid="{00000000-0005-0000-0000-00000C060000}"/>
    <cellStyle name="Title 3" xfId="859" xr:uid="{00000000-0005-0000-0000-00000D060000}"/>
    <cellStyle name="Title_1) 도로시설물" xfId="860" xr:uid="{00000000-0005-0000-0000-00000E060000}"/>
    <cellStyle name="Total" xfId="861" xr:uid="{00000000-0005-0000-0000-00000F060000}"/>
    <cellStyle name="Total 2" xfId="862" xr:uid="{00000000-0005-0000-0000-000010060000}"/>
    <cellStyle name="Total 2 2" xfId="863" xr:uid="{00000000-0005-0000-0000-000011060000}"/>
    <cellStyle name="Total 3" xfId="864" xr:uid="{00000000-0005-0000-0000-000012060000}"/>
    <cellStyle name="Total_1) 도로시설물" xfId="865" xr:uid="{00000000-0005-0000-0000-000013060000}"/>
    <cellStyle name="W?rung [0]_laroux" xfId="866" xr:uid="{00000000-0005-0000-0000-000014060000}"/>
    <cellStyle name="W?rung_laroux" xfId="867" xr:uid="{00000000-0005-0000-0000-000015060000}"/>
    <cellStyle name="Warning Text" xfId="868" xr:uid="{00000000-0005-0000-0000-000016060000}"/>
    <cellStyle name="Warning Text 2" xfId="869" xr:uid="{00000000-0005-0000-0000-000017060000}"/>
    <cellStyle name="Warning Text 2 2" xfId="870" xr:uid="{00000000-0005-0000-0000-000018060000}"/>
    <cellStyle name="Warning Text 3" xfId="871" xr:uid="{00000000-0005-0000-0000-000019060000}"/>
    <cellStyle name="Warning Text_1) 도로시설물" xfId="872" xr:uid="{00000000-0005-0000-0000-00001A060000}"/>
    <cellStyle name="강조색1 10" xfId="873" xr:uid="{00000000-0005-0000-0000-00001B060000}"/>
    <cellStyle name="강조색1 11" xfId="3323" xr:uid="{00000000-0005-0000-0000-00001C060000}"/>
    <cellStyle name="강조색1 11 2" xfId="3324" xr:uid="{00000000-0005-0000-0000-00001D060000}"/>
    <cellStyle name="강조색1 11 3" xfId="3325" xr:uid="{00000000-0005-0000-0000-00001E060000}"/>
    <cellStyle name="강조색1 11 4" xfId="3326" xr:uid="{00000000-0005-0000-0000-00001F060000}"/>
    <cellStyle name="강조색1 11 5" xfId="3327" xr:uid="{00000000-0005-0000-0000-000020060000}"/>
    <cellStyle name="강조색1 11 6" xfId="3328" xr:uid="{00000000-0005-0000-0000-000021060000}"/>
    <cellStyle name="강조색1 11 7" xfId="3329" xr:uid="{00000000-0005-0000-0000-000022060000}"/>
    <cellStyle name="강조색1 2" xfId="874" xr:uid="{00000000-0005-0000-0000-000023060000}"/>
    <cellStyle name="강조색1 2 2" xfId="875" xr:uid="{00000000-0005-0000-0000-000024060000}"/>
    <cellStyle name="강조색1 2 2 2" xfId="876" xr:uid="{00000000-0005-0000-0000-000025060000}"/>
    <cellStyle name="강조색1 2 2 2 2" xfId="3330" xr:uid="{00000000-0005-0000-0000-000026060000}"/>
    <cellStyle name="강조색1 2 2 2 2 2" xfId="3331" xr:uid="{00000000-0005-0000-0000-000027060000}"/>
    <cellStyle name="강조색1 2 2 2 2 2 2" xfId="3332" xr:uid="{00000000-0005-0000-0000-000028060000}"/>
    <cellStyle name="강조색1 2 2 2 2 2 2 2" xfId="3333" xr:uid="{00000000-0005-0000-0000-000029060000}"/>
    <cellStyle name="강조색1 2 2 2 2 2 2 2 2" xfId="3334" xr:uid="{00000000-0005-0000-0000-00002A060000}"/>
    <cellStyle name="강조색1 2 2 2 2 2 2 2 3" xfId="3335" xr:uid="{00000000-0005-0000-0000-00002B060000}"/>
    <cellStyle name="강조색1 2 2 2 2 2 2 3" xfId="3336" xr:uid="{00000000-0005-0000-0000-00002C060000}"/>
    <cellStyle name="강조색1 2 2 2 2 2 3" xfId="3337" xr:uid="{00000000-0005-0000-0000-00002D060000}"/>
    <cellStyle name="강조색1 2 2 2 2 3" xfId="3338" xr:uid="{00000000-0005-0000-0000-00002E060000}"/>
    <cellStyle name="강조색1 2 2 2 2 4" xfId="3339" xr:uid="{00000000-0005-0000-0000-00002F060000}"/>
    <cellStyle name="강조색1 2 2 2 3" xfId="3340" xr:uid="{00000000-0005-0000-0000-000030060000}"/>
    <cellStyle name="강조색1 2 2 2 4" xfId="3341" xr:uid="{00000000-0005-0000-0000-000031060000}"/>
    <cellStyle name="강조색1 2 2 3" xfId="877" xr:uid="{00000000-0005-0000-0000-000032060000}"/>
    <cellStyle name="강조색1 2 2 4" xfId="3342" xr:uid="{00000000-0005-0000-0000-000033060000}"/>
    <cellStyle name="강조색1 2 2 5" xfId="3343" xr:uid="{00000000-0005-0000-0000-000034060000}"/>
    <cellStyle name="강조색1 2 2 6" xfId="3344" xr:uid="{00000000-0005-0000-0000-000035060000}"/>
    <cellStyle name="강조색1 2 3" xfId="878" xr:uid="{00000000-0005-0000-0000-000036060000}"/>
    <cellStyle name="강조색1 2 3 2" xfId="3345" xr:uid="{00000000-0005-0000-0000-000037060000}"/>
    <cellStyle name="강조색1 2 3 3" xfId="3346" xr:uid="{00000000-0005-0000-0000-000038060000}"/>
    <cellStyle name="강조색1 2 4" xfId="879" xr:uid="{00000000-0005-0000-0000-000039060000}"/>
    <cellStyle name="강조색1 2 5" xfId="3347" xr:uid="{00000000-0005-0000-0000-00003A060000}"/>
    <cellStyle name="강조색1 2_1) 도로시설물" xfId="880" xr:uid="{00000000-0005-0000-0000-00003B060000}"/>
    <cellStyle name="강조색1 3" xfId="881" xr:uid="{00000000-0005-0000-0000-00003C060000}"/>
    <cellStyle name="강조색1 3 2" xfId="882" xr:uid="{00000000-0005-0000-0000-00003D060000}"/>
    <cellStyle name="강조색1 3 2 2" xfId="883" xr:uid="{00000000-0005-0000-0000-00003E060000}"/>
    <cellStyle name="강조색1 3 3" xfId="884" xr:uid="{00000000-0005-0000-0000-00003F060000}"/>
    <cellStyle name="강조색1 4" xfId="885" xr:uid="{00000000-0005-0000-0000-000040060000}"/>
    <cellStyle name="강조색1 4 2" xfId="886" xr:uid="{00000000-0005-0000-0000-000041060000}"/>
    <cellStyle name="강조색1 4 3" xfId="887" xr:uid="{00000000-0005-0000-0000-000042060000}"/>
    <cellStyle name="강조색1 5" xfId="888" xr:uid="{00000000-0005-0000-0000-000043060000}"/>
    <cellStyle name="강조색1 5 2" xfId="889" xr:uid="{00000000-0005-0000-0000-000044060000}"/>
    <cellStyle name="강조색1 6" xfId="890" xr:uid="{00000000-0005-0000-0000-000045060000}"/>
    <cellStyle name="강조색1 6 10" xfId="3348" xr:uid="{00000000-0005-0000-0000-000046060000}"/>
    <cellStyle name="강조색1 6 2" xfId="3349" xr:uid="{00000000-0005-0000-0000-000047060000}"/>
    <cellStyle name="강조색1 6 3" xfId="3350" xr:uid="{00000000-0005-0000-0000-000048060000}"/>
    <cellStyle name="강조색1 6 4" xfId="3351" xr:uid="{00000000-0005-0000-0000-000049060000}"/>
    <cellStyle name="강조색1 6 5" xfId="3352" xr:uid="{00000000-0005-0000-0000-00004A060000}"/>
    <cellStyle name="강조색1 6 6" xfId="3353" xr:uid="{00000000-0005-0000-0000-00004B060000}"/>
    <cellStyle name="강조색1 6 7" xfId="3354" xr:uid="{00000000-0005-0000-0000-00004C060000}"/>
    <cellStyle name="강조색1 6 8" xfId="3355" xr:uid="{00000000-0005-0000-0000-00004D060000}"/>
    <cellStyle name="강조색1 6 9" xfId="3356" xr:uid="{00000000-0005-0000-0000-00004E060000}"/>
    <cellStyle name="강조색1 7" xfId="891" xr:uid="{00000000-0005-0000-0000-00004F060000}"/>
    <cellStyle name="강조색1 7 2" xfId="3357" xr:uid="{00000000-0005-0000-0000-000050060000}"/>
    <cellStyle name="강조색1 8" xfId="892" xr:uid="{00000000-0005-0000-0000-000051060000}"/>
    <cellStyle name="강조색1 8 2" xfId="3358" xr:uid="{00000000-0005-0000-0000-000052060000}"/>
    <cellStyle name="강조색1 9" xfId="893" xr:uid="{00000000-0005-0000-0000-000053060000}"/>
    <cellStyle name="강조색2 10" xfId="894" xr:uid="{00000000-0005-0000-0000-000054060000}"/>
    <cellStyle name="강조색2 11" xfId="3359" xr:uid="{00000000-0005-0000-0000-000055060000}"/>
    <cellStyle name="강조색2 11 2" xfId="3360" xr:uid="{00000000-0005-0000-0000-000056060000}"/>
    <cellStyle name="강조색2 11 3" xfId="3361" xr:uid="{00000000-0005-0000-0000-000057060000}"/>
    <cellStyle name="강조색2 11 4" xfId="3362" xr:uid="{00000000-0005-0000-0000-000058060000}"/>
    <cellStyle name="강조색2 11 5" xfId="3363" xr:uid="{00000000-0005-0000-0000-000059060000}"/>
    <cellStyle name="강조색2 11 6" xfId="3364" xr:uid="{00000000-0005-0000-0000-00005A060000}"/>
    <cellStyle name="강조색2 11 7" xfId="3365" xr:uid="{00000000-0005-0000-0000-00005B060000}"/>
    <cellStyle name="강조색2 2" xfId="895" xr:uid="{00000000-0005-0000-0000-00005C060000}"/>
    <cellStyle name="강조색2 2 2" xfId="896" xr:uid="{00000000-0005-0000-0000-00005D060000}"/>
    <cellStyle name="강조색2 2 2 2" xfId="897" xr:uid="{00000000-0005-0000-0000-00005E060000}"/>
    <cellStyle name="강조색2 2 2 2 2" xfId="3366" xr:uid="{00000000-0005-0000-0000-00005F060000}"/>
    <cellStyle name="강조색2 2 2 2 2 2" xfId="3367" xr:uid="{00000000-0005-0000-0000-000060060000}"/>
    <cellStyle name="강조색2 2 2 2 2 2 2" xfId="3368" xr:uid="{00000000-0005-0000-0000-000061060000}"/>
    <cellStyle name="강조색2 2 2 2 2 2 2 2" xfId="3369" xr:uid="{00000000-0005-0000-0000-000062060000}"/>
    <cellStyle name="강조색2 2 2 2 2 2 2 2 2" xfId="3370" xr:uid="{00000000-0005-0000-0000-000063060000}"/>
    <cellStyle name="강조색2 2 2 2 2 2 2 2 3" xfId="3371" xr:uid="{00000000-0005-0000-0000-000064060000}"/>
    <cellStyle name="강조색2 2 2 2 2 2 2 3" xfId="3372" xr:uid="{00000000-0005-0000-0000-000065060000}"/>
    <cellStyle name="강조색2 2 2 2 2 2 3" xfId="3373" xr:uid="{00000000-0005-0000-0000-000066060000}"/>
    <cellStyle name="강조색2 2 2 2 2 3" xfId="3374" xr:uid="{00000000-0005-0000-0000-000067060000}"/>
    <cellStyle name="강조색2 2 2 2 2 4" xfId="3375" xr:uid="{00000000-0005-0000-0000-000068060000}"/>
    <cellStyle name="강조색2 2 2 2 3" xfId="3376" xr:uid="{00000000-0005-0000-0000-000069060000}"/>
    <cellStyle name="강조색2 2 2 2 4" xfId="3377" xr:uid="{00000000-0005-0000-0000-00006A060000}"/>
    <cellStyle name="강조색2 2 2 3" xfId="898" xr:uid="{00000000-0005-0000-0000-00006B060000}"/>
    <cellStyle name="강조색2 2 2 4" xfId="3378" xr:uid="{00000000-0005-0000-0000-00006C060000}"/>
    <cellStyle name="강조색2 2 2 5" xfId="3379" xr:uid="{00000000-0005-0000-0000-00006D060000}"/>
    <cellStyle name="강조색2 2 2 6" xfId="3380" xr:uid="{00000000-0005-0000-0000-00006E060000}"/>
    <cellStyle name="강조색2 2 3" xfId="899" xr:uid="{00000000-0005-0000-0000-00006F060000}"/>
    <cellStyle name="강조색2 2 3 2" xfId="3381" xr:uid="{00000000-0005-0000-0000-000070060000}"/>
    <cellStyle name="강조색2 2 3 3" xfId="3382" xr:uid="{00000000-0005-0000-0000-000071060000}"/>
    <cellStyle name="강조색2 2 4" xfId="900" xr:uid="{00000000-0005-0000-0000-000072060000}"/>
    <cellStyle name="강조색2 2 5" xfId="3383" xr:uid="{00000000-0005-0000-0000-000073060000}"/>
    <cellStyle name="강조색2 2_1) 도로시설물" xfId="901" xr:uid="{00000000-0005-0000-0000-000074060000}"/>
    <cellStyle name="강조색2 3" xfId="902" xr:uid="{00000000-0005-0000-0000-000075060000}"/>
    <cellStyle name="강조색2 3 2" xfId="903" xr:uid="{00000000-0005-0000-0000-000076060000}"/>
    <cellStyle name="강조색2 3 2 2" xfId="904" xr:uid="{00000000-0005-0000-0000-000077060000}"/>
    <cellStyle name="강조색2 3 3" xfId="905" xr:uid="{00000000-0005-0000-0000-000078060000}"/>
    <cellStyle name="강조색2 4" xfId="906" xr:uid="{00000000-0005-0000-0000-000079060000}"/>
    <cellStyle name="강조색2 4 2" xfId="907" xr:uid="{00000000-0005-0000-0000-00007A060000}"/>
    <cellStyle name="강조색2 4 3" xfId="908" xr:uid="{00000000-0005-0000-0000-00007B060000}"/>
    <cellStyle name="강조색2 5" xfId="909" xr:uid="{00000000-0005-0000-0000-00007C060000}"/>
    <cellStyle name="강조색2 5 2" xfId="910" xr:uid="{00000000-0005-0000-0000-00007D060000}"/>
    <cellStyle name="강조색2 6" xfId="911" xr:uid="{00000000-0005-0000-0000-00007E060000}"/>
    <cellStyle name="강조색2 6 10" xfId="3384" xr:uid="{00000000-0005-0000-0000-00007F060000}"/>
    <cellStyle name="강조색2 6 2" xfId="3385" xr:uid="{00000000-0005-0000-0000-000080060000}"/>
    <cellStyle name="강조색2 6 3" xfId="3386" xr:uid="{00000000-0005-0000-0000-000081060000}"/>
    <cellStyle name="강조색2 6 4" xfId="3387" xr:uid="{00000000-0005-0000-0000-000082060000}"/>
    <cellStyle name="강조색2 6 5" xfId="3388" xr:uid="{00000000-0005-0000-0000-000083060000}"/>
    <cellStyle name="강조색2 6 6" xfId="3389" xr:uid="{00000000-0005-0000-0000-000084060000}"/>
    <cellStyle name="강조색2 6 7" xfId="3390" xr:uid="{00000000-0005-0000-0000-000085060000}"/>
    <cellStyle name="강조색2 6 8" xfId="3391" xr:uid="{00000000-0005-0000-0000-000086060000}"/>
    <cellStyle name="강조색2 6 9" xfId="3392" xr:uid="{00000000-0005-0000-0000-000087060000}"/>
    <cellStyle name="강조색2 7" xfId="912" xr:uid="{00000000-0005-0000-0000-000088060000}"/>
    <cellStyle name="강조색2 7 2" xfId="3393" xr:uid="{00000000-0005-0000-0000-000089060000}"/>
    <cellStyle name="강조색2 8" xfId="913" xr:uid="{00000000-0005-0000-0000-00008A060000}"/>
    <cellStyle name="강조색2 8 2" xfId="3394" xr:uid="{00000000-0005-0000-0000-00008B060000}"/>
    <cellStyle name="강조색2 9" xfId="914" xr:uid="{00000000-0005-0000-0000-00008C060000}"/>
    <cellStyle name="강조색3 10" xfId="915" xr:uid="{00000000-0005-0000-0000-00008D060000}"/>
    <cellStyle name="강조색3 11" xfId="3395" xr:uid="{00000000-0005-0000-0000-00008E060000}"/>
    <cellStyle name="강조색3 11 2" xfId="3396" xr:uid="{00000000-0005-0000-0000-00008F060000}"/>
    <cellStyle name="강조색3 11 3" xfId="3397" xr:uid="{00000000-0005-0000-0000-000090060000}"/>
    <cellStyle name="강조색3 11 4" xfId="3398" xr:uid="{00000000-0005-0000-0000-000091060000}"/>
    <cellStyle name="강조색3 11 5" xfId="3399" xr:uid="{00000000-0005-0000-0000-000092060000}"/>
    <cellStyle name="강조색3 11 6" xfId="3400" xr:uid="{00000000-0005-0000-0000-000093060000}"/>
    <cellStyle name="강조색3 11 7" xfId="3401" xr:uid="{00000000-0005-0000-0000-000094060000}"/>
    <cellStyle name="강조색3 2" xfId="916" xr:uid="{00000000-0005-0000-0000-000095060000}"/>
    <cellStyle name="강조색3 2 2" xfId="917" xr:uid="{00000000-0005-0000-0000-000096060000}"/>
    <cellStyle name="강조색3 2 2 2" xfId="918" xr:uid="{00000000-0005-0000-0000-000097060000}"/>
    <cellStyle name="강조색3 2 2 2 2" xfId="3402" xr:uid="{00000000-0005-0000-0000-000098060000}"/>
    <cellStyle name="강조색3 2 2 2 2 2" xfId="3403" xr:uid="{00000000-0005-0000-0000-000099060000}"/>
    <cellStyle name="강조색3 2 2 2 2 2 2" xfId="3404" xr:uid="{00000000-0005-0000-0000-00009A060000}"/>
    <cellStyle name="강조색3 2 2 2 2 2 2 2" xfId="3405" xr:uid="{00000000-0005-0000-0000-00009B060000}"/>
    <cellStyle name="강조색3 2 2 2 2 2 2 2 2" xfId="3406" xr:uid="{00000000-0005-0000-0000-00009C060000}"/>
    <cellStyle name="강조색3 2 2 2 2 2 2 2 3" xfId="3407" xr:uid="{00000000-0005-0000-0000-00009D060000}"/>
    <cellStyle name="강조색3 2 2 2 2 2 2 3" xfId="3408" xr:uid="{00000000-0005-0000-0000-00009E060000}"/>
    <cellStyle name="강조색3 2 2 2 2 2 3" xfId="3409" xr:uid="{00000000-0005-0000-0000-00009F060000}"/>
    <cellStyle name="강조색3 2 2 2 2 3" xfId="3410" xr:uid="{00000000-0005-0000-0000-0000A0060000}"/>
    <cellStyle name="강조색3 2 2 2 2 4" xfId="3411" xr:uid="{00000000-0005-0000-0000-0000A1060000}"/>
    <cellStyle name="강조색3 2 2 2 3" xfId="3412" xr:uid="{00000000-0005-0000-0000-0000A2060000}"/>
    <cellStyle name="강조색3 2 2 2 4" xfId="3413" xr:uid="{00000000-0005-0000-0000-0000A3060000}"/>
    <cellStyle name="강조색3 2 2 3" xfId="919" xr:uid="{00000000-0005-0000-0000-0000A4060000}"/>
    <cellStyle name="강조색3 2 2 4" xfId="3414" xr:uid="{00000000-0005-0000-0000-0000A5060000}"/>
    <cellStyle name="강조색3 2 2 5" xfId="3415" xr:uid="{00000000-0005-0000-0000-0000A6060000}"/>
    <cellStyle name="강조색3 2 2 6" xfId="3416" xr:uid="{00000000-0005-0000-0000-0000A7060000}"/>
    <cellStyle name="강조색3 2 3" xfId="920" xr:uid="{00000000-0005-0000-0000-0000A8060000}"/>
    <cellStyle name="강조색3 2 3 2" xfId="3417" xr:uid="{00000000-0005-0000-0000-0000A9060000}"/>
    <cellStyle name="강조색3 2 3 3" xfId="3418" xr:uid="{00000000-0005-0000-0000-0000AA060000}"/>
    <cellStyle name="강조색3 2 4" xfId="921" xr:uid="{00000000-0005-0000-0000-0000AB060000}"/>
    <cellStyle name="강조색3 2 5" xfId="3419" xr:uid="{00000000-0005-0000-0000-0000AC060000}"/>
    <cellStyle name="강조색3 2_1) 도로시설물" xfId="922" xr:uid="{00000000-0005-0000-0000-0000AD060000}"/>
    <cellStyle name="강조색3 3" xfId="923" xr:uid="{00000000-0005-0000-0000-0000AE060000}"/>
    <cellStyle name="강조색3 3 2" xfId="924" xr:uid="{00000000-0005-0000-0000-0000AF060000}"/>
    <cellStyle name="강조색3 3 2 2" xfId="925" xr:uid="{00000000-0005-0000-0000-0000B0060000}"/>
    <cellStyle name="강조색3 3 3" xfId="926" xr:uid="{00000000-0005-0000-0000-0000B1060000}"/>
    <cellStyle name="강조색3 4" xfId="927" xr:uid="{00000000-0005-0000-0000-0000B2060000}"/>
    <cellStyle name="강조색3 4 2" xfId="928" xr:uid="{00000000-0005-0000-0000-0000B3060000}"/>
    <cellStyle name="강조색3 4 3" xfId="929" xr:uid="{00000000-0005-0000-0000-0000B4060000}"/>
    <cellStyle name="강조색3 5" xfId="930" xr:uid="{00000000-0005-0000-0000-0000B5060000}"/>
    <cellStyle name="강조색3 5 2" xfId="931" xr:uid="{00000000-0005-0000-0000-0000B6060000}"/>
    <cellStyle name="강조색3 6" xfId="932" xr:uid="{00000000-0005-0000-0000-0000B7060000}"/>
    <cellStyle name="강조색3 6 10" xfId="3420" xr:uid="{00000000-0005-0000-0000-0000B8060000}"/>
    <cellStyle name="강조색3 6 2" xfId="3421" xr:uid="{00000000-0005-0000-0000-0000B9060000}"/>
    <cellStyle name="강조색3 6 3" xfId="3422" xr:uid="{00000000-0005-0000-0000-0000BA060000}"/>
    <cellStyle name="강조색3 6 4" xfId="3423" xr:uid="{00000000-0005-0000-0000-0000BB060000}"/>
    <cellStyle name="강조색3 6 5" xfId="3424" xr:uid="{00000000-0005-0000-0000-0000BC060000}"/>
    <cellStyle name="강조색3 6 6" xfId="3425" xr:uid="{00000000-0005-0000-0000-0000BD060000}"/>
    <cellStyle name="강조색3 6 7" xfId="3426" xr:uid="{00000000-0005-0000-0000-0000BE060000}"/>
    <cellStyle name="강조색3 6 8" xfId="3427" xr:uid="{00000000-0005-0000-0000-0000BF060000}"/>
    <cellStyle name="강조색3 6 9" xfId="3428" xr:uid="{00000000-0005-0000-0000-0000C0060000}"/>
    <cellStyle name="강조색3 7" xfId="933" xr:uid="{00000000-0005-0000-0000-0000C1060000}"/>
    <cellStyle name="강조색3 7 2" xfId="3429" xr:uid="{00000000-0005-0000-0000-0000C2060000}"/>
    <cellStyle name="강조색3 8" xfId="934" xr:uid="{00000000-0005-0000-0000-0000C3060000}"/>
    <cellStyle name="강조색3 8 2" xfId="3430" xr:uid="{00000000-0005-0000-0000-0000C4060000}"/>
    <cellStyle name="강조색3 9" xfId="935" xr:uid="{00000000-0005-0000-0000-0000C5060000}"/>
    <cellStyle name="강조색4 10" xfId="936" xr:uid="{00000000-0005-0000-0000-0000C6060000}"/>
    <cellStyle name="강조색4 11" xfId="3431" xr:uid="{00000000-0005-0000-0000-0000C7060000}"/>
    <cellStyle name="강조색4 11 2" xfId="3432" xr:uid="{00000000-0005-0000-0000-0000C8060000}"/>
    <cellStyle name="강조색4 11 3" xfId="3433" xr:uid="{00000000-0005-0000-0000-0000C9060000}"/>
    <cellStyle name="강조색4 11 4" xfId="3434" xr:uid="{00000000-0005-0000-0000-0000CA060000}"/>
    <cellStyle name="강조색4 11 5" xfId="3435" xr:uid="{00000000-0005-0000-0000-0000CB060000}"/>
    <cellStyle name="강조색4 11 6" xfId="3436" xr:uid="{00000000-0005-0000-0000-0000CC060000}"/>
    <cellStyle name="강조색4 11 7" xfId="3437" xr:uid="{00000000-0005-0000-0000-0000CD060000}"/>
    <cellStyle name="강조색4 2" xfId="937" xr:uid="{00000000-0005-0000-0000-0000CE060000}"/>
    <cellStyle name="강조색4 2 2" xfId="938" xr:uid="{00000000-0005-0000-0000-0000CF060000}"/>
    <cellStyle name="강조색4 2 2 2" xfId="939" xr:uid="{00000000-0005-0000-0000-0000D0060000}"/>
    <cellStyle name="강조색4 2 2 2 2" xfId="3438" xr:uid="{00000000-0005-0000-0000-0000D1060000}"/>
    <cellStyle name="강조색4 2 2 2 2 2" xfId="3439" xr:uid="{00000000-0005-0000-0000-0000D2060000}"/>
    <cellStyle name="강조색4 2 2 2 2 2 2" xfId="3440" xr:uid="{00000000-0005-0000-0000-0000D3060000}"/>
    <cellStyle name="강조색4 2 2 2 2 2 2 2" xfId="3441" xr:uid="{00000000-0005-0000-0000-0000D4060000}"/>
    <cellStyle name="강조색4 2 2 2 2 2 2 2 2" xfId="3442" xr:uid="{00000000-0005-0000-0000-0000D5060000}"/>
    <cellStyle name="강조색4 2 2 2 2 2 2 2 3" xfId="3443" xr:uid="{00000000-0005-0000-0000-0000D6060000}"/>
    <cellStyle name="강조색4 2 2 2 2 2 2 3" xfId="3444" xr:uid="{00000000-0005-0000-0000-0000D7060000}"/>
    <cellStyle name="강조색4 2 2 2 2 2 3" xfId="3445" xr:uid="{00000000-0005-0000-0000-0000D8060000}"/>
    <cellStyle name="강조색4 2 2 2 2 3" xfId="3446" xr:uid="{00000000-0005-0000-0000-0000D9060000}"/>
    <cellStyle name="강조색4 2 2 2 2 4" xfId="3447" xr:uid="{00000000-0005-0000-0000-0000DA060000}"/>
    <cellStyle name="강조색4 2 2 2 3" xfId="3448" xr:uid="{00000000-0005-0000-0000-0000DB060000}"/>
    <cellStyle name="강조색4 2 2 2 4" xfId="3449" xr:uid="{00000000-0005-0000-0000-0000DC060000}"/>
    <cellStyle name="강조색4 2 2 3" xfId="940" xr:uid="{00000000-0005-0000-0000-0000DD060000}"/>
    <cellStyle name="강조색4 2 2 4" xfId="3450" xr:uid="{00000000-0005-0000-0000-0000DE060000}"/>
    <cellStyle name="강조색4 2 2 5" xfId="3451" xr:uid="{00000000-0005-0000-0000-0000DF060000}"/>
    <cellStyle name="강조색4 2 2 6" xfId="3452" xr:uid="{00000000-0005-0000-0000-0000E0060000}"/>
    <cellStyle name="강조색4 2 3" xfId="941" xr:uid="{00000000-0005-0000-0000-0000E1060000}"/>
    <cellStyle name="강조색4 2 3 2" xfId="3453" xr:uid="{00000000-0005-0000-0000-0000E2060000}"/>
    <cellStyle name="강조색4 2 3 3" xfId="3454" xr:uid="{00000000-0005-0000-0000-0000E3060000}"/>
    <cellStyle name="강조색4 2 4" xfId="942" xr:uid="{00000000-0005-0000-0000-0000E4060000}"/>
    <cellStyle name="강조색4 2 5" xfId="3455" xr:uid="{00000000-0005-0000-0000-0000E5060000}"/>
    <cellStyle name="강조색4 2_1) 도로시설물" xfId="943" xr:uid="{00000000-0005-0000-0000-0000E6060000}"/>
    <cellStyle name="강조색4 3" xfId="944" xr:uid="{00000000-0005-0000-0000-0000E7060000}"/>
    <cellStyle name="강조색4 3 2" xfId="945" xr:uid="{00000000-0005-0000-0000-0000E8060000}"/>
    <cellStyle name="강조색4 3 2 2" xfId="946" xr:uid="{00000000-0005-0000-0000-0000E9060000}"/>
    <cellStyle name="강조색4 3 3" xfId="947" xr:uid="{00000000-0005-0000-0000-0000EA060000}"/>
    <cellStyle name="강조색4 4" xfId="948" xr:uid="{00000000-0005-0000-0000-0000EB060000}"/>
    <cellStyle name="강조색4 4 2" xfId="949" xr:uid="{00000000-0005-0000-0000-0000EC060000}"/>
    <cellStyle name="강조색4 4 3" xfId="950" xr:uid="{00000000-0005-0000-0000-0000ED060000}"/>
    <cellStyle name="강조색4 5" xfId="951" xr:uid="{00000000-0005-0000-0000-0000EE060000}"/>
    <cellStyle name="강조색4 5 2" xfId="952" xr:uid="{00000000-0005-0000-0000-0000EF060000}"/>
    <cellStyle name="강조색4 6" xfId="953" xr:uid="{00000000-0005-0000-0000-0000F0060000}"/>
    <cellStyle name="강조색4 6 10" xfId="3456" xr:uid="{00000000-0005-0000-0000-0000F1060000}"/>
    <cellStyle name="강조색4 6 2" xfId="3457" xr:uid="{00000000-0005-0000-0000-0000F2060000}"/>
    <cellStyle name="강조색4 6 3" xfId="3458" xr:uid="{00000000-0005-0000-0000-0000F3060000}"/>
    <cellStyle name="강조색4 6 4" xfId="3459" xr:uid="{00000000-0005-0000-0000-0000F4060000}"/>
    <cellStyle name="강조색4 6 5" xfId="3460" xr:uid="{00000000-0005-0000-0000-0000F5060000}"/>
    <cellStyle name="강조색4 6 6" xfId="3461" xr:uid="{00000000-0005-0000-0000-0000F6060000}"/>
    <cellStyle name="강조색4 6 7" xfId="3462" xr:uid="{00000000-0005-0000-0000-0000F7060000}"/>
    <cellStyle name="강조색4 6 8" xfId="3463" xr:uid="{00000000-0005-0000-0000-0000F8060000}"/>
    <cellStyle name="강조색4 6 9" xfId="3464" xr:uid="{00000000-0005-0000-0000-0000F9060000}"/>
    <cellStyle name="강조색4 7" xfId="954" xr:uid="{00000000-0005-0000-0000-0000FA060000}"/>
    <cellStyle name="강조색4 7 2" xfId="3465" xr:uid="{00000000-0005-0000-0000-0000FB060000}"/>
    <cellStyle name="강조색4 8" xfId="955" xr:uid="{00000000-0005-0000-0000-0000FC060000}"/>
    <cellStyle name="강조색4 8 2" xfId="3466" xr:uid="{00000000-0005-0000-0000-0000FD060000}"/>
    <cellStyle name="강조색4 9" xfId="956" xr:uid="{00000000-0005-0000-0000-0000FE060000}"/>
    <cellStyle name="강조색5 10" xfId="3467" xr:uid="{00000000-0005-0000-0000-0000FF060000}"/>
    <cellStyle name="강조색5 11" xfId="3468" xr:uid="{00000000-0005-0000-0000-000000070000}"/>
    <cellStyle name="강조색5 11 2" xfId="3469" xr:uid="{00000000-0005-0000-0000-000001070000}"/>
    <cellStyle name="강조색5 11 3" xfId="3470" xr:uid="{00000000-0005-0000-0000-000002070000}"/>
    <cellStyle name="강조색5 11 4" xfId="3471" xr:uid="{00000000-0005-0000-0000-000003070000}"/>
    <cellStyle name="강조색5 11 5" xfId="3472" xr:uid="{00000000-0005-0000-0000-000004070000}"/>
    <cellStyle name="강조색5 11 6" xfId="3473" xr:uid="{00000000-0005-0000-0000-000005070000}"/>
    <cellStyle name="강조색5 11 7" xfId="3474" xr:uid="{00000000-0005-0000-0000-000006070000}"/>
    <cellStyle name="강조색5 2" xfId="957" xr:uid="{00000000-0005-0000-0000-000007070000}"/>
    <cellStyle name="강조색5 2 2" xfId="958" xr:uid="{00000000-0005-0000-0000-000008070000}"/>
    <cellStyle name="강조색5 2 2 2" xfId="959" xr:uid="{00000000-0005-0000-0000-000009070000}"/>
    <cellStyle name="강조색5 2 2 2 2" xfId="3475" xr:uid="{00000000-0005-0000-0000-00000A070000}"/>
    <cellStyle name="강조색5 2 2 2 2 2" xfId="3476" xr:uid="{00000000-0005-0000-0000-00000B070000}"/>
    <cellStyle name="강조색5 2 2 2 2 2 2" xfId="3477" xr:uid="{00000000-0005-0000-0000-00000C070000}"/>
    <cellStyle name="강조색5 2 2 2 2 2 2 2" xfId="3478" xr:uid="{00000000-0005-0000-0000-00000D070000}"/>
    <cellStyle name="강조색5 2 2 2 2 2 2 2 2" xfId="3479" xr:uid="{00000000-0005-0000-0000-00000E070000}"/>
    <cellStyle name="강조색5 2 2 2 2 2 2 2 3" xfId="3480" xr:uid="{00000000-0005-0000-0000-00000F070000}"/>
    <cellStyle name="강조색5 2 2 2 2 2 2 3" xfId="3481" xr:uid="{00000000-0005-0000-0000-000010070000}"/>
    <cellStyle name="강조색5 2 2 2 2 2 3" xfId="3482" xr:uid="{00000000-0005-0000-0000-000011070000}"/>
    <cellStyle name="강조색5 2 2 2 2 3" xfId="3483" xr:uid="{00000000-0005-0000-0000-000012070000}"/>
    <cellStyle name="강조색5 2 2 2 2 4" xfId="3484" xr:uid="{00000000-0005-0000-0000-000013070000}"/>
    <cellStyle name="강조색5 2 2 2 3" xfId="3485" xr:uid="{00000000-0005-0000-0000-000014070000}"/>
    <cellStyle name="강조색5 2 2 2 4" xfId="3486" xr:uid="{00000000-0005-0000-0000-000015070000}"/>
    <cellStyle name="강조색5 2 2 3" xfId="960" xr:uid="{00000000-0005-0000-0000-000016070000}"/>
    <cellStyle name="강조색5 2 2 4" xfId="3487" xr:uid="{00000000-0005-0000-0000-000017070000}"/>
    <cellStyle name="강조색5 2 2 5" xfId="3488" xr:uid="{00000000-0005-0000-0000-000018070000}"/>
    <cellStyle name="강조색5 2 2 6" xfId="3489" xr:uid="{00000000-0005-0000-0000-000019070000}"/>
    <cellStyle name="강조색5 2 3" xfId="961" xr:uid="{00000000-0005-0000-0000-00001A070000}"/>
    <cellStyle name="강조색5 2 3 2" xfId="3490" xr:uid="{00000000-0005-0000-0000-00001B070000}"/>
    <cellStyle name="강조색5 2 3 3" xfId="3491" xr:uid="{00000000-0005-0000-0000-00001C070000}"/>
    <cellStyle name="강조색5 2 4" xfId="962" xr:uid="{00000000-0005-0000-0000-00001D070000}"/>
    <cellStyle name="강조색5 2 5" xfId="3492" xr:uid="{00000000-0005-0000-0000-00001E070000}"/>
    <cellStyle name="강조색5 3" xfId="963" xr:uid="{00000000-0005-0000-0000-00001F070000}"/>
    <cellStyle name="강조색5 3 2" xfId="964" xr:uid="{00000000-0005-0000-0000-000020070000}"/>
    <cellStyle name="강조색5 3 2 2" xfId="965" xr:uid="{00000000-0005-0000-0000-000021070000}"/>
    <cellStyle name="강조색5 3 3" xfId="966" xr:uid="{00000000-0005-0000-0000-000022070000}"/>
    <cellStyle name="강조색5 4" xfId="967" xr:uid="{00000000-0005-0000-0000-000023070000}"/>
    <cellStyle name="강조색5 4 2" xfId="968" xr:uid="{00000000-0005-0000-0000-000024070000}"/>
    <cellStyle name="강조색5 4 3" xfId="969" xr:uid="{00000000-0005-0000-0000-000025070000}"/>
    <cellStyle name="강조색5 5" xfId="970" xr:uid="{00000000-0005-0000-0000-000026070000}"/>
    <cellStyle name="강조색5 5 2" xfId="971" xr:uid="{00000000-0005-0000-0000-000027070000}"/>
    <cellStyle name="강조색5 6" xfId="972" xr:uid="{00000000-0005-0000-0000-000028070000}"/>
    <cellStyle name="강조색5 6 10" xfId="3493" xr:uid="{00000000-0005-0000-0000-000029070000}"/>
    <cellStyle name="강조색5 6 2" xfId="3494" xr:uid="{00000000-0005-0000-0000-00002A070000}"/>
    <cellStyle name="강조색5 6 3" xfId="3495" xr:uid="{00000000-0005-0000-0000-00002B070000}"/>
    <cellStyle name="강조색5 6 4" xfId="3496" xr:uid="{00000000-0005-0000-0000-00002C070000}"/>
    <cellStyle name="강조색5 6 5" xfId="3497" xr:uid="{00000000-0005-0000-0000-00002D070000}"/>
    <cellStyle name="강조색5 6 6" xfId="3498" xr:uid="{00000000-0005-0000-0000-00002E070000}"/>
    <cellStyle name="강조색5 6 7" xfId="3499" xr:uid="{00000000-0005-0000-0000-00002F070000}"/>
    <cellStyle name="강조색5 6 8" xfId="3500" xr:uid="{00000000-0005-0000-0000-000030070000}"/>
    <cellStyle name="강조색5 6 9" xfId="3501" xr:uid="{00000000-0005-0000-0000-000031070000}"/>
    <cellStyle name="강조색5 7" xfId="973" xr:uid="{00000000-0005-0000-0000-000032070000}"/>
    <cellStyle name="강조색5 7 2" xfId="3502" xr:uid="{00000000-0005-0000-0000-000033070000}"/>
    <cellStyle name="강조색5 8" xfId="3503" xr:uid="{00000000-0005-0000-0000-000034070000}"/>
    <cellStyle name="강조색5 8 2" xfId="3504" xr:uid="{00000000-0005-0000-0000-000035070000}"/>
    <cellStyle name="강조색5 9" xfId="3505" xr:uid="{00000000-0005-0000-0000-000036070000}"/>
    <cellStyle name="강조색6 10" xfId="974" xr:uid="{00000000-0005-0000-0000-000037070000}"/>
    <cellStyle name="강조색6 11" xfId="3506" xr:uid="{00000000-0005-0000-0000-000038070000}"/>
    <cellStyle name="강조색6 11 2" xfId="3507" xr:uid="{00000000-0005-0000-0000-000039070000}"/>
    <cellStyle name="강조색6 11 3" xfId="3508" xr:uid="{00000000-0005-0000-0000-00003A070000}"/>
    <cellStyle name="강조색6 11 4" xfId="3509" xr:uid="{00000000-0005-0000-0000-00003B070000}"/>
    <cellStyle name="강조색6 11 5" xfId="3510" xr:uid="{00000000-0005-0000-0000-00003C070000}"/>
    <cellStyle name="강조색6 11 6" xfId="3511" xr:uid="{00000000-0005-0000-0000-00003D070000}"/>
    <cellStyle name="강조색6 11 7" xfId="3512" xr:uid="{00000000-0005-0000-0000-00003E070000}"/>
    <cellStyle name="강조색6 2" xfId="975" xr:uid="{00000000-0005-0000-0000-00003F070000}"/>
    <cellStyle name="강조색6 2 2" xfId="976" xr:uid="{00000000-0005-0000-0000-000040070000}"/>
    <cellStyle name="강조색6 2 2 2" xfId="977" xr:uid="{00000000-0005-0000-0000-000041070000}"/>
    <cellStyle name="강조색6 2 2 2 2" xfId="3513" xr:uid="{00000000-0005-0000-0000-000042070000}"/>
    <cellStyle name="강조색6 2 2 2 2 2" xfId="3514" xr:uid="{00000000-0005-0000-0000-000043070000}"/>
    <cellStyle name="강조색6 2 2 2 2 2 2" xfId="3515" xr:uid="{00000000-0005-0000-0000-000044070000}"/>
    <cellStyle name="강조색6 2 2 2 2 2 2 2" xfId="3516" xr:uid="{00000000-0005-0000-0000-000045070000}"/>
    <cellStyle name="강조색6 2 2 2 2 2 2 2 2" xfId="3517" xr:uid="{00000000-0005-0000-0000-000046070000}"/>
    <cellStyle name="강조색6 2 2 2 2 2 2 2 3" xfId="3518" xr:uid="{00000000-0005-0000-0000-000047070000}"/>
    <cellStyle name="강조색6 2 2 2 2 2 2 3" xfId="3519" xr:uid="{00000000-0005-0000-0000-000048070000}"/>
    <cellStyle name="강조색6 2 2 2 2 2 3" xfId="3520" xr:uid="{00000000-0005-0000-0000-000049070000}"/>
    <cellStyle name="강조색6 2 2 2 2 3" xfId="3521" xr:uid="{00000000-0005-0000-0000-00004A070000}"/>
    <cellStyle name="강조색6 2 2 2 2 4" xfId="3522" xr:uid="{00000000-0005-0000-0000-00004B070000}"/>
    <cellStyle name="강조색6 2 2 2 3" xfId="3523" xr:uid="{00000000-0005-0000-0000-00004C070000}"/>
    <cellStyle name="강조색6 2 2 2 4" xfId="3524" xr:uid="{00000000-0005-0000-0000-00004D070000}"/>
    <cellStyle name="강조색6 2 2 3" xfId="978" xr:uid="{00000000-0005-0000-0000-00004E070000}"/>
    <cellStyle name="강조색6 2 2 4" xfId="3525" xr:uid="{00000000-0005-0000-0000-00004F070000}"/>
    <cellStyle name="강조색6 2 2 5" xfId="3526" xr:uid="{00000000-0005-0000-0000-000050070000}"/>
    <cellStyle name="강조색6 2 2 6" xfId="3527" xr:uid="{00000000-0005-0000-0000-000051070000}"/>
    <cellStyle name="강조색6 2 3" xfId="979" xr:uid="{00000000-0005-0000-0000-000052070000}"/>
    <cellStyle name="강조색6 2 3 2" xfId="3528" xr:uid="{00000000-0005-0000-0000-000053070000}"/>
    <cellStyle name="강조색6 2 3 3" xfId="3529" xr:uid="{00000000-0005-0000-0000-000054070000}"/>
    <cellStyle name="강조색6 2 4" xfId="980" xr:uid="{00000000-0005-0000-0000-000055070000}"/>
    <cellStyle name="강조색6 2 5" xfId="3530" xr:uid="{00000000-0005-0000-0000-000056070000}"/>
    <cellStyle name="강조색6 2_1) 도로시설물" xfId="981" xr:uid="{00000000-0005-0000-0000-000057070000}"/>
    <cellStyle name="강조색6 3" xfId="982" xr:uid="{00000000-0005-0000-0000-000058070000}"/>
    <cellStyle name="강조색6 3 2" xfId="983" xr:uid="{00000000-0005-0000-0000-000059070000}"/>
    <cellStyle name="강조색6 3 2 2" xfId="984" xr:uid="{00000000-0005-0000-0000-00005A070000}"/>
    <cellStyle name="강조색6 3 3" xfId="985" xr:uid="{00000000-0005-0000-0000-00005B070000}"/>
    <cellStyle name="강조색6 4" xfId="986" xr:uid="{00000000-0005-0000-0000-00005C070000}"/>
    <cellStyle name="강조색6 4 2" xfId="987" xr:uid="{00000000-0005-0000-0000-00005D070000}"/>
    <cellStyle name="강조색6 4 3" xfId="988" xr:uid="{00000000-0005-0000-0000-00005E070000}"/>
    <cellStyle name="강조색6 5" xfId="989" xr:uid="{00000000-0005-0000-0000-00005F070000}"/>
    <cellStyle name="강조색6 5 2" xfId="990" xr:uid="{00000000-0005-0000-0000-000060070000}"/>
    <cellStyle name="강조색6 6" xfId="991" xr:uid="{00000000-0005-0000-0000-000061070000}"/>
    <cellStyle name="강조색6 6 10" xfId="3531" xr:uid="{00000000-0005-0000-0000-000062070000}"/>
    <cellStyle name="강조색6 6 2" xfId="3532" xr:uid="{00000000-0005-0000-0000-000063070000}"/>
    <cellStyle name="강조색6 6 3" xfId="3533" xr:uid="{00000000-0005-0000-0000-000064070000}"/>
    <cellStyle name="강조색6 6 4" xfId="3534" xr:uid="{00000000-0005-0000-0000-000065070000}"/>
    <cellStyle name="강조색6 6 5" xfId="3535" xr:uid="{00000000-0005-0000-0000-000066070000}"/>
    <cellStyle name="강조색6 6 6" xfId="3536" xr:uid="{00000000-0005-0000-0000-000067070000}"/>
    <cellStyle name="강조색6 6 7" xfId="3537" xr:uid="{00000000-0005-0000-0000-000068070000}"/>
    <cellStyle name="강조색6 6 8" xfId="3538" xr:uid="{00000000-0005-0000-0000-000069070000}"/>
    <cellStyle name="강조색6 6 9" xfId="3539" xr:uid="{00000000-0005-0000-0000-00006A070000}"/>
    <cellStyle name="강조색6 7" xfId="992" xr:uid="{00000000-0005-0000-0000-00006B070000}"/>
    <cellStyle name="강조색6 7 2" xfId="3540" xr:uid="{00000000-0005-0000-0000-00006C070000}"/>
    <cellStyle name="강조색6 8" xfId="993" xr:uid="{00000000-0005-0000-0000-00006D070000}"/>
    <cellStyle name="강조색6 8 2" xfId="3541" xr:uid="{00000000-0005-0000-0000-00006E070000}"/>
    <cellStyle name="강조색6 9" xfId="994" xr:uid="{00000000-0005-0000-0000-00006F070000}"/>
    <cellStyle name="경고문 10" xfId="3542" xr:uid="{00000000-0005-0000-0000-000070070000}"/>
    <cellStyle name="경고문 11" xfId="3543" xr:uid="{00000000-0005-0000-0000-000071070000}"/>
    <cellStyle name="경고문 11 2" xfId="3544" xr:uid="{00000000-0005-0000-0000-000072070000}"/>
    <cellStyle name="경고문 11 3" xfId="3545" xr:uid="{00000000-0005-0000-0000-000073070000}"/>
    <cellStyle name="경고문 11 4" xfId="3546" xr:uid="{00000000-0005-0000-0000-000074070000}"/>
    <cellStyle name="경고문 11 5" xfId="3547" xr:uid="{00000000-0005-0000-0000-000075070000}"/>
    <cellStyle name="경고문 11 6" xfId="3548" xr:uid="{00000000-0005-0000-0000-000076070000}"/>
    <cellStyle name="경고문 11 7" xfId="3549" xr:uid="{00000000-0005-0000-0000-000077070000}"/>
    <cellStyle name="경고문 2" xfId="995" xr:uid="{00000000-0005-0000-0000-000078070000}"/>
    <cellStyle name="경고문 2 2" xfId="996" xr:uid="{00000000-0005-0000-0000-000079070000}"/>
    <cellStyle name="경고문 2 2 2" xfId="997" xr:uid="{00000000-0005-0000-0000-00007A070000}"/>
    <cellStyle name="경고문 2 2 2 2" xfId="3550" xr:uid="{00000000-0005-0000-0000-00007B070000}"/>
    <cellStyle name="경고문 2 2 2 2 2" xfId="3551" xr:uid="{00000000-0005-0000-0000-00007C070000}"/>
    <cellStyle name="경고문 2 2 2 2 2 2" xfId="3552" xr:uid="{00000000-0005-0000-0000-00007D070000}"/>
    <cellStyle name="경고문 2 2 2 2 2 2 2" xfId="3553" xr:uid="{00000000-0005-0000-0000-00007E070000}"/>
    <cellStyle name="경고문 2 2 2 2 2 2 2 2" xfId="3554" xr:uid="{00000000-0005-0000-0000-00007F070000}"/>
    <cellStyle name="경고문 2 2 2 2 2 2 2 3" xfId="3555" xr:uid="{00000000-0005-0000-0000-000080070000}"/>
    <cellStyle name="경고문 2 2 2 2 2 2 3" xfId="3556" xr:uid="{00000000-0005-0000-0000-000081070000}"/>
    <cellStyle name="경고문 2 2 2 2 2 3" xfId="3557" xr:uid="{00000000-0005-0000-0000-000082070000}"/>
    <cellStyle name="경고문 2 2 2 2 3" xfId="3558" xr:uid="{00000000-0005-0000-0000-000083070000}"/>
    <cellStyle name="경고문 2 2 2 2 4" xfId="3559" xr:uid="{00000000-0005-0000-0000-000084070000}"/>
    <cellStyle name="경고문 2 2 2 3" xfId="3560" xr:uid="{00000000-0005-0000-0000-000085070000}"/>
    <cellStyle name="경고문 2 2 2 4" xfId="3561" xr:uid="{00000000-0005-0000-0000-000086070000}"/>
    <cellStyle name="경고문 2 2 3" xfId="3562" xr:uid="{00000000-0005-0000-0000-000087070000}"/>
    <cellStyle name="경고문 2 2 4" xfId="3563" xr:uid="{00000000-0005-0000-0000-000088070000}"/>
    <cellStyle name="경고문 2 2 5" xfId="3564" xr:uid="{00000000-0005-0000-0000-000089070000}"/>
    <cellStyle name="경고문 2 2 6" xfId="3565" xr:uid="{00000000-0005-0000-0000-00008A070000}"/>
    <cellStyle name="경고문 2 3" xfId="998" xr:uid="{00000000-0005-0000-0000-00008B070000}"/>
    <cellStyle name="경고문 2 3 2" xfId="3566" xr:uid="{00000000-0005-0000-0000-00008C070000}"/>
    <cellStyle name="경고문 2 3 3" xfId="3567" xr:uid="{00000000-0005-0000-0000-00008D070000}"/>
    <cellStyle name="경고문 2 4" xfId="999" xr:uid="{00000000-0005-0000-0000-00008E070000}"/>
    <cellStyle name="경고문 2 5" xfId="3568" xr:uid="{00000000-0005-0000-0000-00008F070000}"/>
    <cellStyle name="경고문 3" xfId="1000" xr:uid="{00000000-0005-0000-0000-000090070000}"/>
    <cellStyle name="경고문 3 2" xfId="1001" xr:uid="{00000000-0005-0000-0000-000091070000}"/>
    <cellStyle name="경고문 3 3" xfId="1002" xr:uid="{00000000-0005-0000-0000-000092070000}"/>
    <cellStyle name="경고문 4" xfId="1003" xr:uid="{00000000-0005-0000-0000-000093070000}"/>
    <cellStyle name="경고문 5" xfId="1004" xr:uid="{00000000-0005-0000-0000-000094070000}"/>
    <cellStyle name="경고문 6" xfId="1005" xr:uid="{00000000-0005-0000-0000-000095070000}"/>
    <cellStyle name="경고문 6 10" xfId="3569" xr:uid="{00000000-0005-0000-0000-000096070000}"/>
    <cellStyle name="경고문 6 2" xfId="3570" xr:uid="{00000000-0005-0000-0000-000097070000}"/>
    <cellStyle name="경고문 6 3" xfId="3571" xr:uid="{00000000-0005-0000-0000-000098070000}"/>
    <cellStyle name="경고문 6 4" xfId="3572" xr:uid="{00000000-0005-0000-0000-000099070000}"/>
    <cellStyle name="경고문 6 5" xfId="3573" xr:uid="{00000000-0005-0000-0000-00009A070000}"/>
    <cellStyle name="경고문 6 6" xfId="3574" xr:uid="{00000000-0005-0000-0000-00009B070000}"/>
    <cellStyle name="경고문 6 7" xfId="3575" xr:uid="{00000000-0005-0000-0000-00009C070000}"/>
    <cellStyle name="경고문 6 8" xfId="3576" xr:uid="{00000000-0005-0000-0000-00009D070000}"/>
    <cellStyle name="경고문 6 9" xfId="3577" xr:uid="{00000000-0005-0000-0000-00009E070000}"/>
    <cellStyle name="경고문 7" xfId="3578" xr:uid="{00000000-0005-0000-0000-00009F070000}"/>
    <cellStyle name="경고문 7 2" xfId="3579" xr:uid="{00000000-0005-0000-0000-0000A0070000}"/>
    <cellStyle name="경고문 8" xfId="3580" xr:uid="{00000000-0005-0000-0000-0000A1070000}"/>
    <cellStyle name="경고문 8 2" xfId="3581" xr:uid="{00000000-0005-0000-0000-0000A2070000}"/>
    <cellStyle name="경고문 9" xfId="3582" xr:uid="{00000000-0005-0000-0000-0000A3070000}"/>
    <cellStyle name="계산 10" xfId="1006" xr:uid="{00000000-0005-0000-0000-0000A4070000}"/>
    <cellStyle name="계산 11" xfId="3583" xr:uid="{00000000-0005-0000-0000-0000A5070000}"/>
    <cellStyle name="계산 11 2" xfId="3584" xr:uid="{00000000-0005-0000-0000-0000A6070000}"/>
    <cellStyle name="계산 11 3" xfId="3585" xr:uid="{00000000-0005-0000-0000-0000A7070000}"/>
    <cellStyle name="계산 11 4" xfId="3586" xr:uid="{00000000-0005-0000-0000-0000A8070000}"/>
    <cellStyle name="계산 11 5" xfId="3587" xr:uid="{00000000-0005-0000-0000-0000A9070000}"/>
    <cellStyle name="계산 11 6" xfId="3588" xr:uid="{00000000-0005-0000-0000-0000AA070000}"/>
    <cellStyle name="계산 11 7" xfId="3589" xr:uid="{00000000-0005-0000-0000-0000AB070000}"/>
    <cellStyle name="계산 2" xfId="1007" xr:uid="{00000000-0005-0000-0000-0000AC070000}"/>
    <cellStyle name="계산 2 2" xfId="1008" xr:uid="{00000000-0005-0000-0000-0000AD070000}"/>
    <cellStyle name="계산 2 2 2" xfId="1009" xr:uid="{00000000-0005-0000-0000-0000AE070000}"/>
    <cellStyle name="계산 2 2 2 2" xfId="3590" xr:uid="{00000000-0005-0000-0000-0000AF070000}"/>
    <cellStyle name="계산 2 2 2 2 2" xfId="3591" xr:uid="{00000000-0005-0000-0000-0000B0070000}"/>
    <cellStyle name="계산 2 2 2 2 2 2" xfId="3592" xr:uid="{00000000-0005-0000-0000-0000B1070000}"/>
    <cellStyle name="계산 2 2 2 2 2 2 2" xfId="3593" xr:uid="{00000000-0005-0000-0000-0000B2070000}"/>
    <cellStyle name="계산 2 2 2 2 2 2 2 2" xfId="3594" xr:uid="{00000000-0005-0000-0000-0000B3070000}"/>
    <cellStyle name="계산 2 2 2 2 2 2 2 3" xfId="3595" xr:uid="{00000000-0005-0000-0000-0000B4070000}"/>
    <cellStyle name="계산 2 2 2 2 2 2 3" xfId="3596" xr:uid="{00000000-0005-0000-0000-0000B5070000}"/>
    <cellStyle name="계산 2 2 2 2 2 3" xfId="3597" xr:uid="{00000000-0005-0000-0000-0000B6070000}"/>
    <cellStyle name="계산 2 2 2 2 3" xfId="3598" xr:uid="{00000000-0005-0000-0000-0000B7070000}"/>
    <cellStyle name="계산 2 2 2 2 4" xfId="3599" xr:uid="{00000000-0005-0000-0000-0000B8070000}"/>
    <cellStyle name="계산 2 2 2 3" xfId="3600" xr:uid="{00000000-0005-0000-0000-0000B9070000}"/>
    <cellStyle name="계산 2 2 2 4" xfId="3601" xr:uid="{00000000-0005-0000-0000-0000BA070000}"/>
    <cellStyle name="계산 2 2 3" xfId="1010" xr:uid="{00000000-0005-0000-0000-0000BB070000}"/>
    <cellStyle name="계산 2 2 4" xfId="3602" xr:uid="{00000000-0005-0000-0000-0000BC070000}"/>
    <cellStyle name="계산 2 2 5" xfId="3603" xr:uid="{00000000-0005-0000-0000-0000BD070000}"/>
    <cellStyle name="계산 2 2 6" xfId="3604" xr:uid="{00000000-0005-0000-0000-0000BE070000}"/>
    <cellStyle name="계산 2 3" xfId="1011" xr:uid="{00000000-0005-0000-0000-0000BF070000}"/>
    <cellStyle name="계산 2 3 2" xfId="3605" xr:uid="{00000000-0005-0000-0000-0000C0070000}"/>
    <cellStyle name="계산 2 3 3" xfId="3606" xr:uid="{00000000-0005-0000-0000-0000C1070000}"/>
    <cellStyle name="계산 2 4" xfId="1012" xr:uid="{00000000-0005-0000-0000-0000C2070000}"/>
    <cellStyle name="계산 2 5" xfId="3607" xr:uid="{00000000-0005-0000-0000-0000C3070000}"/>
    <cellStyle name="계산 2_1) 도로시설물" xfId="1013" xr:uid="{00000000-0005-0000-0000-0000C4070000}"/>
    <cellStyle name="계산 3" xfId="1014" xr:uid="{00000000-0005-0000-0000-0000C5070000}"/>
    <cellStyle name="계산 3 2" xfId="1015" xr:uid="{00000000-0005-0000-0000-0000C6070000}"/>
    <cellStyle name="계산 3 2 2" xfId="1016" xr:uid="{00000000-0005-0000-0000-0000C7070000}"/>
    <cellStyle name="계산 3 3" xfId="1017" xr:uid="{00000000-0005-0000-0000-0000C8070000}"/>
    <cellStyle name="계산 4" xfId="1018" xr:uid="{00000000-0005-0000-0000-0000C9070000}"/>
    <cellStyle name="계산 4 2" xfId="1019" xr:uid="{00000000-0005-0000-0000-0000CA070000}"/>
    <cellStyle name="계산 4 3" xfId="1020" xr:uid="{00000000-0005-0000-0000-0000CB070000}"/>
    <cellStyle name="계산 5" xfId="1021" xr:uid="{00000000-0005-0000-0000-0000CC070000}"/>
    <cellStyle name="계산 5 2" xfId="1022" xr:uid="{00000000-0005-0000-0000-0000CD070000}"/>
    <cellStyle name="계산 6" xfId="1023" xr:uid="{00000000-0005-0000-0000-0000CE070000}"/>
    <cellStyle name="계산 6 10" xfId="3608" xr:uid="{00000000-0005-0000-0000-0000CF070000}"/>
    <cellStyle name="계산 6 2" xfId="3609" xr:uid="{00000000-0005-0000-0000-0000D0070000}"/>
    <cellStyle name="계산 6 3" xfId="3610" xr:uid="{00000000-0005-0000-0000-0000D1070000}"/>
    <cellStyle name="계산 6 4" xfId="3611" xr:uid="{00000000-0005-0000-0000-0000D2070000}"/>
    <cellStyle name="계산 6 5" xfId="3612" xr:uid="{00000000-0005-0000-0000-0000D3070000}"/>
    <cellStyle name="계산 6 6" xfId="3613" xr:uid="{00000000-0005-0000-0000-0000D4070000}"/>
    <cellStyle name="계산 6 7" xfId="3614" xr:uid="{00000000-0005-0000-0000-0000D5070000}"/>
    <cellStyle name="계산 6 8" xfId="3615" xr:uid="{00000000-0005-0000-0000-0000D6070000}"/>
    <cellStyle name="계산 6 9" xfId="3616" xr:uid="{00000000-0005-0000-0000-0000D7070000}"/>
    <cellStyle name="계산 7" xfId="1024" xr:uid="{00000000-0005-0000-0000-0000D8070000}"/>
    <cellStyle name="계산 7 2" xfId="3617" xr:uid="{00000000-0005-0000-0000-0000D9070000}"/>
    <cellStyle name="계산 8" xfId="1025" xr:uid="{00000000-0005-0000-0000-0000DA070000}"/>
    <cellStyle name="계산 8 2" xfId="3618" xr:uid="{00000000-0005-0000-0000-0000DB070000}"/>
    <cellStyle name="계산 9" xfId="1026" xr:uid="{00000000-0005-0000-0000-0000DC070000}"/>
    <cellStyle name="고정소숫점" xfId="1027" xr:uid="{00000000-0005-0000-0000-0000DD070000}"/>
    <cellStyle name="고정소숫점 2" xfId="1028" xr:uid="{00000000-0005-0000-0000-0000DE070000}"/>
    <cellStyle name="고정출력1" xfId="1029" xr:uid="{00000000-0005-0000-0000-0000DF070000}"/>
    <cellStyle name="고정출력1 2" xfId="1030" xr:uid="{00000000-0005-0000-0000-0000E0070000}"/>
    <cellStyle name="고정출력2" xfId="1031" xr:uid="{00000000-0005-0000-0000-0000E1070000}"/>
    <cellStyle name="고정출력2 2" xfId="1032" xr:uid="{00000000-0005-0000-0000-0000E2070000}"/>
    <cellStyle name="과정별배정" xfId="1033" xr:uid="{00000000-0005-0000-0000-0000E3070000}"/>
    <cellStyle name="과정별배정 2" xfId="1034" xr:uid="{00000000-0005-0000-0000-0000E4070000}"/>
    <cellStyle name="나쁨 10" xfId="1035" xr:uid="{00000000-0005-0000-0000-0000E5070000}"/>
    <cellStyle name="나쁨 11" xfId="3619" xr:uid="{00000000-0005-0000-0000-0000E6070000}"/>
    <cellStyle name="나쁨 11 2" xfId="3620" xr:uid="{00000000-0005-0000-0000-0000E7070000}"/>
    <cellStyle name="나쁨 11 3" xfId="3621" xr:uid="{00000000-0005-0000-0000-0000E8070000}"/>
    <cellStyle name="나쁨 11 4" xfId="3622" xr:uid="{00000000-0005-0000-0000-0000E9070000}"/>
    <cellStyle name="나쁨 11 5" xfId="3623" xr:uid="{00000000-0005-0000-0000-0000EA070000}"/>
    <cellStyle name="나쁨 11 6" xfId="3624" xr:uid="{00000000-0005-0000-0000-0000EB070000}"/>
    <cellStyle name="나쁨 11 7" xfId="3625" xr:uid="{00000000-0005-0000-0000-0000EC070000}"/>
    <cellStyle name="나쁨 2" xfId="1036" xr:uid="{00000000-0005-0000-0000-0000ED070000}"/>
    <cellStyle name="나쁨 2 2" xfId="1037" xr:uid="{00000000-0005-0000-0000-0000EE070000}"/>
    <cellStyle name="나쁨 2 2 2" xfId="1038" xr:uid="{00000000-0005-0000-0000-0000EF070000}"/>
    <cellStyle name="나쁨 2 2 2 2" xfId="3626" xr:uid="{00000000-0005-0000-0000-0000F0070000}"/>
    <cellStyle name="나쁨 2 2 2 2 2" xfId="3627" xr:uid="{00000000-0005-0000-0000-0000F1070000}"/>
    <cellStyle name="나쁨 2 2 2 2 2 2" xfId="3628" xr:uid="{00000000-0005-0000-0000-0000F2070000}"/>
    <cellStyle name="나쁨 2 2 2 2 2 2 2" xfId="3629" xr:uid="{00000000-0005-0000-0000-0000F3070000}"/>
    <cellStyle name="나쁨 2 2 2 2 2 2 2 2" xfId="3630" xr:uid="{00000000-0005-0000-0000-0000F4070000}"/>
    <cellStyle name="나쁨 2 2 2 2 2 2 2 3" xfId="3631" xr:uid="{00000000-0005-0000-0000-0000F5070000}"/>
    <cellStyle name="나쁨 2 2 2 2 2 2 3" xfId="3632" xr:uid="{00000000-0005-0000-0000-0000F6070000}"/>
    <cellStyle name="나쁨 2 2 2 2 2 3" xfId="3633" xr:uid="{00000000-0005-0000-0000-0000F7070000}"/>
    <cellStyle name="나쁨 2 2 2 2 3" xfId="3634" xr:uid="{00000000-0005-0000-0000-0000F8070000}"/>
    <cellStyle name="나쁨 2 2 2 2 4" xfId="3635" xr:uid="{00000000-0005-0000-0000-0000F9070000}"/>
    <cellStyle name="나쁨 2 2 2 3" xfId="3636" xr:uid="{00000000-0005-0000-0000-0000FA070000}"/>
    <cellStyle name="나쁨 2 2 2 4" xfId="3637" xr:uid="{00000000-0005-0000-0000-0000FB070000}"/>
    <cellStyle name="나쁨 2 2 3" xfId="1039" xr:uid="{00000000-0005-0000-0000-0000FC070000}"/>
    <cellStyle name="나쁨 2 2 4" xfId="3638" xr:uid="{00000000-0005-0000-0000-0000FD070000}"/>
    <cellStyle name="나쁨 2 2 5" xfId="3639" xr:uid="{00000000-0005-0000-0000-0000FE070000}"/>
    <cellStyle name="나쁨 2 2 6" xfId="3640" xr:uid="{00000000-0005-0000-0000-0000FF070000}"/>
    <cellStyle name="나쁨 2 3" xfId="1040" xr:uid="{00000000-0005-0000-0000-000000080000}"/>
    <cellStyle name="나쁨 2 3 2" xfId="3641" xr:uid="{00000000-0005-0000-0000-000001080000}"/>
    <cellStyle name="나쁨 2 3 3" xfId="3642" xr:uid="{00000000-0005-0000-0000-000002080000}"/>
    <cellStyle name="나쁨 2 4" xfId="1041" xr:uid="{00000000-0005-0000-0000-000003080000}"/>
    <cellStyle name="나쁨 2 5" xfId="3643" xr:uid="{00000000-0005-0000-0000-000004080000}"/>
    <cellStyle name="나쁨 2_1) 도로시설물" xfId="1042" xr:uid="{00000000-0005-0000-0000-000005080000}"/>
    <cellStyle name="나쁨 3" xfId="1043" xr:uid="{00000000-0005-0000-0000-000006080000}"/>
    <cellStyle name="나쁨 3 2" xfId="1044" xr:uid="{00000000-0005-0000-0000-000007080000}"/>
    <cellStyle name="나쁨 3 2 2" xfId="1045" xr:uid="{00000000-0005-0000-0000-000008080000}"/>
    <cellStyle name="나쁨 3 3" xfId="1046" xr:uid="{00000000-0005-0000-0000-000009080000}"/>
    <cellStyle name="나쁨 4" xfId="1047" xr:uid="{00000000-0005-0000-0000-00000A080000}"/>
    <cellStyle name="나쁨 4 2" xfId="1048" xr:uid="{00000000-0005-0000-0000-00000B080000}"/>
    <cellStyle name="나쁨 4 3" xfId="1049" xr:uid="{00000000-0005-0000-0000-00000C080000}"/>
    <cellStyle name="나쁨 5" xfId="1050" xr:uid="{00000000-0005-0000-0000-00000D080000}"/>
    <cellStyle name="나쁨 5 2" xfId="1051" xr:uid="{00000000-0005-0000-0000-00000E080000}"/>
    <cellStyle name="나쁨 6" xfId="1052" xr:uid="{00000000-0005-0000-0000-00000F080000}"/>
    <cellStyle name="나쁨 6 10" xfId="3644" xr:uid="{00000000-0005-0000-0000-000010080000}"/>
    <cellStyle name="나쁨 6 2" xfId="3645" xr:uid="{00000000-0005-0000-0000-000011080000}"/>
    <cellStyle name="나쁨 6 3" xfId="3646" xr:uid="{00000000-0005-0000-0000-000012080000}"/>
    <cellStyle name="나쁨 6 4" xfId="3647" xr:uid="{00000000-0005-0000-0000-000013080000}"/>
    <cellStyle name="나쁨 6 5" xfId="3648" xr:uid="{00000000-0005-0000-0000-000014080000}"/>
    <cellStyle name="나쁨 6 6" xfId="3649" xr:uid="{00000000-0005-0000-0000-000015080000}"/>
    <cellStyle name="나쁨 6 7" xfId="3650" xr:uid="{00000000-0005-0000-0000-000016080000}"/>
    <cellStyle name="나쁨 6 8" xfId="3651" xr:uid="{00000000-0005-0000-0000-000017080000}"/>
    <cellStyle name="나쁨 6 9" xfId="3652" xr:uid="{00000000-0005-0000-0000-000018080000}"/>
    <cellStyle name="나쁨 7" xfId="1053" xr:uid="{00000000-0005-0000-0000-000019080000}"/>
    <cellStyle name="나쁨 7 2" xfId="3653" xr:uid="{00000000-0005-0000-0000-00001A080000}"/>
    <cellStyle name="나쁨 8" xfId="1054" xr:uid="{00000000-0005-0000-0000-00001B080000}"/>
    <cellStyle name="나쁨 8 2" xfId="3654" xr:uid="{00000000-0005-0000-0000-00001C080000}"/>
    <cellStyle name="나쁨 9" xfId="1055" xr:uid="{00000000-0005-0000-0000-00001D080000}"/>
    <cellStyle name="날짜" xfId="1056" xr:uid="{00000000-0005-0000-0000-00001E080000}"/>
    <cellStyle name="날짜 2" xfId="1057" xr:uid="{00000000-0005-0000-0000-00001F080000}"/>
    <cellStyle name="달러" xfId="1058" xr:uid="{00000000-0005-0000-0000-000020080000}"/>
    <cellStyle name="달러 2" xfId="1059" xr:uid="{00000000-0005-0000-0000-000021080000}"/>
    <cellStyle name="똿뗦먛귟 [0.00]_NT Server " xfId="1060" xr:uid="{00000000-0005-0000-0000-000022080000}"/>
    <cellStyle name="똿뗦먛귟_NT Server " xfId="1061" xr:uid="{00000000-0005-0000-0000-000023080000}"/>
    <cellStyle name="메모 10" xfId="1062" xr:uid="{00000000-0005-0000-0000-000024080000}"/>
    <cellStyle name="메모 10 2" xfId="1063" xr:uid="{00000000-0005-0000-0000-000025080000}"/>
    <cellStyle name="메모 10 3" xfId="1064" xr:uid="{00000000-0005-0000-0000-000026080000}"/>
    <cellStyle name="메모 10 4" xfId="1065" xr:uid="{00000000-0005-0000-0000-000027080000}"/>
    <cellStyle name="메모 11" xfId="1066" xr:uid="{00000000-0005-0000-0000-000028080000}"/>
    <cellStyle name="메모 11 2" xfId="1067" xr:uid="{00000000-0005-0000-0000-000029080000}"/>
    <cellStyle name="메모 11 3" xfId="1068" xr:uid="{00000000-0005-0000-0000-00002A080000}"/>
    <cellStyle name="메모 11 4" xfId="1069" xr:uid="{00000000-0005-0000-0000-00002B080000}"/>
    <cellStyle name="메모 12" xfId="1070" xr:uid="{00000000-0005-0000-0000-00002C080000}"/>
    <cellStyle name="메모 12 2" xfId="1071" xr:uid="{00000000-0005-0000-0000-00002D080000}"/>
    <cellStyle name="메모 12 3" xfId="1072" xr:uid="{00000000-0005-0000-0000-00002E080000}"/>
    <cellStyle name="메모 13" xfId="1073" xr:uid="{00000000-0005-0000-0000-00002F080000}"/>
    <cellStyle name="메모 13 2" xfId="1074" xr:uid="{00000000-0005-0000-0000-000030080000}"/>
    <cellStyle name="메모 13 3" xfId="1075" xr:uid="{00000000-0005-0000-0000-000031080000}"/>
    <cellStyle name="메모 13 4" xfId="3655" xr:uid="{00000000-0005-0000-0000-000032080000}"/>
    <cellStyle name="메모 13 5" xfId="3656" xr:uid="{00000000-0005-0000-0000-000033080000}"/>
    <cellStyle name="메모 13 6" xfId="3657" xr:uid="{00000000-0005-0000-0000-000034080000}"/>
    <cellStyle name="메모 13 7" xfId="3658" xr:uid="{00000000-0005-0000-0000-000035080000}"/>
    <cellStyle name="메모 13 8" xfId="3659" xr:uid="{00000000-0005-0000-0000-000036080000}"/>
    <cellStyle name="메모 14" xfId="1076" xr:uid="{00000000-0005-0000-0000-000037080000}"/>
    <cellStyle name="메모 14 2" xfId="1077" xr:uid="{00000000-0005-0000-0000-000038080000}"/>
    <cellStyle name="메모 14 3" xfId="1078" xr:uid="{00000000-0005-0000-0000-000039080000}"/>
    <cellStyle name="메모 15" xfId="1079" xr:uid="{00000000-0005-0000-0000-00003A080000}"/>
    <cellStyle name="메모 15 2" xfId="1080" xr:uid="{00000000-0005-0000-0000-00003B080000}"/>
    <cellStyle name="메모 15 3" xfId="1081" xr:uid="{00000000-0005-0000-0000-00003C080000}"/>
    <cellStyle name="메모 16" xfId="1082" xr:uid="{00000000-0005-0000-0000-00003D080000}"/>
    <cellStyle name="메모 16 2" xfId="1083" xr:uid="{00000000-0005-0000-0000-00003E080000}"/>
    <cellStyle name="메모 16 3" xfId="1084" xr:uid="{00000000-0005-0000-0000-00003F080000}"/>
    <cellStyle name="메모 17" xfId="1085" xr:uid="{00000000-0005-0000-0000-000040080000}"/>
    <cellStyle name="메모 17 2" xfId="1086" xr:uid="{00000000-0005-0000-0000-000041080000}"/>
    <cellStyle name="메모 17 3" xfId="1087" xr:uid="{00000000-0005-0000-0000-000042080000}"/>
    <cellStyle name="메모 18" xfId="1088" xr:uid="{00000000-0005-0000-0000-000043080000}"/>
    <cellStyle name="메모 18 2" xfId="1089" xr:uid="{00000000-0005-0000-0000-000044080000}"/>
    <cellStyle name="메모 18 3" xfId="1090" xr:uid="{00000000-0005-0000-0000-000045080000}"/>
    <cellStyle name="메모 19" xfId="1091" xr:uid="{00000000-0005-0000-0000-000046080000}"/>
    <cellStyle name="메모 19 2" xfId="1092" xr:uid="{00000000-0005-0000-0000-000047080000}"/>
    <cellStyle name="메모 19 3" xfId="1093" xr:uid="{00000000-0005-0000-0000-000048080000}"/>
    <cellStyle name="메모 2" xfId="1094" xr:uid="{00000000-0005-0000-0000-000049080000}"/>
    <cellStyle name="메모 2 10" xfId="1095" xr:uid="{00000000-0005-0000-0000-00004A080000}"/>
    <cellStyle name="메모 2 11" xfId="1096" xr:uid="{00000000-0005-0000-0000-00004B080000}"/>
    <cellStyle name="메모 2 2" xfId="1097" xr:uid="{00000000-0005-0000-0000-00004C080000}"/>
    <cellStyle name="메모 2 2 2" xfId="1098" xr:uid="{00000000-0005-0000-0000-00004D080000}"/>
    <cellStyle name="메모 2 2 2 2" xfId="1099" xr:uid="{00000000-0005-0000-0000-00004E080000}"/>
    <cellStyle name="메모 2 2 2 3" xfId="3660" xr:uid="{00000000-0005-0000-0000-00004F080000}"/>
    <cellStyle name="메모 2 2 2 4" xfId="3661" xr:uid="{00000000-0005-0000-0000-000050080000}"/>
    <cellStyle name="메모 2 2 2 5" xfId="3662" xr:uid="{00000000-0005-0000-0000-000051080000}"/>
    <cellStyle name="메모 2 2 3" xfId="1100" xr:uid="{00000000-0005-0000-0000-000052080000}"/>
    <cellStyle name="메모 2 2 4" xfId="1101" xr:uid="{00000000-0005-0000-0000-000053080000}"/>
    <cellStyle name="메모 2 2 5" xfId="3663" xr:uid="{00000000-0005-0000-0000-000054080000}"/>
    <cellStyle name="메모 2 2 6" xfId="3664" xr:uid="{00000000-0005-0000-0000-000055080000}"/>
    <cellStyle name="메모 2 2 7" xfId="3665" xr:uid="{00000000-0005-0000-0000-000056080000}"/>
    <cellStyle name="메모 2 2 8" xfId="3666" xr:uid="{00000000-0005-0000-0000-000057080000}"/>
    <cellStyle name="메모 2 2_1) 도로시설물" xfId="1102" xr:uid="{00000000-0005-0000-0000-000058080000}"/>
    <cellStyle name="메모 2 3" xfId="1103" xr:uid="{00000000-0005-0000-0000-000059080000}"/>
    <cellStyle name="메모 2 3 2" xfId="1104" xr:uid="{00000000-0005-0000-0000-00005A080000}"/>
    <cellStyle name="메모 2 3 3" xfId="3667" xr:uid="{00000000-0005-0000-0000-00005B080000}"/>
    <cellStyle name="메모 2 3 4" xfId="3668" xr:uid="{00000000-0005-0000-0000-00005C080000}"/>
    <cellStyle name="메모 2 4" xfId="1105" xr:uid="{00000000-0005-0000-0000-00005D080000}"/>
    <cellStyle name="메모 2 5" xfId="1106" xr:uid="{00000000-0005-0000-0000-00005E080000}"/>
    <cellStyle name="메모 2 6" xfId="1107" xr:uid="{00000000-0005-0000-0000-00005F080000}"/>
    <cellStyle name="메모 2 7" xfId="1108" xr:uid="{00000000-0005-0000-0000-000060080000}"/>
    <cellStyle name="메모 2 8" xfId="1109" xr:uid="{00000000-0005-0000-0000-000061080000}"/>
    <cellStyle name="메모 2 9" xfId="1110" xr:uid="{00000000-0005-0000-0000-000062080000}"/>
    <cellStyle name="메모 2_1) 도로시설물" xfId="1111" xr:uid="{00000000-0005-0000-0000-000063080000}"/>
    <cellStyle name="메모 20" xfId="1112" xr:uid="{00000000-0005-0000-0000-000064080000}"/>
    <cellStyle name="메모 20 2" xfId="1113" xr:uid="{00000000-0005-0000-0000-000065080000}"/>
    <cellStyle name="메모 20 3" xfId="1114" xr:uid="{00000000-0005-0000-0000-000066080000}"/>
    <cellStyle name="메모 21" xfId="1115" xr:uid="{00000000-0005-0000-0000-000067080000}"/>
    <cellStyle name="메모 21 2" xfId="1116" xr:uid="{00000000-0005-0000-0000-000068080000}"/>
    <cellStyle name="메모 21 3" xfId="1117" xr:uid="{00000000-0005-0000-0000-000069080000}"/>
    <cellStyle name="메모 22" xfId="1118" xr:uid="{00000000-0005-0000-0000-00006A080000}"/>
    <cellStyle name="메모 22 2" xfId="1119" xr:uid="{00000000-0005-0000-0000-00006B080000}"/>
    <cellStyle name="메모 22 3" xfId="1120" xr:uid="{00000000-0005-0000-0000-00006C080000}"/>
    <cellStyle name="메모 23" xfId="1121" xr:uid="{00000000-0005-0000-0000-00006D080000}"/>
    <cellStyle name="메모 23 2" xfId="1122" xr:uid="{00000000-0005-0000-0000-00006E080000}"/>
    <cellStyle name="메모 23 3" xfId="1123" xr:uid="{00000000-0005-0000-0000-00006F080000}"/>
    <cellStyle name="메모 24" xfId="1124" xr:uid="{00000000-0005-0000-0000-000070080000}"/>
    <cellStyle name="메모 24 2" xfId="1125" xr:uid="{00000000-0005-0000-0000-000071080000}"/>
    <cellStyle name="메모 24 3" xfId="1126" xr:uid="{00000000-0005-0000-0000-000072080000}"/>
    <cellStyle name="메모 25" xfId="1127" xr:uid="{00000000-0005-0000-0000-000073080000}"/>
    <cellStyle name="메모 25 2" xfId="1128" xr:uid="{00000000-0005-0000-0000-000074080000}"/>
    <cellStyle name="메모 25 3" xfId="1129" xr:uid="{00000000-0005-0000-0000-000075080000}"/>
    <cellStyle name="메모 26" xfId="1130" xr:uid="{00000000-0005-0000-0000-000076080000}"/>
    <cellStyle name="메모 26 2" xfId="1131" xr:uid="{00000000-0005-0000-0000-000077080000}"/>
    <cellStyle name="메모 27" xfId="1132" xr:uid="{00000000-0005-0000-0000-000078080000}"/>
    <cellStyle name="메모 27 2" xfId="1133" xr:uid="{00000000-0005-0000-0000-000079080000}"/>
    <cellStyle name="메모 28" xfId="1134" xr:uid="{00000000-0005-0000-0000-00007A080000}"/>
    <cellStyle name="메모 29" xfId="1135" xr:uid="{00000000-0005-0000-0000-00007B080000}"/>
    <cellStyle name="메모 3" xfId="1136" xr:uid="{00000000-0005-0000-0000-00007C080000}"/>
    <cellStyle name="메모 3 2" xfId="1137" xr:uid="{00000000-0005-0000-0000-00007D080000}"/>
    <cellStyle name="메모 3 2 2" xfId="1138" xr:uid="{00000000-0005-0000-0000-00007E080000}"/>
    <cellStyle name="메모 3 2 3" xfId="1139" xr:uid="{00000000-0005-0000-0000-00007F080000}"/>
    <cellStyle name="메모 3 3" xfId="1140" xr:uid="{00000000-0005-0000-0000-000080080000}"/>
    <cellStyle name="메모 3 4" xfId="1141" xr:uid="{00000000-0005-0000-0000-000081080000}"/>
    <cellStyle name="메모 3 5" xfId="1142" xr:uid="{00000000-0005-0000-0000-000082080000}"/>
    <cellStyle name="메모 3 6" xfId="1143" xr:uid="{00000000-0005-0000-0000-000083080000}"/>
    <cellStyle name="메모 3 7" xfId="3669" xr:uid="{00000000-0005-0000-0000-000084080000}"/>
    <cellStyle name="메모 3 8" xfId="3670" xr:uid="{00000000-0005-0000-0000-000085080000}"/>
    <cellStyle name="메모 3_1) 도로시설물" xfId="1144" xr:uid="{00000000-0005-0000-0000-000086080000}"/>
    <cellStyle name="메모 30" xfId="1145" xr:uid="{00000000-0005-0000-0000-000087080000}"/>
    <cellStyle name="메모 31" xfId="1146" xr:uid="{00000000-0005-0000-0000-000088080000}"/>
    <cellStyle name="메모 32" xfId="1147" xr:uid="{00000000-0005-0000-0000-000089080000}"/>
    <cellStyle name="메모 33" xfId="1148" xr:uid="{00000000-0005-0000-0000-00008A080000}"/>
    <cellStyle name="메모 34" xfId="1149" xr:uid="{00000000-0005-0000-0000-00008B080000}"/>
    <cellStyle name="메모 35" xfId="1150" xr:uid="{00000000-0005-0000-0000-00008C080000}"/>
    <cellStyle name="메모 36" xfId="1151" xr:uid="{00000000-0005-0000-0000-00008D080000}"/>
    <cellStyle name="메모 37" xfId="1152" xr:uid="{00000000-0005-0000-0000-00008E080000}"/>
    <cellStyle name="메모 38" xfId="1153" xr:uid="{00000000-0005-0000-0000-00008F080000}"/>
    <cellStyle name="메모 39" xfId="1154" xr:uid="{00000000-0005-0000-0000-000090080000}"/>
    <cellStyle name="메모 4" xfId="1155" xr:uid="{00000000-0005-0000-0000-000091080000}"/>
    <cellStyle name="메모 4 2" xfId="1156" xr:uid="{00000000-0005-0000-0000-000092080000}"/>
    <cellStyle name="메모 4 2 2" xfId="1157" xr:uid="{00000000-0005-0000-0000-000093080000}"/>
    <cellStyle name="메모 4 2 3" xfId="3671" xr:uid="{00000000-0005-0000-0000-000094080000}"/>
    <cellStyle name="메모 4 2 4" xfId="3672" xr:uid="{00000000-0005-0000-0000-000095080000}"/>
    <cellStyle name="메모 4 3" xfId="1158" xr:uid="{00000000-0005-0000-0000-000096080000}"/>
    <cellStyle name="메모 4 4" xfId="1159" xr:uid="{00000000-0005-0000-0000-000097080000}"/>
    <cellStyle name="메모 4 5" xfId="1160" xr:uid="{00000000-0005-0000-0000-000098080000}"/>
    <cellStyle name="메모 4 6" xfId="1161" xr:uid="{00000000-0005-0000-0000-000099080000}"/>
    <cellStyle name="메모 40" xfId="1162" xr:uid="{00000000-0005-0000-0000-00009A080000}"/>
    <cellStyle name="메모 41" xfId="1163" xr:uid="{00000000-0005-0000-0000-00009B080000}"/>
    <cellStyle name="메모 42" xfId="1164" xr:uid="{00000000-0005-0000-0000-00009C080000}"/>
    <cellStyle name="메모 43" xfId="1165" xr:uid="{00000000-0005-0000-0000-00009D080000}"/>
    <cellStyle name="메모 44" xfId="1166" xr:uid="{00000000-0005-0000-0000-00009E080000}"/>
    <cellStyle name="메모 45" xfId="1167" xr:uid="{00000000-0005-0000-0000-00009F080000}"/>
    <cellStyle name="메모 46" xfId="1168" xr:uid="{00000000-0005-0000-0000-0000A0080000}"/>
    <cellStyle name="메모 47" xfId="1169" xr:uid="{00000000-0005-0000-0000-0000A1080000}"/>
    <cellStyle name="메모 48" xfId="1170" xr:uid="{00000000-0005-0000-0000-0000A2080000}"/>
    <cellStyle name="메모 49" xfId="1171" xr:uid="{00000000-0005-0000-0000-0000A3080000}"/>
    <cellStyle name="메모 5" xfId="1172" xr:uid="{00000000-0005-0000-0000-0000A4080000}"/>
    <cellStyle name="메모 5 2" xfId="1173" xr:uid="{00000000-0005-0000-0000-0000A5080000}"/>
    <cellStyle name="메모 5 3" xfId="1174" xr:uid="{00000000-0005-0000-0000-0000A6080000}"/>
    <cellStyle name="메모 5 4" xfId="1175" xr:uid="{00000000-0005-0000-0000-0000A7080000}"/>
    <cellStyle name="메모 5 5" xfId="1176" xr:uid="{00000000-0005-0000-0000-0000A8080000}"/>
    <cellStyle name="메모 5 6" xfId="1177" xr:uid="{00000000-0005-0000-0000-0000A9080000}"/>
    <cellStyle name="메모 50" xfId="1178" xr:uid="{00000000-0005-0000-0000-0000AA080000}"/>
    <cellStyle name="메모 51" xfId="1179" xr:uid="{00000000-0005-0000-0000-0000AB080000}"/>
    <cellStyle name="메모 52" xfId="1180" xr:uid="{00000000-0005-0000-0000-0000AC080000}"/>
    <cellStyle name="메모 53" xfId="1181" xr:uid="{00000000-0005-0000-0000-0000AD080000}"/>
    <cellStyle name="메모 54" xfId="1182" xr:uid="{00000000-0005-0000-0000-0000AE080000}"/>
    <cellStyle name="메모 55" xfId="1183" xr:uid="{00000000-0005-0000-0000-0000AF080000}"/>
    <cellStyle name="메모 56" xfId="1184" xr:uid="{00000000-0005-0000-0000-0000B0080000}"/>
    <cellStyle name="메모 57" xfId="1185" xr:uid="{00000000-0005-0000-0000-0000B1080000}"/>
    <cellStyle name="메모 58" xfId="1186" xr:uid="{00000000-0005-0000-0000-0000B2080000}"/>
    <cellStyle name="메모 59" xfId="1187" xr:uid="{00000000-0005-0000-0000-0000B3080000}"/>
    <cellStyle name="메모 6" xfId="1188" xr:uid="{00000000-0005-0000-0000-0000B4080000}"/>
    <cellStyle name="메모 6 2" xfId="1189" xr:uid="{00000000-0005-0000-0000-0000B5080000}"/>
    <cellStyle name="메모 6 3" xfId="1190" xr:uid="{00000000-0005-0000-0000-0000B6080000}"/>
    <cellStyle name="메모 6 4" xfId="1191" xr:uid="{00000000-0005-0000-0000-0000B7080000}"/>
    <cellStyle name="메모 6 4 2" xfId="1192" xr:uid="{00000000-0005-0000-0000-0000B8080000}"/>
    <cellStyle name="메모 6 5" xfId="1193" xr:uid="{00000000-0005-0000-0000-0000B9080000}"/>
    <cellStyle name="메모 60" xfId="1194" xr:uid="{00000000-0005-0000-0000-0000BA080000}"/>
    <cellStyle name="메모 61" xfId="1195" xr:uid="{00000000-0005-0000-0000-0000BB080000}"/>
    <cellStyle name="메모 62" xfId="1196" xr:uid="{00000000-0005-0000-0000-0000BC080000}"/>
    <cellStyle name="메모 63" xfId="1197" xr:uid="{00000000-0005-0000-0000-0000BD080000}"/>
    <cellStyle name="메모 64" xfId="1198" xr:uid="{00000000-0005-0000-0000-0000BE080000}"/>
    <cellStyle name="메모 65" xfId="1199" xr:uid="{00000000-0005-0000-0000-0000BF080000}"/>
    <cellStyle name="메모 66" xfId="1200" xr:uid="{00000000-0005-0000-0000-0000C0080000}"/>
    <cellStyle name="메모 67" xfId="1201" xr:uid="{00000000-0005-0000-0000-0000C1080000}"/>
    <cellStyle name="메모 68" xfId="1202" xr:uid="{00000000-0005-0000-0000-0000C2080000}"/>
    <cellStyle name="메모 69" xfId="1203" xr:uid="{00000000-0005-0000-0000-0000C3080000}"/>
    <cellStyle name="메모 7" xfId="1204" xr:uid="{00000000-0005-0000-0000-0000C4080000}"/>
    <cellStyle name="메모 7 2" xfId="1205" xr:uid="{00000000-0005-0000-0000-0000C5080000}"/>
    <cellStyle name="메모 7 3" xfId="1206" xr:uid="{00000000-0005-0000-0000-0000C6080000}"/>
    <cellStyle name="메모 7 4" xfId="1207" xr:uid="{00000000-0005-0000-0000-0000C7080000}"/>
    <cellStyle name="메모 70" xfId="1208" xr:uid="{00000000-0005-0000-0000-0000C8080000}"/>
    <cellStyle name="메모 71" xfId="1209" xr:uid="{00000000-0005-0000-0000-0000C9080000}"/>
    <cellStyle name="메모 72" xfId="1210" xr:uid="{00000000-0005-0000-0000-0000CA080000}"/>
    <cellStyle name="메모 73" xfId="1211" xr:uid="{00000000-0005-0000-0000-0000CB080000}"/>
    <cellStyle name="메모 74" xfId="1212" xr:uid="{00000000-0005-0000-0000-0000CC080000}"/>
    <cellStyle name="메모 75" xfId="1213" xr:uid="{00000000-0005-0000-0000-0000CD080000}"/>
    <cellStyle name="메모 76" xfId="1214" xr:uid="{00000000-0005-0000-0000-0000CE080000}"/>
    <cellStyle name="메모 77" xfId="1215" xr:uid="{00000000-0005-0000-0000-0000CF080000}"/>
    <cellStyle name="메모 78" xfId="1216" xr:uid="{00000000-0005-0000-0000-0000D0080000}"/>
    <cellStyle name="메모 79" xfId="1217" xr:uid="{00000000-0005-0000-0000-0000D1080000}"/>
    <cellStyle name="메모 8" xfId="1218" xr:uid="{00000000-0005-0000-0000-0000D2080000}"/>
    <cellStyle name="메모 8 10" xfId="3673" xr:uid="{00000000-0005-0000-0000-0000D3080000}"/>
    <cellStyle name="메모 8 11" xfId="3674" xr:uid="{00000000-0005-0000-0000-0000D4080000}"/>
    <cellStyle name="메모 8 2" xfId="1219" xr:uid="{00000000-0005-0000-0000-0000D5080000}"/>
    <cellStyle name="메모 8 3" xfId="1220" xr:uid="{00000000-0005-0000-0000-0000D6080000}"/>
    <cellStyle name="메모 8 4" xfId="1221" xr:uid="{00000000-0005-0000-0000-0000D7080000}"/>
    <cellStyle name="메모 8 5" xfId="3675" xr:uid="{00000000-0005-0000-0000-0000D8080000}"/>
    <cellStyle name="메모 8 6" xfId="3676" xr:uid="{00000000-0005-0000-0000-0000D9080000}"/>
    <cellStyle name="메모 8 7" xfId="3677" xr:uid="{00000000-0005-0000-0000-0000DA080000}"/>
    <cellStyle name="메모 8 8" xfId="3678" xr:uid="{00000000-0005-0000-0000-0000DB080000}"/>
    <cellStyle name="메모 8 9" xfId="3679" xr:uid="{00000000-0005-0000-0000-0000DC080000}"/>
    <cellStyle name="메모 80" xfId="1222" xr:uid="{00000000-0005-0000-0000-0000DD080000}"/>
    <cellStyle name="메모 81" xfId="1223" xr:uid="{00000000-0005-0000-0000-0000DE080000}"/>
    <cellStyle name="메모 82" xfId="1224" xr:uid="{00000000-0005-0000-0000-0000DF080000}"/>
    <cellStyle name="메모 83" xfId="1225" xr:uid="{00000000-0005-0000-0000-0000E0080000}"/>
    <cellStyle name="메모 84" xfId="1226" xr:uid="{00000000-0005-0000-0000-0000E1080000}"/>
    <cellStyle name="메모 85" xfId="1227" xr:uid="{00000000-0005-0000-0000-0000E2080000}"/>
    <cellStyle name="메모 86" xfId="1228" xr:uid="{00000000-0005-0000-0000-0000E3080000}"/>
    <cellStyle name="메모 87" xfId="1229" xr:uid="{00000000-0005-0000-0000-0000E4080000}"/>
    <cellStyle name="메모 88" xfId="1230" xr:uid="{00000000-0005-0000-0000-0000E5080000}"/>
    <cellStyle name="메모 89" xfId="1231" xr:uid="{00000000-0005-0000-0000-0000E6080000}"/>
    <cellStyle name="메모 9" xfId="1232" xr:uid="{00000000-0005-0000-0000-0000E7080000}"/>
    <cellStyle name="메모 9 2" xfId="1233" xr:uid="{00000000-0005-0000-0000-0000E8080000}"/>
    <cellStyle name="메모 9 3" xfId="1234" xr:uid="{00000000-0005-0000-0000-0000E9080000}"/>
    <cellStyle name="메모 9 4" xfId="1235" xr:uid="{00000000-0005-0000-0000-0000EA080000}"/>
    <cellStyle name="메모 90" xfId="1236" xr:uid="{00000000-0005-0000-0000-0000EB080000}"/>
    <cellStyle name="메모 91" xfId="1237" xr:uid="{00000000-0005-0000-0000-0000EC080000}"/>
    <cellStyle name="믅됞 [0.00]_NT Server " xfId="1238" xr:uid="{00000000-0005-0000-0000-0000ED080000}"/>
    <cellStyle name="믅됞_NT Server " xfId="1239" xr:uid="{00000000-0005-0000-0000-0000EE080000}"/>
    <cellStyle name="백분율 2" xfId="1240" xr:uid="{00000000-0005-0000-0000-0000EF080000}"/>
    <cellStyle name="백분율 2 2" xfId="1241" xr:uid="{00000000-0005-0000-0000-0000F0080000}"/>
    <cellStyle name="백분율 2 2 2" xfId="1242" xr:uid="{00000000-0005-0000-0000-0000F1080000}"/>
    <cellStyle name="백분율 2 3" xfId="1243" xr:uid="{00000000-0005-0000-0000-0000F2080000}"/>
    <cellStyle name="백분율 3" xfId="1244" xr:uid="{00000000-0005-0000-0000-0000F3080000}"/>
    <cellStyle name="백분율 3 2" xfId="1245" xr:uid="{00000000-0005-0000-0000-0000F4080000}"/>
    <cellStyle name="백분율 4" xfId="1246" xr:uid="{00000000-0005-0000-0000-0000F5080000}"/>
    <cellStyle name="보통 10" xfId="1247" xr:uid="{00000000-0005-0000-0000-0000F6080000}"/>
    <cellStyle name="보통 11" xfId="3680" xr:uid="{00000000-0005-0000-0000-0000F7080000}"/>
    <cellStyle name="보통 11 2" xfId="3681" xr:uid="{00000000-0005-0000-0000-0000F8080000}"/>
    <cellStyle name="보통 11 3" xfId="3682" xr:uid="{00000000-0005-0000-0000-0000F9080000}"/>
    <cellStyle name="보통 11 4" xfId="3683" xr:uid="{00000000-0005-0000-0000-0000FA080000}"/>
    <cellStyle name="보통 11 5" xfId="3684" xr:uid="{00000000-0005-0000-0000-0000FB080000}"/>
    <cellStyle name="보통 11 6" xfId="3685" xr:uid="{00000000-0005-0000-0000-0000FC080000}"/>
    <cellStyle name="보통 11 7" xfId="3686" xr:uid="{00000000-0005-0000-0000-0000FD080000}"/>
    <cellStyle name="보통 2" xfId="1248" xr:uid="{00000000-0005-0000-0000-0000FE080000}"/>
    <cellStyle name="보통 2 2" xfId="1249" xr:uid="{00000000-0005-0000-0000-0000FF080000}"/>
    <cellStyle name="보통 2 2 2" xfId="1250" xr:uid="{00000000-0005-0000-0000-000000090000}"/>
    <cellStyle name="보통 2 2 2 2" xfId="3687" xr:uid="{00000000-0005-0000-0000-000001090000}"/>
    <cellStyle name="보통 2 2 2 2 2" xfId="3688" xr:uid="{00000000-0005-0000-0000-000002090000}"/>
    <cellStyle name="보통 2 2 2 2 2 2" xfId="3689" xr:uid="{00000000-0005-0000-0000-000003090000}"/>
    <cellStyle name="보통 2 2 2 2 2 2 2" xfId="3690" xr:uid="{00000000-0005-0000-0000-000004090000}"/>
    <cellStyle name="보통 2 2 2 2 2 2 2 2" xfId="3691" xr:uid="{00000000-0005-0000-0000-000005090000}"/>
    <cellStyle name="보통 2 2 2 2 2 2 2 3" xfId="3692" xr:uid="{00000000-0005-0000-0000-000006090000}"/>
    <cellStyle name="보통 2 2 2 2 2 2 3" xfId="3693" xr:uid="{00000000-0005-0000-0000-000007090000}"/>
    <cellStyle name="보통 2 2 2 2 2 3" xfId="3694" xr:uid="{00000000-0005-0000-0000-000008090000}"/>
    <cellStyle name="보통 2 2 2 2 3" xfId="3695" xr:uid="{00000000-0005-0000-0000-000009090000}"/>
    <cellStyle name="보통 2 2 2 2 4" xfId="3696" xr:uid="{00000000-0005-0000-0000-00000A090000}"/>
    <cellStyle name="보통 2 2 2 3" xfId="3697" xr:uid="{00000000-0005-0000-0000-00000B090000}"/>
    <cellStyle name="보통 2 2 2 4" xfId="3698" xr:uid="{00000000-0005-0000-0000-00000C090000}"/>
    <cellStyle name="보통 2 2 3" xfId="1251" xr:uid="{00000000-0005-0000-0000-00000D090000}"/>
    <cellStyle name="보통 2 2 4" xfId="3699" xr:uid="{00000000-0005-0000-0000-00000E090000}"/>
    <cellStyle name="보통 2 2 5" xfId="3700" xr:uid="{00000000-0005-0000-0000-00000F090000}"/>
    <cellStyle name="보통 2 2 6" xfId="3701" xr:uid="{00000000-0005-0000-0000-000010090000}"/>
    <cellStyle name="보통 2 3" xfId="1252" xr:uid="{00000000-0005-0000-0000-000011090000}"/>
    <cellStyle name="보통 2 3 2" xfId="3702" xr:uid="{00000000-0005-0000-0000-000012090000}"/>
    <cellStyle name="보통 2 3 3" xfId="3703" xr:uid="{00000000-0005-0000-0000-000013090000}"/>
    <cellStyle name="보통 2 4" xfId="1253" xr:uid="{00000000-0005-0000-0000-000014090000}"/>
    <cellStyle name="보통 2 5" xfId="3704" xr:uid="{00000000-0005-0000-0000-000015090000}"/>
    <cellStyle name="보통 2_1) 도로시설물" xfId="1254" xr:uid="{00000000-0005-0000-0000-000016090000}"/>
    <cellStyle name="보통 3" xfId="1255" xr:uid="{00000000-0005-0000-0000-000017090000}"/>
    <cellStyle name="보통 3 2" xfId="1256" xr:uid="{00000000-0005-0000-0000-000018090000}"/>
    <cellStyle name="보통 3 2 2" xfId="1257" xr:uid="{00000000-0005-0000-0000-000019090000}"/>
    <cellStyle name="보통 3 3" xfId="1258" xr:uid="{00000000-0005-0000-0000-00001A090000}"/>
    <cellStyle name="보통 4" xfId="1259" xr:uid="{00000000-0005-0000-0000-00001B090000}"/>
    <cellStyle name="보통 4 2" xfId="1260" xr:uid="{00000000-0005-0000-0000-00001C090000}"/>
    <cellStyle name="보통 4 3" xfId="1261" xr:uid="{00000000-0005-0000-0000-00001D090000}"/>
    <cellStyle name="보통 5" xfId="1262" xr:uid="{00000000-0005-0000-0000-00001E090000}"/>
    <cellStyle name="보통 5 2" xfId="1263" xr:uid="{00000000-0005-0000-0000-00001F090000}"/>
    <cellStyle name="보통 6" xfId="1264" xr:uid="{00000000-0005-0000-0000-000020090000}"/>
    <cellStyle name="보통 6 10" xfId="3705" xr:uid="{00000000-0005-0000-0000-000021090000}"/>
    <cellStyle name="보통 6 2" xfId="3706" xr:uid="{00000000-0005-0000-0000-000022090000}"/>
    <cellStyle name="보통 6 3" xfId="3707" xr:uid="{00000000-0005-0000-0000-000023090000}"/>
    <cellStyle name="보통 6 4" xfId="3708" xr:uid="{00000000-0005-0000-0000-000024090000}"/>
    <cellStyle name="보통 6 5" xfId="3709" xr:uid="{00000000-0005-0000-0000-000025090000}"/>
    <cellStyle name="보통 6 6" xfId="3710" xr:uid="{00000000-0005-0000-0000-000026090000}"/>
    <cellStyle name="보통 6 7" xfId="3711" xr:uid="{00000000-0005-0000-0000-000027090000}"/>
    <cellStyle name="보통 6 8" xfId="3712" xr:uid="{00000000-0005-0000-0000-000028090000}"/>
    <cellStyle name="보통 6 9" xfId="3713" xr:uid="{00000000-0005-0000-0000-000029090000}"/>
    <cellStyle name="보통 7" xfId="1265" xr:uid="{00000000-0005-0000-0000-00002A090000}"/>
    <cellStyle name="보통 7 2" xfId="3714" xr:uid="{00000000-0005-0000-0000-00002B090000}"/>
    <cellStyle name="보통 8" xfId="1266" xr:uid="{00000000-0005-0000-0000-00002C090000}"/>
    <cellStyle name="보통 8 2" xfId="3715" xr:uid="{00000000-0005-0000-0000-00002D090000}"/>
    <cellStyle name="보통 9" xfId="1267" xr:uid="{00000000-0005-0000-0000-00002E090000}"/>
    <cellStyle name="뷭?_빟랹둴봃섟 " xfId="1268" xr:uid="{00000000-0005-0000-0000-00002F090000}"/>
    <cellStyle name="설명 텍스트 10" xfId="3716" xr:uid="{00000000-0005-0000-0000-000030090000}"/>
    <cellStyle name="설명 텍스트 11" xfId="3717" xr:uid="{00000000-0005-0000-0000-000031090000}"/>
    <cellStyle name="설명 텍스트 11 2" xfId="3718" xr:uid="{00000000-0005-0000-0000-000032090000}"/>
    <cellStyle name="설명 텍스트 11 3" xfId="3719" xr:uid="{00000000-0005-0000-0000-000033090000}"/>
    <cellStyle name="설명 텍스트 11 4" xfId="3720" xr:uid="{00000000-0005-0000-0000-000034090000}"/>
    <cellStyle name="설명 텍스트 11 5" xfId="3721" xr:uid="{00000000-0005-0000-0000-000035090000}"/>
    <cellStyle name="설명 텍스트 11 6" xfId="3722" xr:uid="{00000000-0005-0000-0000-000036090000}"/>
    <cellStyle name="설명 텍스트 11 7" xfId="3723" xr:uid="{00000000-0005-0000-0000-000037090000}"/>
    <cellStyle name="설명 텍스트 2" xfId="1269" xr:uid="{00000000-0005-0000-0000-000038090000}"/>
    <cellStyle name="설명 텍스트 2 2" xfId="1270" xr:uid="{00000000-0005-0000-0000-000039090000}"/>
    <cellStyle name="설명 텍스트 2 2 2" xfId="1271" xr:uid="{00000000-0005-0000-0000-00003A090000}"/>
    <cellStyle name="설명 텍스트 2 2 2 2" xfId="3724" xr:uid="{00000000-0005-0000-0000-00003B090000}"/>
    <cellStyle name="설명 텍스트 2 2 2 2 2" xfId="3725" xr:uid="{00000000-0005-0000-0000-00003C090000}"/>
    <cellStyle name="설명 텍스트 2 2 2 2 2 2" xfId="3726" xr:uid="{00000000-0005-0000-0000-00003D090000}"/>
    <cellStyle name="설명 텍스트 2 2 2 2 2 2 2" xfId="3727" xr:uid="{00000000-0005-0000-0000-00003E090000}"/>
    <cellStyle name="설명 텍스트 2 2 2 2 2 2 2 2" xfId="3728" xr:uid="{00000000-0005-0000-0000-00003F090000}"/>
    <cellStyle name="설명 텍스트 2 2 2 2 2 2 2 3" xfId="3729" xr:uid="{00000000-0005-0000-0000-000040090000}"/>
    <cellStyle name="설명 텍스트 2 2 2 2 2 2 3" xfId="3730" xr:uid="{00000000-0005-0000-0000-000041090000}"/>
    <cellStyle name="설명 텍스트 2 2 2 2 2 3" xfId="3731" xr:uid="{00000000-0005-0000-0000-000042090000}"/>
    <cellStyle name="설명 텍스트 2 2 2 2 3" xfId="3732" xr:uid="{00000000-0005-0000-0000-000043090000}"/>
    <cellStyle name="설명 텍스트 2 2 2 2 4" xfId="3733" xr:uid="{00000000-0005-0000-0000-000044090000}"/>
    <cellStyle name="설명 텍스트 2 2 2 3" xfId="3734" xr:uid="{00000000-0005-0000-0000-000045090000}"/>
    <cellStyle name="설명 텍스트 2 2 2 4" xfId="3735" xr:uid="{00000000-0005-0000-0000-000046090000}"/>
    <cellStyle name="설명 텍스트 2 2 3" xfId="1272" xr:uid="{00000000-0005-0000-0000-000047090000}"/>
    <cellStyle name="설명 텍스트 2 2 4" xfId="3736" xr:uid="{00000000-0005-0000-0000-000048090000}"/>
    <cellStyle name="설명 텍스트 2 2 5" xfId="3737" xr:uid="{00000000-0005-0000-0000-000049090000}"/>
    <cellStyle name="설명 텍스트 2 2 6" xfId="3738" xr:uid="{00000000-0005-0000-0000-00004A090000}"/>
    <cellStyle name="설명 텍스트 2 3" xfId="1273" xr:uid="{00000000-0005-0000-0000-00004B090000}"/>
    <cellStyle name="설명 텍스트 2 3 2" xfId="3739" xr:uid="{00000000-0005-0000-0000-00004C090000}"/>
    <cellStyle name="설명 텍스트 2 3 3" xfId="3740" xr:uid="{00000000-0005-0000-0000-00004D090000}"/>
    <cellStyle name="설명 텍스트 2 4" xfId="1274" xr:uid="{00000000-0005-0000-0000-00004E090000}"/>
    <cellStyle name="설명 텍스트 2 5" xfId="3741" xr:uid="{00000000-0005-0000-0000-00004F090000}"/>
    <cellStyle name="설명 텍스트 3" xfId="1275" xr:uid="{00000000-0005-0000-0000-000050090000}"/>
    <cellStyle name="설명 텍스트 3 2" xfId="1276" xr:uid="{00000000-0005-0000-0000-000051090000}"/>
    <cellStyle name="설명 텍스트 3 3" xfId="1277" xr:uid="{00000000-0005-0000-0000-000052090000}"/>
    <cellStyle name="설명 텍스트 4" xfId="1278" xr:uid="{00000000-0005-0000-0000-000053090000}"/>
    <cellStyle name="설명 텍스트 5" xfId="1279" xr:uid="{00000000-0005-0000-0000-000054090000}"/>
    <cellStyle name="설명 텍스트 6" xfId="1280" xr:uid="{00000000-0005-0000-0000-000055090000}"/>
    <cellStyle name="설명 텍스트 6 10" xfId="3742" xr:uid="{00000000-0005-0000-0000-000056090000}"/>
    <cellStyle name="설명 텍스트 6 2" xfId="3743" xr:uid="{00000000-0005-0000-0000-000057090000}"/>
    <cellStyle name="설명 텍스트 6 3" xfId="3744" xr:uid="{00000000-0005-0000-0000-000058090000}"/>
    <cellStyle name="설명 텍스트 6 4" xfId="3745" xr:uid="{00000000-0005-0000-0000-000059090000}"/>
    <cellStyle name="설명 텍스트 6 5" xfId="3746" xr:uid="{00000000-0005-0000-0000-00005A090000}"/>
    <cellStyle name="설명 텍스트 6 6" xfId="3747" xr:uid="{00000000-0005-0000-0000-00005B090000}"/>
    <cellStyle name="설명 텍스트 6 7" xfId="3748" xr:uid="{00000000-0005-0000-0000-00005C090000}"/>
    <cellStyle name="설명 텍스트 6 8" xfId="3749" xr:uid="{00000000-0005-0000-0000-00005D090000}"/>
    <cellStyle name="설명 텍스트 6 9" xfId="3750" xr:uid="{00000000-0005-0000-0000-00005E090000}"/>
    <cellStyle name="설명 텍스트 7" xfId="3751" xr:uid="{00000000-0005-0000-0000-00005F090000}"/>
    <cellStyle name="설명 텍스트 7 2" xfId="3752" xr:uid="{00000000-0005-0000-0000-000060090000}"/>
    <cellStyle name="설명 텍스트 8" xfId="3753" xr:uid="{00000000-0005-0000-0000-000061090000}"/>
    <cellStyle name="설명 텍스트 8 2" xfId="3754" xr:uid="{00000000-0005-0000-0000-000062090000}"/>
    <cellStyle name="설명 텍스트 9" xfId="3755" xr:uid="{00000000-0005-0000-0000-000063090000}"/>
    <cellStyle name="셀 확인 10" xfId="1281" xr:uid="{00000000-0005-0000-0000-000064090000}"/>
    <cellStyle name="셀 확인 11" xfId="3756" xr:uid="{00000000-0005-0000-0000-000065090000}"/>
    <cellStyle name="셀 확인 11 2" xfId="3757" xr:uid="{00000000-0005-0000-0000-000066090000}"/>
    <cellStyle name="셀 확인 11 3" xfId="3758" xr:uid="{00000000-0005-0000-0000-000067090000}"/>
    <cellStyle name="셀 확인 11 4" xfId="3759" xr:uid="{00000000-0005-0000-0000-000068090000}"/>
    <cellStyle name="셀 확인 11 5" xfId="3760" xr:uid="{00000000-0005-0000-0000-000069090000}"/>
    <cellStyle name="셀 확인 11 6" xfId="3761" xr:uid="{00000000-0005-0000-0000-00006A090000}"/>
    <cellStyle name="셀 확인 11 7" xfId="3762" xr:uid="{00000000-0005-0000-0000-00006B090000}"/>
    <cellStyle name="셀 확인 2" xfId="1282" xr:uid="{00000000-0005-0000-0000-00006C090000}"/>
    <cellStyle name="셀 확인 2 2" xfId="1283" xr:uid="{00000000-0005-0000-0000-00006D090000}"/>
    <cellStyle name="셀 확인 2 2 2" xfId="1284" xr:uid="{00000000-0005-0000-0000-00006E090000}"/>
    <cellStyle name="셀 확인 2 2 2 2" xfId="3763" xr:uid="{00000000-0005-0000-0000-00006F090000}"/>
    <cellStyle name="셀 확인 2 2 2 2 2" xfId="3764" xr:uid="{00000000-0005-0000-0000-000070090000}"/>
    <cellStyle name="셀 확인 2 2 2 2 2 2" xfId="3765" xr:uid="{00000000-0005-0000-0000-000071090000}"/>
    <cellStyle name="셀 확인 2 2 2 2 2 2 2" xfId="3766" xr:uid="{00000000-0005-0000-0000-000072090000}"/>
    <cellStyle name="셀 확인 2 2 2 2 2 2 2 2" xfId="3767" xr:uid="{00000000-0005-0000-0000-000073090000}"/>
    <cellStyle name="셀 확인 2 2 2 2 2 2 2 3" xfId="3768" xr:uid="{00000000-0005-0000-0000-000074090000}"/>
    <cellStyle name="셀 확인 2 2 2 2 2 2 3" xfId="3769" xr:uid="{00000000-0005-0000-0000-000075090000}"/>
    <cellStyle name="셀 확인 2 2 2 2 2 3" xfId="3770" xr:uid="{00000000-0005-0000-0000-000076090000}"/>
    <cellStyle name="셀 확인 2 2 2 2 3" xfId="3771" xr:uid="{00000000-0005-0000-0000-000077090000}"/>
    <cellStyle name="셀 확인 2 2 2 2 4" xfId="3772" xr:uid="{00000000-0005-0000-0000-000078090000}"/>
    <cellStyle name="셀 확인 2 2 2 3" xfId="3773" xr:uid="{00000000-0005-0000-0000-000079090000}"/>
    <cellStyle name="셀 확인 2 2 2 4" xfId="3774" xr:uid="{00000000-0005-0000-0000-00007A090000}"/>
    <cellStyle name="셀 확인 2 2 3" xfId="1285" xr:uid="{00000000-0005-0000-0000-00007B090000}"/>
    <cellStyle name="셀 확인 2 2 4" xfId="3775" xr:uid="{00000000-0005-0000-0000-00007C090000}"/>
    <cellStyle name="셀 확인 2 2 5" xfId="3776" xr:uid="{00000000-0005-0000-0000-00007D090000}"/>
    <cellStyle name="셀 확인 2 2 6" xfId="3777" xr:uid="{00000000-0005-0000-0000-00007E090000}"/>
    <cellStyle name="셀 확인 2 3" xfId="1286" xr:uid="{00000000-0005-0000-0000-00007F090000}"/>
    <cellStyle name="셀 확인 2 3 2" xfId="3778" xr:uid="{00000000-0005-0000-0000-000080090000}"/>
    <cellStyle name="셀 확인 2 3 3" xfId="3779" xr:uid="{00000000-0005-0000-0000-000081090000}"/>
    <cellStyle name="셀 확인 2 4" xfId="1287" xr:uid="{00000000-0005-0000-0000-000082090000}"/>
    <cellStyle name="셀 확인 2 5" xfId="3780" xr:uid="{00000000-0005-0000-0000-000083090000}"/>
    <cellStyle name="셀 확인 2_1) 도로시설물" xfId="1288" xr:uid="{00000000-0005-0000-0000-000084090000}"/>
    <cellStyle name="셀 확인 3" xfId="1289" xr:uid="{00000000-0005-0000-0000-000085090000}"/>
    <cellStyle name="셀 확인 3 2" xfId="1290" xr:uid="{00000000-0005-0000-0000-000086090000}"/>
    <cellStyle name="셀 확인 3 2 2" xfId="1291" xr:uid="{00000000-0005-0000-0000-000087090000}"/>
    <cellStyle name="셀 확인 3 3" xfId="1292" xr:uid="{00000000-0005-0000-0000-000088090000}"/>
    <cellStyle name="셀 확인 4" xfId="1293" xr:uid="{00000000-0005-0000-0000-000089090000}"/>
    <cellStyle name="셀 확인 4 2" xfId="1294" xr:uid="{00000000-0005-0000-0000-00008A090000}"/>
    <cellStyle name="셀 확인 4 3" xfId="1295" xr:uid="{00000000-0005-0000-0000-00008B090000}"/>
    <cellStyle name="셀 확인 5" xfId="1296" xr:uid="{00000000-0005-0000-0000-00008C090000}"/>
    <cellStyle name="셀 확인 5 2" xfId="1297" xr:uid="{00000000-0005-0000-0000-00008D090000}"/>
    <cellStyle name="셀 확인 6" xfId="1298" xr:uid="{00000000-0005-0000-0000-00008E090000}"/>
    <cellStyle name="셀 확인 6 10" xfId="3781" xr:uid="{00000000-0005-0000-0000-00008F090000}"/>
    <cellStyle name="셀 확인 6 2" xfId="3782" xr:uid="{00000000-0005-0000-0000-000090090000}"/>
    <cellStyle name="셀 확인 6 3" xfId="3783" xr:uid="{00000000-0005-0000-0000-000091090000}"/>
    <cellStyle name="셀 확인 6 4" xfId="3784" xr:uid="{00000000-0005-0000-0000-000092090000}"/>
    <cellStyle name="셀 확인 6 5" xfId="3785" xr:uid="{00000000-0005-0000-0000-000093090000}"/>
    <cellStyle name="셀 확인 6 6" xfId="3786" xr:uid="{00000000-0005-0000-0000-000094090000}"/>
    <cellStyle name="셀 확인 6 7" xfId="3787" xr:uid="{00000000-0005-0000-0000-000095090000}"/>
    <cellStyle name="셀 확인 6 8" xfId="3788" xr:uid="{00000000-0005-0000-0000-000096090000}"/>
    <cellStyle name="셀 확인 6 9" xfId="3789" xr:uid="{00000000-0005-0000-0000-000097090000}"/>
    <cellStyle name="셀 확인 7" xfId="1299" xr:uid="{00000000-0005-0000-0000-000098090000}"/>
    <cellStyle name="셀 확인 7 2" xfId="3790" xr:uid="{00000000-0005-0000-0000-000099090000}"/>
    <cellStyle name="셀 확인 8" xfId="1300" xr:uid="{00000000-0005-0000-0000-00009A090000}"/>
    <cellStyle name="셀 확인 8 2" xfId="3791" xr:uid="{00000000-0005-0000-0000-00009B090000}"/>
    <cellStyle name="셀 확인 9" xfId="1301" xr:uid="{00000000-0005-0000-0000-00009C090000}"/>
    <cellStyle name="숫자(R)" xfId="1302" xr:uid="{00000000-0005-0000-0000-00009D090000}"/>
    <cellStyle name="숫자(R) 2" xfId="1303" xr:uid="{00000000-0005-0000-0000-00009E090000}"/>
    <cellStyle name="쉼표 [0]" xfId="4228" builtinId="6"/>
    <cellStyle name="쉼표 [0] 10" xfId="1304" xr:uid="{00000000-0005-0000-0000-0000A0090000}"/>
    <cellStyle name="쉼표 [0] 10 2" xfId="1305" xr:uid="{00000000-0005-0000-0000-0000A1090000}"/>
    <cellStyle name="쉼표 [0] 10 2 2" xfId="1306" xr:uid="{00000000-0005-0000-0000-0000A2090000}"/>
    <cellStyle name="쉼표 [0] 10 2 2 2" xfId="4229" xr:uid="{00000000-0005-0000-0000-0000A3090000}"/>
    <cellStyle name="쉼표 [0] 10 2 2 2 2" xfId="4686" xr:uid="{00000000-0005-0000-0000-0000A3090000}"/>
    <cellStyle name="쉼표 [0] 10 2 2 3" xfId="4462" xr:uid="{00000000-0005-0000-0000-0000A2090000}"/>
    <cellStyle name="쉼표 [0] 10 3" xfId="1307" xr:uid="{00000000-0005-0000-0000-0000A4090000}"/>
    <cellStyle name="쉼표 [0] 10 3 2" xfId="1308" xr:uid="{00000000-0005-0000-0000-0000A5090000}"/>
    <cellStyle name="쉼표 [0] 10 3 2 2" xfId="4231" xr:uid="{00000000-0005-0000-0000-0000A6090000}"/>
    <cellStyle name="쉼표 [0] 10 3 2 2 2" xfId="4688" xr:uid="{00000000-0005-0000-0000-0000A6090000}"/>
    <cellStyle name="쉼표 [0] 10 3 2 3" xfId="4464" xr:uid="{00000000-0005-0000-0000-0000A5090000}"/>
    <cellStyle name="쉼표 [0] 10 3 3" xfId="1309" xr:uid="{00000000-0005-0000-0000-0000A7090000}"/>
    <cellStyle name="쉼표 [0] 10 3 3 2" xfId="4232" xr:uid="{00000000-0005-0000-0000-0000A8090000}"/>
    <cellStyle name="쉼표 [0] 10 3 3 2 2" xfId="4689" xr:uid="{00000000-0005-0000-0000-0000A8090000}"/>
    <cellStyle name="쉼표 [0] 10 3 3 3" xfId="4465" xr:uid="{00000000-0005-0000-0000-0000A7090000}"/>
    <cellStyle name="쉼표 [0] 10 3 4" xfId="4230" xr:uid="{00000000-0005-0000-0000-0000A9090000}"/>
    <cellStyle name="쉼표 [0] 10 3 4 2" xfId="4687" xr:uid="{00000000-0005-0000-0000-0000A9090000}"/>
    <cellStyle name="쉼표 [0] 10 3 5" xfId="4463" xr:uid="{00000000-0005-0000-0000-0000A4090000}"/>
    <cellStyle name="쉼표 [0] 10 4" xfId="1310" xr:uid="{00000000-0005-0000-0000-0000AA090000}"/>
    <cellStyle name="쉼표 [0] 10 4 2" xfId="4233" xr:uid="{00000000-0005-0000-0000-0000AB090000}"/>
    <cellStyle name="쉼표 [0] 10 4 2 2" xfId="4690" xr:uid="{00000000-0005-0000-0000-0000AB090000}"/>
    <cellStyle name="쉼표 [0] 10 4 3" xfId="4466" xr:uid="{00000000-0005-0000-0000-0000AA090000}"/>
    <cellStyle name="쉼표 [0] 10 5" xfId="1311" xr:uid="{00000000-0005-0000-0000-0000AC090000}"/>
    <cellStyle name="쉼표 [0] 10 5 2" xfId="4234" xr:uid="{00000000-0005-0000-0000-0000AD090000}"/>
    <cellStyle name="쉼표 [0] 10 5 2 2" xfId="4691" xr:uid="{00000000-0005-0000-0000-0000AD090000}"/>
    <cellStyle name="쉼표 [0] 10 5 3" xfId="4467" xr:uid="{00000000-0005-0000-0000-0000AC090000}"/>
    <cellStyle name="쉼표 [0] 11" xfId="1312" xr:uid="{00000000-0005-0000-0000-0000AE090000}"/>
    <cellStyle name="쉼표 [0] 11 2" xfId="1313" xr:uid="{00000000-0005-0000-0000-0000AF090000}"/>
    <cellStyle name="쉼표 [0] 11 2 2" xfId="4235" xr:uid="{00000000-0005-0000-0000-0000B0090000}"/>
    <cellStyle name="쉼표 [0] 11 2 2 2" xfId="4692" xr:uid="{00000000-0005-0000-0000-0000B0090000}"/>
    <cellStyle name="쉼표 [0] 11 2 3" xfId="4468" xr:uid="{00000000-0005-0000-0000-0000AF090000}"/>
    <cellStyle name="쉼표 [0] 11 3" xfId="1314" xr:uid="{00000000-0005-0000-0000-0000B1090000}"/>
    <cellStyle name="쉼표 [0] 11 3 2" xfId="4236" xr:uid="{00000000-0005-0000-0000-0000B2090000}"/>
    <cellStyle name="쉼표 [0] 11 3 2 2" xfId="4693" xr:uid="{00000000-0005-0000-0000-0000B2090000}"/>
    <cellStyle name="쉼표 [0] 11 3 3" xfId="4469" xr:uid="{00000000-0005-0000-0000-0000B1090000}"/>
    <cellStyle name="쉼표 [0] 12" xfId="1315" xr:uid="{00000000-0005-0000-0000-0000B3090000}"/>
    <cellStyle name="쉼표 [0] 12 2" xfId="1316" xr:uid="{00000000-0005-0000-0000-0000B4090000}"/>
    <cellStyle name="쉼표 [0] 12 2 2" xfId="4237" xr:uid="{00000000-0005-0000-0000-0000B5090000}"/>
    <cellStyle name="쉼표 [0] 12 2 2 2" xfId="4694" xr:uid="{00000000-0005-0000-0000-0000B5090000}"/>
    <cellStyle name="쉼표 [0] 12 2 3" xfId="4470" xr:uid="{00000000-0005-0000-0000-0000B4090000}"/>
    <cellStyle name="쉼표 [0] 12 3" xfId="1317" xr:uid="{00000000-0005-0000-0000-0000B6090000}"/>
    <cellStyle name="쉼표 [0] 12 3 2" xfId="4238" xr:uid="{00000000-0005-0000-0000-0000B7090000}"/>
    <cellStyle name="쉼표 [0] 12 3 2 2" xfId="4695" xr:uid="{00000000-0005-0000-0000-0000B7090000}"/>
    <cellStyle name="쉼표 [0] 12 3 3" xfId="4471" xr:uid="{00000000-0005-0000-0000-0000B6090000}"/>
    <cellStyle name="쉼표 [0] 12 4" xfId="1318" xr:uid="{00000000-0005-0000-0000-0000B8090000}"/>
    <cellStyle name="쉼표 [0] 12 4 2" xfId="4239" xr:uid="{00000000-0005-0000-0000-0000B9090000}"/>
    <cellStyle name="쉼표 [0] 12 4 2 2" xfId="4696" xr:uid="{00000000-0005-0000-0000-0000B9090000}"/>
    <cellStyle name="쉼표 [0] 12 4 3" xfId="4472" xr:uid="{00000000-0005-0000-0000-0000B8090000}"/>
    <cellStyle name="쉼표 [0] 12 5" xfId="1319" xr:uid="{00000000-0005-0000-0000-0000BA090000}"/>
    <cellStyle name="쉼표 [0] 12 5 2" xfId="4240" xr:uid="{00000000-0005-0000-0000-0000BB090000}"/>
    <cellStyle name="쉼표 [0] 12 5 2 2" xfId="4697" xr:uid="{00000000-0005-0000-0000-0000BB090000}"/>
    <cellStyle name="쉼표 [0] 12 5 3" xfId="4473" xr:uid="{00000000-0005-0000-0000-0000BA090000}"/>
    <cellStyle name="쉼표 [0] 13" xfId="1320" xr:uid="{00000000-0005-0000-0000-0000BC090000}"/>
    <cellStyle name="쉼표 [0] 13 10" xfId="1321" xr:uid="{00000000-0005-0000-0000-0000BD090000}"/>
    <cellStyle name="쉼표 [0] 13 10 2" xfId="1322" xr:uid="{00000000-0005-0000-0000-0000BE090000}"/>
    <cellStyle name="쉼표 [0] 13 11" xfId="1323" xr:uid="{00000000-0005-0000-0000-0000BF090000}"/>
    <cellStyle name="쉼표 [0] 13 11 2" xfId="1324" xr:uid="{00000000-0005-0000-0000-0000C0090000}"/>
    <cellStyle name="쉼표 [0] 13 12" xfId="1325" xr:uid="{00000000-0005-0000-0000-0000C1090000}"/>
    <cellStyle name="쉼표 [0] 13 12 2" xfId="4241" xr:uid="{00000000-0005-0000-0000-0000C2090000}"/>
    <cellStyle name="쉼표 [0] 13 12 2 2" xfId="4698" xr:uid="{00000000-0005-0000-0000-0000C2090000}"/>
    <cellStyle name="쉼표 [0] 13 12 3" xfId="4474" xr:uid="{00000000-0005-0000-0000-0000C1090000}"/>
    <cellStyle name="쉼표 [0] 13 2" xfId="1326" xr:uid="{00000000-0005-0000-0000-0000C3090000}"/>
    <cellStyle name="쉼표 [0] 13 2 2" xfId="1327" xr:uid="{00000000-0005-0000-0000-0000C4090000}"/>
    <cellStyle name="쉼표 [0] 13 2 2 2" xfId="4243" xr:uid="{00000000-0005-0000-0000-0000C5090000}"/>
    <cellStyle name="쉼표 [0] 13 2 2 2 2" xfId="4700" xr:uid="{00000000-0005-0000-0000-0000C5090000}"/>
    <cellStyle name="쉼표 [0] 13 2 2 3" xfId="4476" xr:uid="{00000000-0005-0000-0000-0000C4090000}"/>
    <cellStyle name="쉼표 [0] 13 2 3" xfId="4242" xr:uid="{00000000-0005-0000-0000-0000C6090000}"/>
    <cellStyle name="쉼표 [0] 13 2 3 2" xfId="4699" xr:uid="{00000000-0005-0000-0000-0000C6090000}"/>
    <cellStyle name="쉼표 [0] 13 2 4" xfId="4475" xr:uid="{00000000-0005-0000-0000-0000C3090000}"/>
    <cellStyle name="쉼표 [0] 13 3" xfId="1328" xr:uid="{00000000-0005-0000-0000-0000C7090000}"/>
    <cellStyle name="쉼표 [0] 13 3 2" xfId="1329" xr:uid="{00000000-0005-0000-0000-0000C8090000}"/>
    <cellStyle name="쉼표 [0] 13 3 2 2" xfId="4244" xr:uid="{00000000-0005-0000-0000-0000C9090000}"/>
    <cellStyle name="쉼표 [0] 13 3 2 2 2" xfId="4701" xr:uid="{00000000-0005-0000-0000-0000C9090000}"/>
    <cellStyle name="쉼표 [0] 13 3 2 3" xfId="4477" xr:uid="{00000000-0005-0000-0000-0000C8090000}"/>
    <cellStyle name="쉼표 [0] 13 4" xfId="1330" xr:uid="{00000000-0005-0000-0000-0000CA090000}"/>
    <cellStyle name="쉼표 [0] 13 4 2" xfId="1331" xr:uid="{00000000-0005-0000-0000-0000CB090000}"/>
    <cellStyle name="쉼표 [0] 13 4 2 2" xfId="4245" xr:uid="{00000000-0005-0000-0000-0000CC090000}"/>
    <cellStyle name="쉼표 [0] 13 4 2 2 2" xfId="4702" xr:uid="{00000000-0005-0000-0000-0000CC090000}"/>
    <cellStyle name="쉼표 [0] 13 4 2 3" xfId="4478" xr:uid="{00000000-0005-0000-0000-0000CB090000}"/>
    <cellStyle name="쉼표 [0] 13 5" xfId="1332" xr:uid="{00000000-0005-0000-0000-0000CD090000}"/>
    <cellStyle name="쉼표 [0] 13 6" xfId="1333" xr:uid="{00000000-0005-0000-0000-0000CE090000}"/>
    <cellStyle name="쉼표 [0] 13 6 2" xfId="1334" xr:uid="{00000000-0005-0000-0000-0000CF090000}"/>
    <cellStyle name="쉼표 [0] 13 7" xfId="1335" xr:uid="{00000000-0005-0000-0000-0000D0090000}"/>
    <cellStyle name="쉼표 [0] 13 7 2" xfId="1336" xr:uid="{00000000-0005-0000-0000-0000D1090000}"/>
    <cellStyle name="쉼표 [0] 13 8" xfId="1337" xr:uid="{00000000-0005-0000-0000-0000D2090000}"/>
    <cellStyle name="쉼표 [0] 13 8 2" xfId="1338" xr:uid="{00000000-0005-0000-0000-0000D3090000}"/>
    <cellStyle name="쉼표 [0] 13 9" xfId="1339" xr:uid="{00000000-0005-0000-0000-0000D4090000}"/>
    <cellStyle name="쉼표 [0] 13 9 2" xfId="1340" xr:uid="{00000000-0005-0000-0000-0000D5090000}"/>
    <cellStyle name="쉼표 [0] 14" xfId="1341" xr:uid="{00000000-0005-0000-0000-0000D6090000}"/>
    <cellStyle name="쉼표 [0] 14 2" xfId="3" xr:uid="{00000000-0005-0000-0000-0000D7090000}"/>
    <cellStyle name="쉼표 [0] 14 2 2" xfId="1342" xr:uid="{00000000-0005-0000-0000-0000D8090000}"/>
    <cellStyle name="쉼표 [0] 14 2 2 2" xfId="4246" xr:uid="{00000000-0005-0000-0000-0000D9090000}"/>
    <cellStyle name="쉼표 [0] 14 2 2 2 2" xfId="4703" xr:uid="{00000000-0005-0000-0000-0000D9090000}"/>
    <cellStyle name="쉼표 [0] 14 2 2 3" xfId="4479" xr:uid="{00000000-0005-0000-0000-0000D8090000}"/>
    <cellStyle name="쉼표 [0] 14 2 3" xfId="1343" xr:uid="{00000000-0005-0000-0000-0000DA090000}"/>
    <cellStyle name="쉼표 [0] 14 3" xfId="1344" xr:uid="{00000000-0005-0000-0000-0000DB090000}"/>
    <cellStyle name="쉼표 [0] 14 3 2" xfId="4247" xr:uid="{00000000-0005-0000-0000-0000DC090000}"/>
    <cellStyle name="쉼표 [0] 14 3 2 2" xfId="4704" xr:uid="{00000000-0005-0000-0000-0000DC090000}"/>
    <cellStyle name="쉼표 [0] 14 3 3" xfId="4480" xr:uid="{00000000-0005-0000-0000-0000DB090000}"/>
    <cellStyle name="쉼표 [0] 14 4" xfId="1345" xr:uid="{00000000-0005-0000-0000-0000DD090000}"/>
    <cellStyle name="쉼표 [0] 14 4 2" xfId="4248" xr:uid="{00000000-0005-0000-0000-0000DE090000}"/>
    <cellStyle name="쉼표 [0] 14 4 2 2" xfId="4705" xr:uid="{00000000-0005-0000-0000-0000DE090000}"/>
    <cellStyle name="쉼표 [0] 14 4 3" xfId="4481" xr:uid="{00000000-0005-0000-0000-0000DD090000}"/>
    <cellStyle name="쉼표 [0] 14 5" xfId="1346" xr:uid="{00000000-0005-0000-0000-0000DF090000}"/>
    <cellStyle name="쉼표 [0] 14 5 2" xfId="4249" xr:uid="{00000000-0005-0000-0000-0000E0090000}"/>
    <cellStyle name="쉼표 [0] 14 5 2 2" xfId="4706" xr:uid="{00000000-0005-0000-0000-0000E0090000}"/>
    <cellStyle name="쉼표 [0] 14 5 3" xfId="4482" xr:uid="{00000000-0005-0000-0000-0000DF090000}"/>
    <cellStyle name="쉼표 [0] 15" xfId="1347" xr:uid="{00000000-0005-0000-0000-0000E1090000}"/>
    <cellStyle name="쉼표 [0] 15 2" xfId="1348" xr:uid="{00000000-0005-0000-0000-0000E2090000}"/>
    <cellStyle name="쉼표 [0] 15 2 2" xfId="4251" xr:uid="{00000000-0005-0000-0000-0000E3090000}"/>
    <cellStyle name="쉼표 [0] 15 2 2 2" xfId="4708" xr:uid="{00000000-0005-0000-0000-0000E3090000}"/>
    <cellStyle name="쉼표 [0] 15 2 3" xfId="4484" xr:uid="{00000000-0005-0000-0000-0000E2090000}"/>
    <cellStyle name="쉼표 [0] 15 3" xfId="1349" xr:uid="{00000000-0005-0000-0000-0000E4090000}"/>
    <cellStyle name="쉼표 [0] 15 3 2" xfId="4252" xr:uid="{00000000-0005-0000-0000-0000E5090000}"/>
    <cellStyle name="쉼표 [0] 15 3 2 2" xfId="4709" xr:uid="{00000000-0005-0000-0000-0000E5090000}"/>
    <cellStyle name="쉼표 [0] 15 3 3" xfId="4485" xr:uid="{00000000-0005-0000-0000-0000E4090000}"/>
    <cellStyle name="쉼표 [0] 15 4" xfId="1350" xr:uid="{00000000-0005-0000-0000-0000E6090000}"/>
    <cellStyle name="쉼표 [0] 15 4 2" xfId="4253" xr:uid="{00000000-0005-0000-0000-0000E7090000}"/>
    <cellStyle name="쉼표 [0] 15 4 2 2" xfId="4710" xr:uid="{00000000-0005-0000-0000-0000E7090000}"/>
    <cellStyle name="쉼표 [0] 15 4 3" xfId="4486" xr:uid="{00000000-0005-0000-0000-0000E6090000}"/>
    <cellStyle name="쉼표 [0] 15 5" xfId="4250" xr:uid="{00000000-0005-0000-0000-0000E8090000}"/>
    <cellStyle name="쉼표 [0] 15 5 2" xfId="4707" xr:uid="{00000000-0005-0000-0000-0000E8090000}"/>
    <cellStyle name="쉼표 [0] 15 6" xfId="4483" xr:uid="{00000000-0005-0000-0000-0000E1090000}"/>
    <cellStyle name="쉼표 [0] 16" xfId="1351" xr:uid="{00000000-0005-0000-0000-0000E9090000}"/>
    <cellStyle name="쉼표 [0] 16 2" xfId="1352" xr:uid="{00000000-0005-0000-0000-0000EA090000}"/>
    <cellStyle name="쉼표 [0] 16 2 2" xfId="4255" xr:uid="{00000000-0005-0000-0000-0000EB090000}"/>
    <cellStyle name="쉼표 [0] 16 2 2 2" xfId="4712" xr:uid="{00000000-0005-0000-0000-0000EB090000}"/>
    <cellStyle name="쉼표 [0] 16 2 3" xfId="4488" xr:uid="{00000000-0005-0000-0000-0000EA090000}"/>
    <cellStyle name="쉼표 [0] 16 3" xfId="1353" xr:uid="{00000000-0005-0000-0000-0000EC090000}"/>
    <cellStyle name="쉼표 [0] 16 3 2" xfId="4256" xr:uid="{00000000-0005-0000-0000-0000ED090000}"/>
    <cellStyle name="쉼표 [0] 16 3 2 2" xfId="4713" xr:uid="{00000000-0005-0000-0000-0000ED090000}"/>
    <cellStyle name="쉼표 [0] 16 3 3" xfId="4489" xr:uid="{00000000-0005-0000-0000-0000EC090000}"/>
    <cellStyle name="쉼표 [0] 16 4" xfId="1354" xr:uid="{00000000-0005-0000-0000-0000EE090000}"/>
    <cellStyle name="쉼표 [0] 16 4 2" xfId="4257" xr:uid="{00000000-0005-0000-0000-0000EF090000}"/>
    <cellStyle name="쉼표 [0] 16 4 2 2" xfId="4714" xr:uid="{00000000-0005-0000-0000-0000EF090000}"/>
    <cellStyle name="쉼표 [0] 16 4 3" xfId="4490" xr:uid="{00000000-0005-0000-0000-0000EE090000}"/>
    <cellStyle name="쉼표 [0] 16 5" xfId="1355" xr:uid="{00000000-0005-0000-0000-0000F0090000}"/>
    <cellStyle name="쉼표 [0] 16 5 2" xfId="4258" xr:uid="{00000000-0005-0000-0000-0000F1090000}"/>
    <cellStyle name="쉼표 [0] 16 5 2 2" xfId="4715" xr:uid="{00000000-0005-0000-0000-0000F1090000}"/>
    <cellStyle name="쉼표 [0] 16 5 3" xfId="4491" xr:uid="{00000000-0005-0000-0000-0000F0090000}"/>
    <cellStyle name="쉼표 [0] 16 6" xfId="4254" xr:uid="{00000000-0005-0000-0000-0000F2090000}"/>
    <cellStyle name="쉼표 [0] 16 6 2" xfId="4711" xr:uid="{00000000-0005-0000-0000-0000F2090000}"/>
    <cellStyle name="쉼표 [0] 16 7" xfId="4487" xr:uid="{00000000-0005-0000-0000-0000E9090000}"/>
    <cellStyle name="쉼표 [0] 17" xfId="1356" xr:uid="{00000000-0005-0000-0000-0000F3090000}"/>
    <cellStyle name="쉼표 [0] 17 2" xfId="1357" xr:uid="{00000000-0005-0000-0000-0000F4090000}"/>
    <cellStyle name="쉼표 [0] 17 2 2" xfId="4260" xr:uid="{00000000-0005-0000-0000-0000F5090000}"/>
    <cellStyle name="쉼표 [0] 17 2 2 2" xfId="4717" xr:uid="{00000000-0005-0000-0000-0000F5090000}"/>
    <cellStyle name="쉼표 [0] 17 2 3" xfId="4493" xr:uid="{00000000-0005-0000-0000-0000F4090000}"/>
    <cellStyle name="쉼표 [0] 17 3" xfId="1358" xr:uid="{00000000-0005-0000-0000-0000F6090000}"/>
    <cellStyle name="쉼표 [0] 17 3 2" xfId="4261" xr:uid="{00000000-0005-0000-0000-0000F7090000}"/>
    <cellStyle name="쉼표 [0] 17 3 2 2" xfId="4718" xr:uid="{00000000-0005-0000-0000-0000F7090000}"/>
    <cellStyle name="쉼표 [0] 17 3 3" xfId="4494" xr:uid="{00000000-0005-0000-0000-0000F6090000}"/>
    <cellStyle name="쉼표 [0] 17 4" xfId="1359" xr:uid="{00000000-0005-0000-0000-0000F8090000}"/>
    <cellStyle name="쉼표 [0] 17 4 2" xfId="4262" xr:uid="{00000000-0005-0000-0000-0000F9090000}"/>
    <cellStyle name="쉼표 [0] 17 4 2 2" xfId="4719" xr:uid="{00000000-0005-0000-0000-0000F9090000}"/>
    <cellStyle name="쉼표 [0] 17 4 3" xfId="4495" xr:uid="{00000000-0005-0000-0000-0000F8090000}"/>
    <cellStyle name="쉼표 [0] 17 5" xfId="1360" xr:uid="{00000000-0005-0000-0000-0000FA090000}"/>
    <cellStyle name="쉼표 [0] 17 5 2" xfId="4263" xr:uid="{00000000-0005-0000-0000-0000FB090000}"/>
    <cellStyle name="쉼표 [0] 17 5 2 2" xfId="4720" xr:uid="{00000000-0005-0000-0000-0000FB090000}"/>
    <cellStyle name="쉼표 [0] 17 5 3" xfId="4496" xr:uid="{00000000-0005-0000-0000-0000FA090000}"/>
    <cellStyle name="쉼표 [0] 17 6" xfId="4259" xr:uid="{00000000-0005-0000-0000-0000FC090000}"/>
    <cellStyle name="쉼표 [0] 17 6 2" xfId="4716" xr:uid="{00000000-0005-0000-0000-0000FC090000}"/>
    <cellStyle name="쉼표 [0] 17 7" xfId="4492" xr:uid="{00000000-0005-0000-0000-0000F3090000}"/>
    <cellStyle name="쉼표 [0] 18" xfId="1361" xr:uid="{00000000-0005-0000-0000-0000FD090000}"/>
    <cellStyle name="쉼표 [0] 18 2" xfId="1362" xr:uid="{00000000-0005-0000-0000-0000FE090000}"/>
    <cellStyle name="쉼표 [0] 18 2 2" xfId="4265" xr:uid="{00000000-0005-0000-0000-0000FF090000}"/>
    <cellStyle name="쉼표 [0] 18 2 2 2" xfId="4722" xr:uid="{00000000-0005-0000-0000-0000FF090000}"/>
    <cellStyle name="쉼표 [0] 18 2 3" xfId="4498" xr:uid="{00000000-0005-0000-0000-0000FE090000}"/>
    <cellStyle name="쉼표 [0] 18 3" xfId="1363" xr:uid="{00000000-0005-0000-0000-0000000A0000}"/>
    <cellStyle name="쉼표 [0] 18 3 2" xfId="4266" xr:uid="{00000000-0005-0000-0000-0000010A0000}"/>
    <cellStyle name="쉼표 [0] 18 3 2 2" xfId="4723" xr:uid="{00000000-0005-0000-0000-0000010A0000}"/>
    <cellStyle name="쉼표 [0] 18 3 3" xfId="4499" xr:uid="{00000000-0005-0000-0000-0000000A0000}"/>
    <cellStyle name="쉼표 [0] 18 4" xfId="1364" xr:uid="{00000000-0005-0000-0000-0000020A0000}"/>
    <cellStyle name="쉼표 [0] 18 4 2" xfId="4267" xr:uid="{00000000-0005-0000-0000-0000030A0000}"/>
    <cellStyle name="쉼표 [0] 18 4 2 2" xfId="4724" xr:uid="{00000000-0005-0000-0000-0000030A0000}"/>
    <cellStyle name="쉼표 [0] 18 4 3" xfId="4500" xr:uid="{00000000-0005-0000-0000-0000020A0000}"/>
    <cellStyle name="쉼표 [0] 18 5" xfId="1365" xr:uid="{00000000-0005-0000-0000-0000040A0000}"/>
    <cellStyle name="쉼표 [0] 18 5 2" xfId="4268" xr:uid="{00000000-0005-0000-0000-0000050A0000}"/>
    <cellStyle name="쉼표 [0] 18 5 2 2" xfId="4725" xr:uid="{00000000-0005-0000-0000-0000050A0000}"/>
    <cellStyle name="쉼표 [0] 18 5 3" xfId="4501" xr:uid="{00000000-0005-0000-0000-0000040A0000}"/>
    <cellStyle name="쉼표 [0] 18 6" xfId="4264" xr:uid="{00000000-0005-0000-0000-0000060A0000}"/>
    <cellStyle name="쉼표 [0] 18 6 2" xfId="4721" xr:uid="{00000000-0005-0000-0000-0000060A0000}"/>
    <cellStyle name="쉼표 [0] 18 7" xfId="4497" xr:uid="{00000000-0005-0000-0000-0000FD090000}"/>
    <cellStyle name="쉼표 [0] 19" xfId="1366" xr:uid="{00000000-0005-0000-0000-0000070A0000}"/>
    <cellStyle name="쉼표 [0] 19 2" xfId="1367" xr:uid="{00000000-0005-0000-0000-0000080A0000}"/>
    <cellStyle name="쉼표 [0] 19 2 2" xfId="4270" xr:uid="{00000000-0005-0000-0000-0000090A0000}"/>
    <cellStyle name="쉼표 [0] 19 2 2 2" xfId="4727" xr:uid="{00000000-0005-0000-0000-0000090A0000}"/>
    <cellStyle name="쉼표 [0] 19 2 3" xfId="4503" xr:uid="{00000000-0005-0000-0000-0000080A0000}"/>
    <cellStyle name="쉼표 [0] 19 3" xfId="1368" xr:uid="{00000000-0005-0000-0000-00000A0A0000}"/>
    <cellStyle name="쉼표 [0] 19 3 2" xfId="4271" xr:uid="{00000000-0005-0000-0000-00000B0A0000}"/>
    <cellStyle name="쉼표 [0] 19 3 2 2" xfId="4728" xr:uid="{00000000-0005-0000-0000-00000B0A0000}"/>
    <cellStyle name="쉼표 [0] 19 3 3" xfId="4504" xr:uid="{00000000-0005-0000-0000-00000A0A0000}"/>
    <cellStyle name="쉼표 [0] 19 4" xfId="1369" xr:uid="{00000000-0005-0000-0000-00000C0A0000}"/>
    <cellStyle name="쉼표 [0] 19 4 2" xfId="4272" xr:uid="{00000000-0005-0000-0000-00000D0A0000}"/>
    <cellStyle name="쉼표 [0] 19 4 2 2" xfId="4729" xr:uid="{00000000-0005-0000-0000-00000D0A0000}"/>
    <cellStyle name="쉼표 [0] 19 4 3" xfId="4505" xr:uid="{00000000-0005-0000-0000-00000C0A0000}"/>
    <cellStyle name="쉼표 [0] 19 5" xfId="1370" xr:uid="{00000000-0005-0000-0000-00000E0A0000}"/>
    <cellStyle name="쉼표 [0] 19 5 2" xfId="4273" xr:uid="{00000000-0005-0000-0000-00000F0A0000}"/>
    <cellStyle name="쉼표 [0] 19 5 2 2" xfId="4730" xr:uid="{00000000-0005-0000-0000-00000F0A0000}"/>
    <cellStyle name="쉼표 [0] 19 5 3" xfId="4506" xr:uid="{00000000-0005-0000-0000-00000E0A0000}"/>
    <cellStyle name="쉼표 [0] 19 6" xfId="4269" xr:uid="{00000000-0005-0000-0000-0000100A0000}"/>
    <cellStyle name="쉼표 [0] 19 6 2" xfId="4726" xr:uid="{00000000-0005-0000-0000-0000100A0000}"/>
    <cellStyle name="쉼표 [0] 19 7" xfId="4502" xr:uid="{00000000-0005-0000-0000-0000070A0000}"/>
    <cellStyle name="쉼표 [0] 2" xfId="1371" xr:uid="{00000000-0005-0000-0000-0000110A0000}"/>
    <cellStyle name="쉼표 [0] 2 10" xfId="1372" xr:uid="{00000000-0005-0000-0000-0000120A0000}"/>
    <cellStyle name="쉼표 [0] 2 10 2" xfId="1373" xr:uid="{00000000-0005-0000-0000-0000130A0000}"/>
    <cellStyle name="쉼표 [0] 2 10 2 2" xfId="1374" xr:uid="{00000000-0005-0000-0000-0000140A0000}"/>
    <cellStyle name="쉼표 [0] 2 10 2 2 2" xfId="4276" xr:uid="{00000000-0005-0000-0000-0000150A0000}"/>
    <cellStyle name="쉼표 [0] 2 10 2 2 2 2" xfId="4733" xr:uid="{00000000-0005-0000-0000-0000150A0000}"/>
    <cellStyle name="쉼표 [0] 2 10 2 2 3" xfId="4509" xr:uid="{00000000-0005-0000-0000-0000140A0000}"/>
    <cellStyle name="쉼표 [0] 2 10 2 3" xfId="4275" xr:uid="{00000000-0005-0000-0000-0000160A0000}"/>
    <cellStyle name="쉼표 [0] 2 10 2 3 2" xfId="4732" xr:uid="{00000000-0005-0000-0000-0000160A0000}"/>
    <cellStyle name="쉼표 [0] 2 10 2 4" xfId="4508" xr:uid="{00000000-0005-0000-0000-0000130A0000}"/>
    <cellStyle name="쉼표 [0] 2 10 3" xfId="1375" xr:uid="{00000000-0005-0000-0000-0000170A0000}"/>
    <cellStyle name="쉼표 [0] 2 10 3 2" xfId="4277" xr:uid="{00000000-0005-0000-0000-0000180A0000}"/>
    <cellStyle name="쉼표 [0] 2 10 3 2 2" xfId="4734" xr:uid="{00000000-0005-0000-0000-0000180A0000}"/>
    <cellStyle name="쉼표 [0] 2 10 3 3" xfId="4510" xr:uid="{00000000-0005-0000-0000-0000170A0000}"/>
    <cellStyle name="쉼표 [0] 2 10 4" xfId="4274" xr:uid="{00000000-0005-0000-0000-0000190A0000}"/>
    <cellStyle name="쉼표 [0] 2 10 4 2" xfId="4731" xr:uid="{00000000-0005-0000-0000-0000190A0000}"/>
    <cellStyle name="쉼표 [0] 2 10 5" xfId="4507" xr:uid="{00000000-0005-0000-0000-0000120A0000}"/>
    <cellStyle name="쉼표 [0] 2 11" xfId="1376" xr:uid="{00000000-0005-0000-0000-00001A0A0000}"/>
    <cellStyle name="쉼표 [0] 2 11 2" xfId="1377" xr:uid="{00000000-0005-0000-0000-00001B0A0000}"/>
    <cellStyle name="쉼표 [0] 2 11 2 2" xfId="4279" xr:uid="{00000000-0005-0000-0000-00001C0A0000}"/>
    <cellStyle name="쉼표 [0] 2 11 2 2 2" xfId="4736" xr:uid="{00000000-0005-0000-0000-00001C0A0000}"/>
    <cellStyle name="쉼표 [0] 2 11 2 3" xfId="4512" xr:uid="{00000000-0005-0000-0000-00001B0A0000}"/>
    <cellStyle name="쉼표 [0] 2 11 3" xfId="4278" xr:uid="{00000000-0005-0000-0000-00001D0A0000}"/>
    <cellStyle name="쉼표 [0] 2 11 3 2" xfId="4735" xr:uid="{00000000-0005-0000-0000-00001D0A0000}"/>
    <cellStyle name="쉼표 [0] 2 11 4" xfId="4511" xr:uid="{00000000-0005-0000-0000-00001A0A0000}"/>
    <cellStyle name="쉼표 [0] 2 12" xfId="1378" xr:uid="{00000000-0005-0000-0000-00001E0A0000}"/>
    <cellStyle name="쉼표 [0] 2 2" xfId="1379" xr:uid="{00000000-0005-0000-0000-00001F0A0000}"/>
    <cellStyle name="쉼표 [0] 2 2 2" xfId="1380" xr:uid="{00000000-0005-0000-0000-0000200A0000}"/>
    <cellStyle name="쉼표 [0] 2 2 2 2" xfId="1381" xr:uid="{00000000-0005-0000-0000-0000210A0000}"/>
    <cellStyle name="쉼표 [0] 2 2 2 2 2" xfId="1382" xr:uid="{00000000-0005-0000-0000-0000220A0000}"/>
    <cellStyle name="쉼표 [0] 2 2 2 3" xfId="1383" xr:uid="{00000000-0005-0000-0000-0000230A0000}"/>
    <cellStyle name="쉼표 [0] 2 2 2 3 2" xfId="1384" xr:uid="{00000000-0005-0000-0000-0000240A0000}"/>
    <cellStyle name="쉼표 [0] 2 2 2 4" xfId="1385" xr:uid="{00000000-0005-0000-0000-0000250A0000}"/>
    <cellStyle name="쉼표 [0] 2 2 3" xfId="1386" xr:uid="{00000000-0005-0000-0000-0000260A0000}"/>
    <cellStyle name="쉼표 [0] 2 2 3 2" xfId="1387" xr:uid="{00000000-0005-0000-0000-0000270A0000}"/>
    <cellStyle name="쉼표 [0] 2 2 4" xfId="1388" xr:uid="{00000000-0005-0000-0000-0000280A0000}"/>
    <cellStyle name="쉼표 [0] 2 2 4 2" xfId="1389" xr:uid="{00000000-0005-0000-0000-0000290A0000}"/>
    <cellStyle name="쉼표 [0] 2 2 5" xfId="1390" xr:uid="{00000000-0005-0000-0000-00002A0A0000}"/>
    <cellStyle name="쉼표 [0] 2 2 5 2" xfId="1391" xr:uid="{00000000-0005-0000-0000-00002B0A0000}"/>
    <cellStyle name="쉼표 [0] 2 2 5 2 2" xfId="4281" xr:uid="{00000000-0005-0000-0000-00002C0A0000}"/>
    <cellStyle name="쉼표 [0] 2 2 5 2 2 2" xfId="4738" xr:uid="{00000000-0005-0000-0000-00002C0A0000}"/>
    <cellStyle name="쉼표 [0] 2 2 5 2 3" xfId="4514" xr:uid="{00000000-0005-0000-0000-00002B0A0000}"/>
    <cellStyle name="쉼표 [0] 2 2 5 3" xfId="4280" xr:uid="{00000000-0005-0000-0000-00002D0A0000}"/>
    <cellStyle name="쉼표 [0] 2 2 5 3 2" xfId="4737" xr:uid="{00000000-0005-0000-0000-00002D0A0000}"/>
    <cellStyle name="쉼표 [0] 2 2 5 4" xfId="4513" xr:uid="{00000000-0005-0000-0000-00002A0A0000}"/>
    <cellStyle name="쉼표 [0] 2 2 6" xfId="1392" xr:uid="{00000000-0005-0000-0000-00002E0A0000}"/>
    <cellStyle name="쉼표 [0] 2 2 6 2" xfId="4282" xr:uid="{00000000-0005-0000-0000-00002F0A0000}"/>
    <cellStyle name="쉼표 [0] 2 2 6 2 2" xfId="4739" xr:uid="{00000000-0005-0000-0000-00002F0A0000}"/>
    <cellStyle name="쉼표 [0] 2 2 6 3" xfId="4515" xr:uid="{00000000-0005-0000-0000-00002E0A0000}"/>
    <cellStyle name="쉼표 [0] 2 2 7" xfId="1393" xr:uid="{00000000-0005-0000-0000-0000300A0000}"/>
    <cellStyle name="쉼표 [0] 2 2 7 2" xfId="4283" xr:uid="{00000000-0005-0000-0000-0000310A0000}"/>
    <cellStyle name="쉼표 [0] 2 2 7 2 2" xfId="4740" xr:uid="{00000000-0005-0000-0000-0000310A0000}"/>
    <cellStyle name="쉼표 [0] 2 2 7 3" xfId="4516" xr:uid="{00000000-0005-0000-0000-0000300A0000}"/>
    <cellStyle name="쉼표 [0] 2 2_1) 도로시설물" xfId="1394" xr:uid="{00000000-0005-0000-0000-0000320A0000}"/>
    <cellStyle name="쉼표 [0] 2 3" xfId="1395" xr:uid="{00000000-0005-0000-0000-0000330A0000}"/>
    <cellStyle name="쉼표 [0] 2 3 2" xfId="1396" xr:uid="{00000000-0005-0000-0000-0000340A0000}"/>
    <cellStyle name="쉼표 [0] 2 3 2 2" xfId="1397" xr:uid="{00000000-0005-0000-0000-0000350A0000}"/>
    <cellStyle name="쉼표 [0] 2 3 3" xfId="1398" xr:uid="{00000000-0005-0000-0000-0000360A0000}"/>
    <cellStyle name="쉼표 [0] 2 3 3 2" xfId="4284" xr:uid="{00000000-0005-0000-0000-0000370A0000}"/>
    <cellStyle name="쉼표 [0] 2 3 3 2 2" xfId="4741" xr:uid="{00000000-0005-0000-0000-0000370A0000}"/>
    <cellStyle name="쉼표 [0] 2 3 3 3" xfId="4517" xr:uid="{00000000-0005-0000-0000-0000360A0000}"/>
    <cellStyle name="쉼표 [0] 2 3 4" xfId="1399" xr:uid="{00000000-0005-0000-0000-0000380A0000}"/>
    <cellStyle name="쉼표 [0] 2 3_1) 도로시설물" xfId="1400" xr:uid="{00000000-0005-0000-0000-0000390A0000}"/>
    <cellStyle name="쉼표 [0] 2 4" xfId="1401" xr:uid="{00000000-0005-0000-0000-00003A0A0000}"/>
    <cellStyle name="쉼표 [0] 2 4 2" xfId="1402" xr:uid="{00000000-0005-0000-0000-00003B0A0000}"/>
    <cellStyle name="쉼표 [0] 2 4 2 2" xfId="1403" xr:uid="{00000000-0005-0000-0000-00003C0A0000}"/>
    <cellStyle name="쉼표 [0] 2 4 3" xfId="1404" xr:uid="{00000000-0005-0000-0000-00003D0A0000}"/>
    <cellStyle name="쉼표 [0] 2 4 3 2" xfId="1405" xr:uid="{00000000-0005-0000-0000-00003E0A0000}"/>
    <cellStyle name="쉼표 [0] 2 4 3 2 2" xfId="4286" xr:uid="{00000000-0005-0000-0000-00003F0A0000}"/>
    <cellStyle name="쉼표 [0] 2 4 3 2 2 2" xfId="4743" xr:uid="{00000000-0005-0000-0000-00003F0A0000}"/>
    <cellStyle name="쉼표 [0] 2 4 3 2 3" xfId="4519" xr:uid="{00000000-0005-0000-0000-00003E0A0000}"/>
    <cellStyle name="쉼표 [0] 2 4 3 3" xfId="4285" xr:uid="{00000000-0005-0000-0000-0000400A0000}"/>
    <cellStyle name="쉼표 [0] 2 4 3 3 2" xfId="4742" xr:uid="{00000000-0005-0000-0000-0000400A0000}"/>
    <cellStyle name="쉼표 [0] 2 4 3 4" xfId="4518" xr:uid="{00000000-0005-0000-0000-00003D0A0000}"/>
    <cellStyle name="쉼표 [0] 2 4 4" xfId="1406" xr:uid="{00000000-0005-0000-0000-0000410A0000}"/>
    <cellStyle name="쉼표 [0] 2 4 4 2" xfId="4287" xr:uid="{00000000-0005-0000-0000-0000420A0000}"/>
    <cellStyle name="쉼표 [0] 2 4 4 2 2" xfId="4744" xr:uid="{00000000-0005-0000-0000-0000420A0000}"/>
    <cellStyle name="쉼표 [0] 2 4 4 3" xfId="4520" xr:uid="{00000000-0005-0000-0000-0000410A0000}"/>
    <cellStyle name="쉼표 [0] 2 4 5" xfId="1407" xr:uid="{00000000-0005-0000-0000-0000430A0000}"/>
    <cellStyle name="쉼표 [0] 2 4 5 2" xfId="4288" xr:uid="{00000000-0005-0000-0000-0000440A0000}"/>
    <cellStyle name="쉼표 [0] 2 4 5 2 2" xfId="4745" xr:uid="{00000000-0005-0000-0000-0000440A0000}"/>
    <cellStyle name="쉼표 [0] 2 5" xfId="1408" xr:uid="{00000000-0005-0000-0000-0000450A0000}"/>
    <cellStyle name="쉼표 [0] 2 5 2" xfId="1409" xr:uid="{00000000-0005-0000-0000-0000460A0000}"/>
    <cellStyle name="쉼표 [0] 2 5 3" xfId="1410" xr:uid="{00000000-0005-0000-0000-0000470A0000}"/>
    <cellStyle name="쉼표 [0] 2 6" xfId="1411" xr:uid="{00000000-0005-0000-0000-0000480A0000}"/>
    <cellStyle name="쉼표 [0] 2 6 2" xfId="1412" xr:uid="{00000000-0005-0000-0000-0000490A0000}"/>
    <cellStyle name="쉼표 [0] 2 6 2 2" xfId="4290" xr:uid="{00000000-0005-0000-0000-00004A0A0000}"/>
    <cellStyle name="쉼표 [0] 2 6 2 2 2" xfId="4747" xr:uid="{00000000-0005-0000-0000-00004A0A0000}"/>
    <cellStyle name="쉼표 [0] 2 6 2 3" xfId="4522" xr:uid="{00000000-0005-0000-0000-0000490A0000}"/>
    <cellStyle name="쉼표 [0] 2 6 3" xfId="4289" xr:uid="{00000000-0005-0000-0000-00004B0A0000}"/>
    <cellStyle name="쉼표 [0] 2 6 3 2" xfId="4746" xr:uid="{00000000-0005-0000-0000-00004B0A0000}"/>
    <cellStyle name="쉼표 [0] 2 6 4" xfId="4521" xr:uid="{00000000-0005-0000-0000-0000480A0000}"/>
    <cellStyle name="쉼표 [0] 2 7" xfId="1413" xr:uid="{00000000-0005-0000-0000-00004C0A0000}"/>
    <cellStyle name="쉼표 [0] 2 7 2" xfId="1414" xr:uid="{00000000-0005-0000-0000-00004D0A0000}"/>
    <cellStyle name="쉼표 [0] 2 7 2 2" xfId="4292" xr:uid="{00000000-0005-0000-0000-00004E0A0000}"/>
    <cellStyle name="쉼표 [0] 2 7 2 2 2" xfId="4749" xr:uid="{00000000-0005-0000-0000-00004E0A0000}"/>
    <cellStyle name="쉼표 [0] 2 7 2 3" xfId="4524" xr:uid="{00000000-0005-0000-0000-00004D0A0000}"/>
    <cellStyle name="쉼표 [0] 2 7 3" xfId="4291" xr:uid="{00000000-0005-0000-0000-00004F0A0000}"/>
    <cellStyle name="쉼표 [0] 2 7 3 2" xfId="4748" xr:uid="{00000000-0005-0000-0000-00004F0A0000}"/>
    <cellStyle name="쉼표 [0] 2 7 4" xfId="4523" xr:uid="{00000000-0005-0000-0000-00004C0A0000}"/>
    <cellStyle name="쉼표 [0] 2 8" xfId="1415" xr:uid="{00000000-0005-0000-0000-0000500A0000}"/>
    <cellStyle name="쉼표 [0] 2 8 2" xfId="1416" xr:uid="{00000000-0005-0000-0000-0000510A0000}"/>
    <cellStyle name="쉼표 [0] 2 8 2 2" xfId="4294" xr:uid="{00000000-0005-0000-0000-0000520A0000}"/>
    <cellStyle name="쉼표 [0] 2 8 2 2 2" xfId="4751" xr:uid="{00000000-0005-0000-0000-0000520A0000}"/>
    <cellStyle name="쉼표 [0] 2 8 3" xfId="4293" xr:uid="{00000000-0005-0000-0000-0000530A0000}"/>
    <cellStyle name="쉼표 [0] 2 8 3 2" xfId="4750" xr:uid="{00000000-0005-0000-0000-0000530A0000}"/>
    <cellStyle name="쉼표 [0] 2 9" xfId="1417" xr:uid="{00000000-0005-0000-0000-0000540A0000}"/>
    <cellStyle name="쉼표 [0] 2 9 2" xfId="1418" xr:uid="{00000000-0005-0000-0000-0000550A0000}"/>
    <cellStyle name="쉼표 [0] 2 9 2 2" xfId="1419" xr:uid="{00000000-0005-0000-0000-0000560A0000}"/>
    <cellStyle name="쉼표 [0] 2 9 2 2 2" xfId="4297" xr:uid="{00000000-0005-0000-0000-0000570A0000}"/>
    <cellStyle name="쉼표 [0] 2 9 2 2 2 2" xfId="4754" xr:uid="{00000000-0005-0000-0000-0000570A0000}"/>
    <cellStyle name="쉼표 [0] 2 9 2 2 3" xfId="4527" xr:uid="{00000000-0005-0000-0000-0000560A0000}"/>
    <cellStyle name="쉼표 [0] 2 9 2 3" xfId="4296" xr:uid="{00000000-0005-0000-0000-0000580A0000}"/>
    <cellStyle name="쉼표 [0] 2 9 2 3 2" xfId="4753" xr:uid="{00000000-0005-0000-0000-0000580A0000}"/>
    <cellStyle name="쉼표 [0] 2 9 2 4" xfId="4526" xr:uid="{00000000-0005-0000-0000-0000550A0000}"/>
    <cellStyle name="쉼표 [0] 2 9 3" xfId="1420" xr:uid="{00000000-0005-0000-0000-0000590A0000}"/>
    <cellStyle name="쉼표 [0] 2 9 3 2" xfId="4298" xr:uid="{00000000-0005-0000-0000-00005A0A0000}"/>
    <cellStyle name="쉼표 [0] 2 9 3 2 2" xfId="4755" xr:uid="{00000000-0005-0000-0000-00005A0A0000}"/>
    <cellStyle name="쉼표 [0] 2 9 3 3" xfId="4528" xr:uid="{00000000-0005-0000-0000-0000590A0000}"/>
    <cellStyle name="쉼표 [0] 2 9 4" xfId="4295" xr:uid="{00000000-0005-0000-0000-00005B0A0000}"/>
    <cellStyle name="쉼표 [0] 2 9 4 2" xfId="4752" xr:uid="{00000000-0005-0000-0000-00005B0A0000}"/>
    <cellStyle name="쉼표 [0] 2 9 5" xfId="4525" xr:uid="{00000000-0005-0000-0000-0000540A0000}"/>
    <cellStyle name="쉼표 [0] 2_(완료)통계연보자료_사업체(출판인쇄기록매체등)이병우" xfId="1421" xr:uid="{00000000-0005-0000-0000-00005C0A0000}"/>
    <cellStyle name="쉼표 [0] 20" xfId="1422" xr:uid="{00000000-0005-0000-0000-00005D0A0000}"/>
    <cellStyle name="쉼표 [0] 20 2" xfId="1423" xr:uid="{00000000-0005-0000-0000-00005E0A0000}"/>
    <cellStyle name="쉼표 [0] 20 2 2" xfId="4300" xr:uid="{00000000-0005-0000-0000-00005F0A0000}"/>
    <cellStyle name="쉼표 [0] 20 2 2 2" xfId="4757" xr:uid="{00000000-0005-0000-0000-00005F0A0000}"/>
    <cellStyle name="쉼표 [0] 20 2 3" xfId="4530" xr:uid="{00000000-0005-0000-0000-00005E0A0000}"/>
    <cellStyle name="쉼표 [0] 20 3" xfId="1424" xr:uid="{00000000-0005-0000-0000-0000600A0000}"/>
    <cellStyle name="쉼표 [0] 20 3 2" xfId="4301" xr:uid="{00000000-0005-0000-0000-0000610A0000}"/>
    <cellStyle name="쉼표 [0] 20 3 2 2" xfId="4758" xr:uid="{00000000-0005-0000-0000-0000610A0000}"/>
    <cellStyle name="쉼표 [0] 20 3 3" xfId="4531" xr:uid="{00000000-0005-0000-0000-0000600A0000}"/>
    <cellStyle name="쉼표 [0] 20 4" xfId="1425" xr:uid="{00000000-0005-0000-0000-0000620A0000}"/>
    <cellStyle name="쉼표 [0] 20 4 2" xfId="4302" xr:uid="{00000000-0005-0000-0000-0000630A0000}"/>
    <cellStyle name="쉼표 [0] 20 4 2 2" xfId="4759" xr:uid="{00000000-0005-0000-0000-0000630A0000}"/>
    <cellStyle name="쉼표 [0] 20 4 3" xfId="4532" xr:uid="{00000000-0005-0000-0000-0000620A0000}"/>
    <cellStyle name="쉼표 [0] 20 5" xfId="1426" xr:uid="{00000000-0005-0000-0000-0000640A0000}"/>
    <cellStyle name="쉼표 [0] 20 5 2" xfId="4303" xr:uid="{00000000-0005-0000-0000-0000650A0000}"/>
    <cellStyle name="쉼표 [0] 20 5 2 2" xfId="4760" xr:uid="{00000000-0005-0000-0000-0000650A0000}"/>
    <cellStyle name="쉼표 [0] 20 5 3" xfId="4533" xr:uid="{00000000-0005-0000-0000-0000640A0000}"/>
    <cellStyle name="쉼표 [0] 20 6" xfId="4299" xr:uid="{00000000-0005-0000-0000-0000660A0000}"/>
    <cellStyle name="쉼표 [0] 20 6 2" xfId="4756" xr:uid="{00000000-0005-0000-0000-0000660A0000}"/>
    <cellStyle name="쉼표 [0] 20 7" xfId="4529" xr:uid="{00000000-0005-0000-0000-00005D0A0000}"/>
    <cellStyle name="쉼표 [0] 21" xfId="1427" xr:uid="{00000000-0005-0000-0000-0000670A0000}"/>
    <cellStyle name="쉼표 [0] 21 2" xfId="1428" xr:uid="{00000000-0005-0000-0000-0000680A0000}"/>
    <cellStyle name="쉼표 [0] 21 2 2" xfId="4305" xr:uid="{00000000-0005-0000-0000-0000690A0000}"/>
    <cellStyle name="쉼표 [0] 21 2 2 2" xfId="4762" xr:uid="{00000000-0005-0000-0000-0000690A0000}"/>
    <cellStyle name="쉼표 [0] 21 2 3" xfId="4535" xr:uid="{00000000-0005-0000-0000-0000680A0000}"/>
    <cellStyle name="쉼표 [0] 21 3" xfId="1429" xr:uid="{00000000-0005-0000-0000-00006A0A0000}"/>
    <cellStyle name="쉼표 [0] 21 3 2" xfId="4306" xr:uid="{00000000-0005-0000-0000-00006B0A0000}"/>
    <cellStyle name="쉼표 [0] 21 3 2 2" xfId="4763" xr:uid="{00000000-0005-0000-0000-00006B0A0000}"/>
    <cellStyle name="쉼표 [0] 21 3 3" xfId="4536" xr:uid="{00000000-0005-0000-0000-00006A0A0000}"/>
    <cellStyle name="쉼표 [0] 21 4" xfId="1430" xr:uid="{00000000-0005-0000-0000-00006C0A0000}"/>
    <cellStyle name="쉼표 [0] 21 4 2" xfId="4307" xr:uid="{00000000-0005-0000-0000-00006D0A0000}"/>
    <cellStyle name="쉼표 [0] 21 4 2 2" xfId="4764" xr:uid="{00000000-0005-0000-0000-00006D0A0000}"/>
    <cellStyle name="쉼표 [0] 21 4 3" xfId="4537" xr:uid="{00000000-0005-0000-0000-00006C0A0000}"/>
    <cellStyle name="쉼표 [0] 21 5" xfId="4304" xr:uid="{00000000-0005-0000-0000-00006E0A0000}"/>
    <cellStyle name="쉼표 [0] 21 5 2" xfId="4761" xr:uid="{00000000-0005-0000-0000-00006E0A0000}"/>
    <cellStyle name="쉼표 [0] 21 6" xfId="4534" xr:uid="{00000000-0005-0000-0000-0000670A0000}"/>
    <cellStyle name="쉼표 [0] 22" xfId="1431" xr:uid="{00000000-0005-0000-0000-00006F0A0000}"/>
    <cellStyle name="쉼표 [0] 22 2" xfId="1432" xr:uid="{00000000-0005-0000-0000-0000700A0000}"/>
    <cellStyle name="쉼표 [0] 22 2 2" xfId="4309" xr:uid="{00000000-0005-0000-0000-0000710A0000}"/>
    <cellStyle name="쉼표 [0] 22 2 2 2" xfId="4766" xr:uid="{00000000-0005-0000-0000-0000710A0000}"/>
    <cellStyle name="쉼표 [0] 22 2 3" xfId="4539" xr:uid="{00000000-0005-0000-0000-0000700A0000}"/>
    <cellStyle name="쉼표 [0] 22 3" xfId="1433" xr:uid="{00000000-0005-0000-0000-0000720A0000}"/>
    <cellStyle name="쉼표 [0] 22 3 2" xfId="4310" xr:uid="{00000000-0005-0000-0000-0000730A0000}"/>
    <cellStyle name="쉼표 [0] 22 3 2 2" xfId="4767" xr:uid="{00000000-0005-0000-0000-0000730A0000}"/>
    <cellStyle name="쉼표 [0] 22 3 3" xfId="4540" xr:uid="{00000000-0005-0000-0000-0000720A0000}"/>
    <cellStyle name="쉼표 [0] 22 4" xfId="1434" xr:uid="{00000000-0005-0000-0000-0000740A0000}"/>
    <cellStyle name="쉼표 [0] 22 4 2" xfId="4311" xr:uid="{00000000-0005-0000-0000-0000750A0000}"/>
    <cellStyle name="쉼표 [0] 22 4 2 2" xfId="4768" xr:uid="{00000000-0005-0000-0000-0000750A0000}"/>
    <cellStyle name="쉼표 [0] 22 4 3" xfId="4541" xr:uid="{00000000-0005-0000-0000-0000740A0000}"/>
    <cellStyle name="쉼표 [0] 22 5" xfId="4308" xr:uid="{00000000-0005-0000-0000-0000760A0000}"/>
    <cellStyle name="쉼표 [0] 22 5 2" xfId="4765" xr:uid="{00000000-0005-0000-0000-0000760A0000}"/>
    <cellStyle name="쉼표 [0] 22 6" xfId="4538" xr:uid="{00000000-0005-0000-0000-00006F0A0000}"/>
    <cellStyle name="쉼표 [0] 23" xfId="1435" xr:uid="{00000000-0005-0000-0000-0000770A0000}"/>
    <cellStyle name="쉼표 [0] 23 2" xfId="1436" xr:uid="{00000000-0005-0000-0000-0000780A0000}"/>
    <cellStyle name="쉼표 [0] 23 2 2" xfId="4313" xr:uid="{00000000-0005-0000-0000-0000790A0000}"/>
    <cellStyle name="쉼표 [0] 23 2 2 2" xfId="4770" xr:uid="{00000000-0005-0000-0000-0000790A0000}"/>
    <cellStyle name="쉼표 [0] 23 2 3" xfId="4543" xr:uid="{00000000-0005-0000-0000-0000780A0000}"/>
    <cellStyle name="쉼표 [0] 23 3" xfId="1437" xr:uid="{00000000-0005-0000-0000-00007A0A0000}"/>
    <cellStyle name="쉼표 [0] 23 3 2" xfId="4314" xr:uid="{00000000-0005-0000-0000-00007B0A0000}"/>
    <cellStyle name="쉼표 [0] 23 3 2 2" xfId="4771" xr:uid="{00000000-0005-0000-0000-00007B0A0000}"/>
    <cellStyle name="쉼표 [0] 23 3 3" xfId="4544" xr:uid="{00000000-0005-0000-0000-00007A0A0000}"/>
    <cellStyle name="쉼표 [0] 23 4" xfId="1438" xr:uid="{00000000-0005-0000-0000-00007C0A0000}"/>
    <cellStyle name="쉼표 [0] 23 4 2" xfId="4315" xr:uid="{00000000-0005-0000-0000-00007D0A0000}"/>
    <cellStyle name="쉼표 [0] 23 4 2 2" xfId="4772" xr:uid="{00000000-0005-0000-0000-00007D0A0000}"/>
    <cellStyle name="쉼표 [0] 23 4 3" xfId="4545" xr:uid="{00000000-0005-0000-0000-00007C0A0000}"/>
    <cellStyle name="쉼표 [0] 23 5" xfId="4312" xr:uid="{00000000-0005-0000-0000-00007E0A0000}"/>
    <cellStyle name="쉼표 [0] 23 5 2" xfId="4769" xr:uid="{00000000-0005-0000-0000-00007E0A0000}"/>
    <cellStyle name="쉼표 [0] 23 6" xfId="4542" xr:uid="{00000000-0005-0000-0000-0000770A0000}"/>
    <cellStyle name="쉼표 [0] 24" xfId="1439" xr:uid="{00000000-0005-0000-0000-00007F0A0000}"/>
    <cellStyle name="쉼표 [0] 24 2" xfId="1440" xr:uid="{00000000-0005-0000-0000-0000800A0000}"/>
    <cellStyle name="쉼표 [0] 24 2 2" xfId="4317" xr:uid="{00000000-0005-0000-0000-0000810A0000}"/>
    <cellStyle name="쉼표 [0] 24 2 2 2" xfId="4774" xr:uid="{00000000-0005-0000-0000-0000810A0000}"/>
    <cellStyle name="쉼표 [0] 24 2 3" xfId="4547" xr:uid="{00000000-0005-0000-0000-0000800A0000}"/>
    <cellStyle name="쉼표 [0] 24 3" xfId="1441" xr:uid="{00000000-0005-0000-0000-0000820A0000}"/>
    <cellStyle name="쉼표 [0] 24 3 2" xfId="4318" xr:uid="{00000000-0005-0000-0000-0000830A0000}"/>
    <cellStyle name="쉼표 [0] 24 3 2 2" xfId="4775" xr:uid="{00000000-0005-0000-0000-0000830A0000}"/>
    <cellStyle name="쉼표 [0] 24 3 3" xfId="4548" xr:uid="{00000000-0005-0000-0000-0000820A0000}"/>
    <cellStyle name="쉼표 [0] 24 4" xfId="1442" xr:uid="{00000000-0005-0000-0000-0000840A0000}"/>
    <cellStyle name="쉼표 [0] 24 4 2" xfId="4319" xr:uid="{00000000-0005-0000-0000-0000850A0000}"/>
    <cellStyle name="쉼표 [0] 24 4 2 2" xfId="4776" xr:uid="{00000000-0005-0000-0000-0000850A0000}"/>
    <cellStyle name="쉼표 [0] 24 4 3" xfId="4549" xr:uid="{00000000-0005-0000-0000-0000840A0000}"/>
    <cellStyle name="쉼표 [0] 24 5" xfId="4316" xr:uid="{00000000-0005-0000-0000-0000860A0000}"/>
    <cellStyle name="쉼표 [0] 24 5 2" xfId="4773" xr:uid="{00000000-0005-0000-0000-0000860A0000}"/>
    <cellStyle name="쉼표 [0] 24 6" xfId="4546" xr:uid="{00000000-0005-0000-0000-00007F0A0000}"/>
    <cellStyle name="쉼표 [0] 25" xfId="1443" xr:uid="{00000000-0005-0000-0000-0000870A0000}"/>
    <cellStyle name="쉼표 [0] 25 2" xfId="1444" xr:uid="{00000000-0005-0000-0000-0000880A0000}"/>
    <cellStyle name="쉼표 [0] 25 2 2" xfId="4321" xr:uid="{00000000-0005-0000-0000-0000890A0000}"/>
    <cellStyle name="쉼표 [0] 25 2 2 2" xfId="4778" xr:uid="{00000000-0005-0000-0000-0000890A0000}"/>
    <cellStyle name="쉼표 [0] 25 2 3" xfId="4551" xr:uid="{00000000-0005-0000-0000-0000880A0000}"/>
    <cellStyle name="쉼표 [0] 25 3" xfId="1445" xr:uid="{00000000-0005-0000-0000-00008A0A0000}"/>
    <cellStyle name="쉼표 [0] 25 3 2" xfId="4322" xr:uid="{00000000-0005-0000-0000-00008B0A0000}"/>
    <cellStyle name="쉼표 [0] 25 3 2 2" xfId="4779" xr:uid="{00000000-0005-0000-0000-00008B0A0000}"/>
    <cellStyle name="쉼표 [0] 25 3 3" xfId="4552" xr:uid="{00000000-0005-0000-0000-00008A0A0000}"/>
    <cellStyle name="쉼표 [0] 25 4" xfId="1446" xr:uid="{00000000-0005-0000-0000-00008C0A0000}"/>
    <cellStyle name="쉼표 [0] 25 4 2" xfId="4323" xr:uid="{00000000-0005-0000-0000-00008D0A0000}"/>
    <cellStyle name="쉼표 [0] 25 4 2 2" xfId="4780" xr:uid="{00000000-0005-0000-0000-00008D0A0000}"/>
    <cellStyle name="쉼표 [0] 25 4 3" xfId="4553" xr:uid="{00000000-0005-0000-0000-00008C0A0000}"/>
    <cellStyle name="쉼표 [0] 25 5" xfId="4320" xr:uid="{00000000-0005-0000-0000-00008E0A0000}"/>
    <cellStyle name="쉼표 [0] 25 5 2" xfId="4777" xr:uid="{00000000-0005-0000-0000-00008E0A0000}"/>
    <cellStyle name="쉼표 [0] 25 6" xfId="4550" xr:uid="{00000000-0005-0000-0000-0000870A0000}"/>
    <cellStyle name="쉼표 [0] 26" xfId="1447" xr:uid="{00000000-0005-0000-0000-00008F0A0000}"/>
    <cellStyle name="쉼표 [0] 26 2" xfId="1448" xr:uid="{00000000-0005-0000-0000-0000900A0000}"/>
    <cellStyle name="쉼표 [0] 26 2 2" xfId="4325" xr:uid="{00000000-0005-0000-0000-0000910A0000}"/>
    <cellStyle name="쉼표 [0] 26 2 2 2" xfId="4782" xr:uid="{00000000-0005-0000-0000-0000910A0000}"/>
    <cellStyle name="쉼표 [0] 26 2 3" xfId="4555" xr:uid="{00000000-0005-0000-0000-0000900A0000}"/>
    <cellStyle name="쉼표 [0] 26 3" xfId="4324" xr:uid="{00000000-0005-0000-0000-0000920A0000}"/>
    <cellStyle name="쉼표 [0] 26 3 2" xfId="4781" xr:uid="{00000000-0005-0000-0000-0000920A0000}"/>
    <cellStyle name="쉼표 [0] 26 4" xfId="4554" xr:uid="{00000000-0005-0000-0000-00008F0A0000}"/>
    <cellStyle name="쉼표 [0] 27" xfId="1449" xr:uid="{00000000-0005-0000-0000-0000930A0000}"/>
    <cellStyle name="쉼표 [0] 27 2" xfId="1450" xr:uid="{00000000-0005-0000-0000-0000940A0000}"/>
    <cellStyle name="쉼표 [0] 27 2 2" xfId="4327" xr:uid="{00000000-0005-0000-0000-0000950A0000}"/>
    <cellStyle name="쉼표 [0] 27 2 2 2" xfId="4784" xr:uid="{00000000-0005-0000-0000-0000950A0000}"/>
    <cellStyle name="쉼표 [0] 27 2 3" xfId="4557" xr:uid="{00000000-0005-0000-0000-0000940A0000}"/>
    <cellStyle name="쉼표 [0] 27 3" xfId="4326" xr:uid="{00000000-0005-0000-0000-0000960A0000}"/>
    <cellStyle name="쉼표 [0] 27 3 2" xfId="4783" xr:uid="{00000000-0005-0000-0000-0000960A0000}"/>
    <cellStyle name="쉼표 [0] 27 4" xfId="4556" xr:uid="{00000000-0005-0000-0000-0000930A0000}"/>
    <cellStyle name="쉼표 [0] 28" xfId="1451" xr:uid="{00000000-0005-0000-0000-0000970A0000}"/>
    <cellStyle name="쉼표 [0] 28 2" xfId="1452" xr:uid="{00000000-0005-0000-0000-0000980A0000}"/>
    <cellStyle name="쉼표 [0] 28 2 2" xfId="4329" xr:uid="{00000000-0005-0000-0000-0000990A0000}"/>
    <cellStyle name="쉼표 [0] 28 2 2 2" xfId="4786" xr:uid="{00000000-0005-0000-0000-0000990A0000}"/>
    <cellStyle name="쉼표 [0] 28 2 3" xfId="4559" xr:uid="{00000000-0005-0000-0000-0000980A0000}"/>
    <cellStyle name="쉼표 [0] 28 3" xfId="4328" xr:uid="{00000000-0005-0000-0000-00009A0A0000}"/>
    <cellStyle name="쉼표 [0] 28 3 2" xfId="4785" xr:uid="{00000000-0005-0000-0000-00009A0A0000}"/>
    <cellStyle name="쉼표 [0] 28 4" xfId="4558" xr:uid="{00000000-0005-0000-0000-0000970A0000}"/>
    <cellStyle name="쉼표 [0] 29" xfId="1453" xr:uid="{00000000-0005-0000-0000-00009B0A0000}"/>
    <cellStyle name="쉼표 [0] 29 2" xfId="1454" xr:uid="{00000000-0005-0000-0000-00009C0A0000}"/>
    <cellStyle name="쉼표 [0] 29 2 2" xfId="4331" xr:uid="{00000000-0005-0000-0000-00009D0A0000}"/>
    <cellStyle name="쉼표 [0] 29 2 2 2" xfId="4788" xr:uid="{00000000-0005-0000-0000-00009D0A0000}"/>
    <cellStyle name="쉼표 [0] 29 2 3" xfId="4561" xr:uid="{00000000-0005-0000-0000-00009C0A0000}"/>
    <cellStyle name="쉼표 [0] 29 3" xfId="4330" xr:uid="{00000000-0005-0000-0000-00009E0A0000}"/>
    <cellStyle name="쉼표 [0] 29 3 2" xfId="4787" xr:uid="{00000000-0005-0000-0000-00009E0A0000}"/>
    <cellStyle name="쉼표 [0] 29 4" xfId="4560" xr:uid="{00000000-0005-0000-0000-00009B0A0000}"/>
    <cellStyle name="쉼표 [0] 3" xfId="1455" xr:uid="{00000000-0005-0000-0000-00009F0A0000}"/>
    <cellStyle name="쉼표 [0] 3 10" xfId="1456" xr:uid="{00000000-0005-0000-0000-0000A00A0000}"/>
    <cellStyle name="쉼표 [0] 3 10 2" xfId="4332" xr:uid="{00000000-0005-0000-0000-0000A10A0000}"/>
    <cellStyle name="쉼표 [0] 3 10 2 2" xfId="4789" xr:uid="{00000000-0005-0000-0000-0000A10A0000}"/>
    <cellStyle name="쉼표 [0] 3 10 3" xfId="4562" xr:uid="{00000000-0005-0000-0000-0000A00A0000}"/>
    <cellStyle name="쉼표 [0] 3 11" xfId="1457" xr:uid="{00000000-0005-0000-0000-0000A20A0000}"/>
    <cellStyle name="쉼표 [0] 3 11 2" xfId="4333" xr:uid="{00000000-0005-0000-0000-0000A30A0000}"/>
    <cellStyle name="쉼표 [0] 3 11 2 2" xfId="4790" xr:uid="{00000000-0005-0000-0000-0000A30A0000}"/>
    <cellStyle name="쉼표 [0] 3 11 3" xfId="4563" xr:uid="{00000000-0005-0000-0000-0000A20A0000}"/>
    <cellStyle name="쉼표 [0] 3 2" xfId="1458" xr:uid="{00000000-0005-0000-0000-0000A40A0000}"/>
    <cellStyle name="쉼표 [0] 3 2 10" xfId="1459" xr:uid="{00000000-0005-0000-0000-0000A50A0000}"/>
    <cellStyle name="쉼표 [0] 3 2 10 2" xfId="4334" xr:uid="{00000000-0005-0000-0000-0000A60A0000}"/>
    <cellStyle name="쉼표 [0] 3 2 10 2 2" xfId="4791" xr:uid="{00000000-0005-0000-0000-0000A60A0000}"/>
    <cellStyle name="쉼표 [0] 3 2 10 3" xfId="4564" xr:uid="{00000000-0005-0000-0000-0000A50A0000}"/>
    <cellStyle name="쉼표 [0] 3 2 11" xfId="1460" xr:uid="{00000000-0005-0000-0000-0000A70A0000}"/>
    <cellStyle name="쉼표 [0] 3 2 11 2" xfId="4335" xr:uid="{00000000-0005-0000-0000-0000A80A0000}"/>
    <cellStyle name="쉼표 [0] 3 2 11 2 2" xfId="4792" xr:uid="{00000000-0005-0000-0000-0000A80A0000}"/>
    <cellStyle name="쉼표 [0] 3 2 11 3" xfId="4565" xr:uid="{00000000-0005-0000-0000-0000A70A0000}"/>
    <cellStyle name="쉼표 [0] 3 2 2" xfId="1461" xr:uid="{00000000-0005-0000-0000-0000A90A0000}"/>
    <cellStyle name="쉼표 [0] 3 2 2 2" xfId="1462" xr:uid="{00000000-0005-0000-0000-0000AA0A0000}"/>
    <cellStyle name="쉼표 [0] 3 2 2 2 2" xfId="1463" xr:uid="{00000000-0005-0000-0000-0000AB0A0000}"/>
    <cellStyle name="쉼표 [0] 3 2 2 3" xfId="1464" xr:uid="{00000000-0005-0000-0000-0000AC0A0000}"/>
    <cellStyle name="쉼표 [0] 3 2 2_1) 도로시설물" xfId="1465" xr:uid="{00000000-0005-0000-0000-0000AD0A0000}"/>
    <cellStyle name="쉼표 [0] 3 2 3" xfId="1466" xr:uid="{00000000-0005-0000-0000-0000AE0A0000}"/>
    <cellStyle name="쉼표 [0] 3 2 3 2" xfId="1467" xr:uid="{00000000-0005-0000-0000-0000AF0A0000}"/>
    <cellStyle name="쉼표 [0] 3 2 4" xfId="1468" xr:uid="{00000000-0005-0000-0000-0000B00A0000}"/>
    <cellStyle name="쉼표 [0] 3 2 4 2" xfId="4336" xr:uid="{00000000-0005-0000-0000-0000B10A0000}"/>
    <cellStyle name="쉼표 [0] 3 2 4 2 2" xfId="4793" xr:uid="{00000000-0005-0000-0000-0000B10A0000}"/>
    <cellStyle name="쉼표 [0] 3 2 4 3" xfId="4566" xr:uid="{00000000-0005-0000-0000-0000B00A0000}"/>
    <cellStyle name="쉼표 [0] 3 2 5" xfId="1469" xr:uid="{00000000-0005-0000-0000-0000B20A0000}"/>
    <cellStyle name="쉼표 [0] 3 2 5 2" xfId="4337" xr:uid="{00000000-0005-0000-0000-0000B30A0000}"/>
    <cellStyle name="쉼표 [0] 3 2 5 2 2" xfId="4794" xr:uid="{00000000-0005-0000-0000-0000B30A0000}"/>
    <cellStyle name="쉼표 [0] 3 2 5 3" xfId="4567" xr:uid="{00000000-0005-0000-0000-0000B20A0000}"/>
    <cellStyle name="쉼표 [0] 3 2 6" xfId="1470" xr:uid="{00000000-0005-0000-0000-0000B40A0000}"/>
    <cellStyle name="쉼표 [0] 3 2 6 2" xfId="4338" xr:uid="{00000000-0005-0000-0000-0000B50A0000}"/>
    <cellStyle name="쉼표 [0] 3 2 6 2 2" xfId="4795" xr:uid="{00000000-0005-0000-0000-0000B50A0000}"/>
    <cellStyle name="쉼표 [0] 3 2 6 3" xfId="4568" xr:uid="{00000000-0005-0000-0000-0000B40A0000}"/>
    <cellStyle name="쉼표 [0] 3 2 7" xfId="1471" xr:uid="{00000000-0005-0000-0000-0000B60A0000}"/>
    <cellStyle name="쉼표 [0] 3 2 7 2" xfId="4339" xr:uid="{00000000-0005-0000-0000-0000B70A0000}"/>
    <cellStyle name="쉼표 [0] 3 2 7 2 2" xfId="4796" xr:uid="{00000000-0005-0000-0000-0000B70A0000}"/>
    <cellStyle name="쉼표 [0] 3 2 7 3" xfId="4569" xr:uid="{00000000-0005-0000-0000-0000B60A0000}"/>
    <cellStyle name="쉼표 [0] 3 2 8" xfId="1472" xr:uid="{00000000-0005-0000-0000-0000B80A0000}"/>
    <cellStyle name="쉼표 [0] 3 2 8 2" xfId="4340" xr:uid="{00000000-0005-0000-0000-0000B90A0000}"/>
    <cellStyle name="쉼표 [0] 3 2 8 2 2" xfId="4797" xr:uid="{00000000-0005-0000-0000-0000B90A0000}"/>
    <cellStyle name="쉼표 [0] 3 2 8 3" xfId="4570" xr:uid="{00000000-0005-0000-0000-0000B80A0000}"/>
    <cellStyle name="쉼표 [0] 3 2 9" xfId="1473" xr:uid="{00000000-0005-0000-0000-0000BA0A0000}"/>
    <cellStyle name="쉼표 [0] 3 2 9 2" xfId="4341" xr:uid="{00000000-0005-0000-0000-0000BB0A0000}"/>
    <cellStyle name="쉼표 [0] 3 2 9 2 2" xfId="4798" xr:uid="{00000000-0005-0000-0000-0000BB0A0000}"/>
    <cellStyle name="쉼표 [0] 3 2 9 3" xfId="4571" xr:uid="{00000000-0005-0000-0000-0000BA0A0000}"/>
    <cellStyle name="쉼표 [0] 3 3" xfId="1474" xr:uid="{00000000-0005-0000-0000-0000BC0A0000}"/>
    <cellStyle name="쉼표 [0] 3 3 2" xfId="1475" xr:uid="{00000000-0005-0000-0000-0000BD0A0000}"/>
    <cellStyle name="쉼표 [0] 3 3 2 2" xfId="1476" xr:uid="{00000000-0005-0000-0000-0000BE0A0000}"/>
    <cellStyle name="쉼표 [0] 3 3 3" xfId="1477" xr:uid="{00000000-0005-0000-0000-0000BF0A0000}"/>
    <cellStyle name="쉼표 [0] 3 3 3 2" xfId="1478" xr:uid="{00000000-0005-0000-0000-0000C00A0000}"/>
    <cellStyle name="쉼표 [0] 3 3 4" xfId="1479" xr:uid="{00000000-0005-0000-0000-0000C10A0000}"/>
    <cellStyle name="쉼표 [0] 3 3 4 2" xfId="4342" xr:uid="{00000000-0005-0000-0000-0000C20A0000}"/>
    <cellStyle name="쉼표 [0] 3 3 4 2 2" xfId="4799" xr:uid="{00000000-0005-0000-0000-0000C20A0000}"/>
    <cellStyle name="쉼표 [0] 3 3 4 3" xfId="4572" xr:uid="{00000000-0005-0000-0000-0000C10A0000}"/>
    <cellStyle name="쉼표 [0] 3 3 5" xfId="2610" xr:uid="{00000000-0005-0000-0000-0000C30A0000}"/>
    <cellStyle name="쉼표 [0] 3 3 5 2" xfId="4451" xr:uid="{00000000-0005-0000-0000-0000C40A0000}"/>
    <cellStyle name="쉼표 [0] 3 3 5 2 2" xfId="4908" xr:uid="{00000000-0005-0000-0000-0000C40A0000}"/>
    <cellStyle name="쉼표 [0] 3 3 5 3" xfId="4681" xr:uid="{00000000-0005-0000-0000-0000C30A0000}"/>
    <cellStyle name="쉼표 [0] 3 4" xfId="1480" xr:uid="{00000000-0005-0000-0000-0000C50A0000}"/>
    <cellStyle name="쉼표 [0] 3 4 2" xfId="1481" xr:uid="{00000000-0005-0000-0000-0000C60A0000}"/>
    <cellStyle name="쉼표 [0] 3 4 2 2" xfId="4343" xr:uid="{00000000-0005-0000-0000-0000C70A0000}"/>
    <cellStyle name="쉼표 [0] 3 4 2 2 2" xfId="4800" xr:uid="{00000000-0005-0000-0000-0000C70A0000}"/>
    <cellStyle name="쉼표 [0] 3 4 2 3" xfId="4573" xr:uid="{00000000-0005-0000-0000-0000C60A0000}"/>
    <cellStyle name="쉼표 [0] 3 5" xfId="1482" xr:uid="{00000000-0005-0000-0000-0000C80A0000}"/>
    <cellStyle name="쉼표 [0] 3 5 2" xfId="1483" xr:uid="{00000000-0005-0000-0000-0000C90A0000}"/>
    <cellStyle name="쉼표 [0] 3 5 2 2" xfId="4344" xr:uid="{00000000-0005-0000-0000-0000CA0A0000}"/>
    <cellStyle name="쉼표 [0] 3 5 2 2 2" xfId="4801" xr:uid="{00000000-0005-0000-0000-0000CA0A0000}"/>
    <cellStyle name="쉼표 [0] 3 5 2 3" xfId="4574" xr:uid="{00000000-0005-0000-0000-0000C90A0000}"/>
    <cellStyle name="쉼표 [0] 3 5 3" xfId="1484" xr:uid="{00000000-0005-0000-0000-0000CB0A0000}"/>
    <cellStyle name="쉼표 [0] 3 5 3 2" xfId="4345" xr:uid="{00000000-0005-0000-0000-0000CC0A0000}"/>
    <cellStyle name="쉼표 [0] 3 5 3 2 2" xfId="4802" xr:uid="{00000000-0005-0000-0000-0000CC0A0000}"/>
    <cellStyle name="쉼표 [0] 3 5 3 3" xfId="4575" xr:uid="{00000000-0005-0000-0000-0000CB0A0000}"/>
    <cellStyle name="쉼표 [0] 3 6" xfId="1485" xr:uid="{00000000-0005-0000-0000-0000CD0A0000}"/>
    <cellStyle name="쉼표 [0] 3 6 2" xfId="1486" xr:uid="{00000000-0005-0000-0000-0000CE0A0000}"/>
    <cellStyle name="쉼표 [0] 3 6 2 2" xfId="4347" xr:uid="{00000000-0005-0000-0000-0000CF0A0000}"/>
    <cellStyle name="쉼표 [0] 3 6 2 2 2" xfId="4804" xr:uid="{00000000-0005-0000-0000-0000CF0A0000}"/>
    <cellStyle name="쉼표 [0] 3 6 2 3" xfId="4577" xr:uid="{00000000-0005-0000-0000-0000CE0A0000}"/>
    <cellStyle name="쉼표 [0] 3 6 3" xfId="4346" xr:uid="{00000000-0005-0000-0000-0000D00A0000}"/>
    <cellStyle name="쉼표 [0] 3 6 3 2" xfId="4803" xr:uid="{00000000-0005-0000-0000-0000D00A0000}"/>
    <cellStyle name="쉼표 [0] 3 6 4" xfId="4576" xr:uid="{00000000-0005-0000-0000-0000CD0A0000}"/>
    <cellStyle name="쉼표 [0] 3 7" xfId="1487" xr:uid="{00000000-0005-0000-0000-0000D10A0000}"/>
    <cellStyle name="쉼표 [0] 3 7 2" xfId="4348" xr:uid="{00000000-0005-0000-0000-0000D20A0000}"/>
    <cellStyle name="쉼표 [0] 3 7 2 2" xfId="4805" xr:uid="{00000000-0005-0000-0000-0000D20A0000}"/>
    <cellStyle name="쉼표 [0] 3 7 3" xfId="4578" xr:uid="{00000000-0005-0000-0000-0000D10A0000}"/>
    <cellStyle name="쉼표 [0] 3 8" xfId="1488" xr:uid="{00000000-0005-0000-0000-0000D30A0000}"/>
    <cellStyle name="쉼표 [0] 3 8 2" xfId="4349" xr:uid="{00000000-0005-0000-0000-0000D40A0000}"/>
    <cellStyle name="쉼표 [0] 3 8 2 2" xfId="4806" xr:uid="{00000000-0005-0000-0000-0000D40A0000}"/>
    <cellStyle name="쉼표 [0] 3 8 3" xfId="4579" xr:uid="{00000000-0005-0000-0000-0000D30A0000}"/>
    <cellStyle name="쉼표 [0] 3 9" xfId="1489" xr:uid="{00000000-0005-0000-0000-0000D50A0000}"/>
    <cellStyle name="쉼표 [0] 3 9 2" xfId="4350" xr:uid="{00000000-0005-0000-0000-0000D60A0000}"/>
    <cellStyle name="쉼표 [0] 3 9 2 2" xfId="4807" xr:uid="{00000000-0005-0000-0000-0000D60A0000}"/>
    <cellStyle name="쉼표 [0] 3 9 3" xfId="4580" xr:uid="{00000000-0005-0000-0000-0000D50A0000}"/>
    <cellStyle name="쉼표 [0] 3_13.환경(2011)" xfId="1490" xr:uid="{00000000-0005-0000-0000-0000D70A0000}"/>
    <cellStyle name="쉼표 [0] 30" xfId="1491" xr:uid="{00000000-0005-0000-0000-0000D80A0000}"/>
    <cellStyle name="쉼표 [0] 30 2" xfId="1492" xr:uid="{00000000-0005-0000-0000-0000D90A0000}"/>
    <cellStyle name="쉼표 [0] 30 2 2" xfId="4352" xr:uid="{00000000-0005-0000-0000-0000DA0A0000}"/>
    <cellStyle name="쉼표 [0] 30 2 2 2" xfId="4809" xr:uid="{00000000-0005-0000-0000-0000DA0A0000}"/>
    <cellStyle name="쉼표 [0] 30 2 3" xfId="4582" xr:uid="{00000000-0005-0000-0000-0000D90A0000}"/>
    <cellStyle name="쉼표 [0] 30 3" xfId="4351" xr:uid="{00000000-0005-0000-0000-0000DB0A0000}"/>
    <cellStyle name="쉼표 [0] 30 3 2" xfId="4808" xr:uid="{00000000-0005-0000-0000-0000DB0A0000}"/>
    <cellStyle name="쉼표 [0] 30 4" xfId="4581" xr:uid="{00000000-0005-0000-0000-0000D80A0000}"/>
    <cellStyle name="쉼표 [0] 31" xfId="1493" xr:uid="{00000000-0005-0000-0000-0000DC0A0000}"/>
    <cellStyle name="쉼표 [0] 31 2" xfId="1494" xr:uid="{00000000-0005-0000-0000-0000DD0A0000}"/>
    <cellStyle name="쉼표 [0] 31 2 2" xfId="4354" xr:uid="{00000000-0005-0000-0000-0000DE0A0000}"/>
    <cellStyle name="쉼표 [0] 31 2 2 2" xfId="4811" xr:uid="{00000000-0005-0000-0000-0000DE0A0000}"/>
    <cellStyle name="쉼표 [0] 31 2 3" xfId="4584" xr:uid="{00000000-0005-0000-0000-0000DD0A0000}"/>
    <cellStyle name="쉼표 [0] 31 3" xfId="4353" xr:uid="{00000000-0005-0000-0000-0000DF0A0000}"/>
    <cellStyle name="쉼표 [0] 31 3 2" xfId="4810" xr:uid="{00000000-0005-0000-0000-0000DF0A0000}"/>
    <cellStyle name="쉼표 [0] 31 4" xfId="4583" xr:uid="{00000000-0005-0000-0000-0000DC0A0000}"/>
    <cellStyle name="쉼표 [0] 32" xfId="1495" xr:uid="{00000000-0005-0000-0000-0000E00A0000}"/>
    <cellStyle name="쉼표 [0] 32 2" xfId="1496" xr:uid="{00000000-0005-0000-0000-0000E10A0000}"/>
    <cellStyle name="쉼표 [0] 32 2 2" xfId="4356" xr:uid="{00000000-0005-0000-0000-0000E20A0000}"/>
    <cellStyle name="쉼표 [0] 32 2 2 2" xfId="4813" xr:uid="{00000000-0005-0000-0000-0000E20A0000}"/>
    <cellStyle name="쉼표 [0] 32 2 3" xfId="4586" xr:uid="{00000000-0005-0000-0000-0000E10A0000}"/>
    <cellStyle name="쉼표 [0] 32 3" xfId="4355" xr:uid="{00000000-0005-0000-0000-0000E30A0000}"/>
    <cellStyle name="쉼표 [0] 32 3 2" xfId="4812" xr:uid="{00000000-0005-0000-0000-0000E30A0000}"/>
    <cellStyle name="쉼표 [0] 32 4" xfId="4585" xr:uid="{00000000-0005-0000-0000-0000E00A0000}"/>
    <cellStyle name="쉼표 [0] 33" xfId="1497" xr:uid="{00000000-0005-0000-0000-0000E40A0000}"/>
    <cellStyle name="쉼표 [0] 33 10" xfId="4357" xr:uid="{00000000-0005-0000-0000-0000E50A0000}"/>
    <cellStyle name="쉼표 [0] 33 10 2" xfId="4814" xr:uid="{00000000-0005-0000-0000-0000E50A0000}"/>
    <cellStyle name="쉼표 [0] 33 11" xfId="4587" xr:uid="{00000000-0005-0000-0000-0000E40A0000}"/>
    <cellStyle name="쉼표 [0] 33 2" xfId="1498" xr:uid="{00000000-0005-0000-0000-0000E60A0000}"/>
    <cellStyle name="쉼표 [0] 33 2 2" xfId="1499" xr:uid="{00000000-0005-0000-0000-0000E70A0000}"/>
    <cellStyle name="쉼표 [0] 33 2 2 2" xfId="1500" xr:uid="{00000000-0005-0000-0000-0000E80A0000}"/>
    <cellStyle name="쉼표 [0] 33 2 2 2 2" xfId="4360" xr:uid="{00000000-0005-0000-0000-0000E90A0000}"/>
    <cellStyle name="쉼표 [0] 33 2 2 2 2 2" xfId="4817" xr:uid="{00000000-0005-0000-0000-0000E90A0000}"/>
    <cellStyle name="쉼표 [0] 33 2 2 2 3" xfId="4590" xr:uid="{00000000-0005-0000-0000-0000E80A0000}"/>
    <cellStyle name="쉼표 [0] 33 2 2 3" xfId="4359" xr:uid="{00000000-0005-0000-0000-0000EA0A0000}"/>
    <cellStyle name="쉼표 [0] 33 2 2 3 2" xfId="4816" xr:uid="{00000000-0005-0000-0000-0000EA0A0000}"/>
    <cellStyle name="쉼표 [0] 33 2 2 4" xfId="4589" xr:uid="{00000000-0005-0000-0000-0000E70A0000}"/>
    <cellStyle name="쉼표 [0] 33 2 3" xfId="1501" xr:uid="{00000000-0005-0000-0000-0000EB0A0000}"/>
    <cellStyle name="쉼표 [0] 33 2 3 2" xfId="1502" xr:uid="{00000000-0005-0000-0000-0000EC0A0000}"/>
    <cellStyle name="쉼표 [0] 33 2 3 2 2" xfId="4362" xr:uid="{00000000-0005-0000-0000-0000ED0A0000}"/>
    <cellStyle name="쉼표 [0] 33 2 3 2 2 2" xfId="4819" xr:uid="{00000000-0005-0000-0000-0000ED0A0000}"/>
    <cellStyle name="쉼표 [0] 33 2 3 2 3" xfId="4592" xr:uid="{00000000-0005-0000-0000-0000EC0A0000}"/>
    <cellStyle name="쉼표 [0] 33 2 3 3" xfId="4361" xr:uid="{00000000-0005-0000-0000-0000EE0A0000}"/>
    <cellStyle name="쉼표 [0] 33 2 3 3 2" xfId="4818" xr:uid="{00000000-0005-0000-0000-0000EE0A0000}"/>
    <cellStyle name="쉼표 [0] 33 2 3 4" xfId="4591" xr:uid="{00000000-0005-0000-0000-0000EB0A0000}"/>
    <cellStyle name="쉼표 [0] 33 2 4" xfId="1503" xr:uid="{00000000-0005-0000-0000-0000EF0A0000}"/>
    <cellStyle name="쉼표 [0] 33 2 4 2" xfId="4363" xr:uid="{00000000-0005-0000-0000-0000F00A0000}"/>
    <cellStyle name="쉼표 [0] 33 2 4 2 2" xfId="4820" xr:uid="{00000000-0005-0000-0000-0000F00A0000}"/>
    <cellStyle name="쉼표 [0] 33 2 4 3" xfId="4593" xr:uid="{00000000-0005-0000-0000-0000EF0A0000}"/>
    <cellStyle name="쉼표 [0] 33 2 5" xfId="4358" xr:uid="{00000000-0005-0000-0000-0000F10A0000}"/>
    <cellStyle name="쉼표 [0] 33 2 5 2" xfId="4815" xr:uid="{00000000-0005-0000-0000-0000F10A0000}"/>
    <cellStyle name="쉼표 [0] 33 2 6" xfId="4588" xr:uid="{00000000-0005-0000-0000-0000E60A0000}"/>
    <cellStyle name="쉼표 [0] 33 3" xfId="1504" xr:uid="{00000000-0005-0000-0000-0000F20A0000}"/>
    <cellStyle name="쉼표 [0] 33 3 2" xfId="1505" xr:uid="{00000000-0005-0000-0000-0000F30A0000}"/>
    <cellStyle name="쉼표 [0] 33 3 2 2" xfId="1506" xr:uid="{00000000-0005-0000-0000-0000F40A0000}"/>
    <cellStyle name="쉼표 [0] 33 3 2 2 2" xfId="4366" xr:uid="{00000000-0005-0000-0000-0000F50A0000}"/>
    <cellStyle name="쉼표 [0] 33 3 2 2 2 2" xfId="4823" xr:uid="{00000000-0005-0000-0000-0000F50A0000}"/>
    <cellStyle name="쉼표 [0] 33 3 2 2 3" xfId="4596" xr:uid="{00000000-0005-0000-0000-0000F40A0000}"/>
    <cellStyle name="쉼표 [0] 33 3 2 3" xfId="4365" xr:uid="{00000000-0005-0000-0000-0000F60A0000}"/>
    <cellStyle name="쉼표 [0] 33 3 2 3 2" xfId="4822" xr:uid="{00000000-0005-0000-0000-0000F60A0000}"/>
    <cellStyle name="쉼표 [0] 33 3 2 4" xfId="4595" xr:uid="{00000000-0005-0000-0000-0000F30A0000}"/>
    <cellStyle name="쉼표 [0] 33 3 3" xfId="1507" xr:uid="{00000000-0005-0000-0000-0000F70A0000}"/>
    <cellStyle name="쉼표 [0] 33 3 3 2" xfId="1508" xr:uid="{00000000-0005-0000-0000-0000F80A0000}"/>
    <cellStyle name="쉼표 [0] 33 3 3 2 2" xfId="4368" xr:uid="{00000000-0005-0000-0000-0000F90A0000}"/>
    <cellStyle name="쉼표 [0] 33 3 3 2 2 2" xfId="4825" xr:uid="{00000000-0005-0000-0000-0000F90A0000}"/>
    <cellStyle name="쉼표 [0] 33 3 3 2 3" xfId="4598" xr:uid="{00000000-0005-0000-0000-0000F80A0000}"/>
    <cellStyle name="쉼표 [0] 33 3 3 3" xfId="4367" xr:uid="{00000000-0005-0000-0000-0000FA0A0000}"/>
    <cellStyle name="쉼표 [0] 33 3 3 3 2" xfId="4824" xr:uid="{00000000-0005-0000-0000-0000FA0A0000}"/>
    <cellStyle name="쉼표 [0] 33 3 3 4" xfId="4597" xr:uid="{00000000-0005-0000-0000-0000F70A0000}"/>
    <cellStyle name="쉼표 [0] 33 3 4" xfId="1509" xr:uid="{00000000-0005-0000-0000-0000FB0A0000}"/>
    <cellStyle name="쉼표 [0] 33 3 4 2" xfId="4369" xr:uid="{00000000-0005-0000-0000-0000FC0A0000}"/>
    <cellStyle name="쉼표 [0] 33 3 4 2 2" xfId="4826" xr:uid="{00000000-0005-0000-0000-0000FC0A0000}"/>
    <cellStyle name="쉼표 [0] 33 3 4 3" xfId="4599" xr:uid="{00000000-0005-0000-0000-0000FB0A0000}"/>
    <cellStyle name="쉼표 [0] 33 3 5" xfId="4364" xr:uid="{00000000-0005-0000-0000-0000FD0A0000}"/>
    <cellStyle name="쉼표 [0] 33 3 5 2" xfId="4821" xr:uid="{00000000-0005-0000-0000-0000FD0A0000}"/>
    <cellStyle name="쉼표 [0] 33 3 6" xfId="4594" xr:uid="{00000000-0005-0000-0000-0000F20A0000}"/>
    <cellStyle name="쉼표 [0] 33 4" xfId="1510" xr:uid="{00000000-0005-0000-0000-0000FE0A0000}"/>
    <cellStyle name="쉼표 [0] 33 4 2" xfId="1511" xr:uid="{00000000-0005-0000-0000-0000FF0A0000}"/>
    <cellStyle name="쉼표 [0] 33 4 2 2" xfId="4371" xr:uid="{00000000-0005-0000-0000-0000000B0000}"/>
    <cellStyle name="쉼표 [0] 33 4 2 2 2" xfId="4828" xr:uid="{00000000-0005-0000-0000-0000000B0000}"/>
    <cellStyle name="쉼표 [0] 33 4 2 3" xfId="4601" xr:uid="{00000000-0005-0000-0000-0000FF0A0000}"/>
    <cellStyle name="쉼표 [0] 33 4 3" xfId="4370" xr:uid="{00000000-0005-0000-0000-0000010B0000}"/>
    <cellStyle name="쉼표 [0] 33 4 3 2" xfId="4827" xr:uid="{00000000-0005-0000-0000-0000010B0000}"/>
    <cellStyle name="쉼표 [0] 33 4 4" xfId="4600" xr:uid="{00000000-0005-0000-0000-0000FE0A0000}"/>
    <cellStyle name="쉼표 [0] 33 5" xfId="1512" xr:uid="{00000000-0005-0000-0000-0000020B0000}"/>
    <cellStyle name="쉼표 [0] 33 5 2" xfId="1513" xr:uid="{00000000-0005-0000-0000-0000030B0000}"/>
    <cellStyle name="쉼표 [0] 33 5 2 2" xfId="4373" xr:uid="{00000000-0005-0000-0000-0000040B0000}"/>
    <cellStyle name="쉼표 [0] 33 5 2 2 2" xfId="4830" xr:uid="{00000000-0005-0000-0000-0000040B0000}"/>
    <cellStyle name="쉼표 [0] 33 5 2 3" xfId="4603" xr:uid="{00000000-0005-0000-0000-0000030B0000}"/>
    <cellStyle name="쉼표 [0] 33 5 3" xfId="4372" xr:uid="{00000000-0005-0000-0000-0000050B0000}"/>
    <cellStyle name="쉼표 [0] 33 5 3 2" xfId="4829" xr:uid="{00000000-0005-0000-0000-0000050B0000}"/>
    <cellStyle name="쉼표 [0] 33 5 4" xfId="4602" xr:uid="{00000000-0005-0000-0000-0000020B0000}"/>
    <cellStyle name="쉼표 [0] 33 6" xfId="1514" xr:uid="{00000000-0005-0000-0000-0000060B0000}"/>
    <cellStyle name="쉼표 [0] 33 6 2" xfId="1515" xr:uid="{00000000-0005-0000-0000-0000070B0000}"/>
    <cellStyle name="쉼표 [0] 33 6 2 2" xfId="4375" xr:uid="{00000000-0005-0000-0000-0000080B0000}"/>
    <cellStyle name="쉼표 [0] 33 6 2 2 2" xfId="4832" xr:uid="{00000000-0005-0000-0000-0000080B0000}"/>
    <cellStyle name="쉼표 [0] 33 6 2 3" xfId="4605" xr:uid="{00000000-0005-0000-0000-0000070B0000}"/>
    <cellStyle name="쉼표 [0] 33 6 3" xfId="4374" xr:uid="{00000000-0005-0000-0000-0000090B0000}"/>
    <cellStyle name="쉼표 [0] 33 6 3 2" xfId="4831" xr:uid="{00000000-0005-0000-0000-0000090B0000}"/>
    <cellStyle name="쉼표 [0] 33 6 4" xfId="4604" xr:uid="{00000000-0005-0000-0000-0000060B0000}"/>
    <cellStyle name="쉼표 [0] 33 7" xfId="1516" xr:uid="{00000000-0005-0000-0000-00000A0B0000}"/>
    <cellStyle name="쉼표 [0] 33 7 2" xfId="1517" xr:uid="{00000000-0005-0000-0000-00000B0B0000}"/>
    <cellStyle name="쉼표 [0] 33 7 2 2" xfId="4377" xr:uid="{00000000-0005-0000-0000-00000C0B0000}"/>
    <cellStyle name="쉼표 [0] 33 7 2 2 2" xfId="4834" xr:uid="{00000000-0005-0000-0000-00000C0B0000}"/>
    <cellStyle name="쉼표 [0] 33 7 2 3" xfId="4607" xr:uid="{00000000-0005-0000-0000-00000B0B0000}"/>
    <cellStyle name="쉼표 [0] 33 7 3" xfId="4376" xr:uid="{00000000-0005-0000-0000-00000D0B0000}"/>
    <cellStyle name="쉼표 [0] 33 7 3 2" xfId="4833" xr:uid="{00000000-0005-0000-0000-00000D0B0000}"/>
    <cellStyle name="쉼표 [0] 33 7 4" xfId="4606" xr:uid="{00000000-0005-0000-0000-00000A0B0000}"/>
    <cellStyle name="쉼표 [0] 33 8" xfId="1518" xr:uid="{00000000-0005-0000-0000-00000E0B0000}"/>
    <cellStyle name="쉼표 [0] 33 8 2" xfId="1519" xr:uid="{00000000-0005-0000-0000-00000F0B0000}"/>
    <cellStyle name="쉼표 [0] 33 8 2 2" xfId="4379" xr:uid="{00000000-0005-0000-0000-0000100B0000}"/>
    <cellStyle name="쉼표 [0] 33 8 2 2 2" xfId="4836" xr:uid="{00000000-0005-0000-0000-0000100B0000}"/>
    <cellStyle name="쉼표 [0] 33 8 2 3" xfId="4609" xr:uid="{00000000-0005-0000-0000-00000F0B0000}"/>
    <cellStyle name="쉼표 [0] 33 8 3" xfId="4378" xr:uid="{00000000-0005-0000-0000-0000110B0000}"/>
    <cellStyle name="쉼표 [0] 33 8 3 2" xfId="4835" xr:uid="{00000000-0005-0000-0000-0000110B0000}"/>
    <cellStyle name="쉼표 [0] 33 8 4" xfId="4608" xr:uid="{00000000-0005-0000-0000-00000E0B0000}"/>
    <cellStyle name="쉼표 [0] 33 9" xfId="1520" xr:uid="{00000000-0005-0000-0000-0000120B0000}"/>
    <cellStyle name="쉼표 [0] 33 9 2" xfId="4380" xr:uid="{00000000-0005-0000-0000-0000130B0000}"/>
    <cellStyle name="쉼표 [0] 33 9 2 2" xfId="4837" xr:uid="{00000000-0005-0000-0000-0000130B0000}"/>
    <cellStyle name="쉼표 [0] 33 9 3" xfId="4610" xr:uid="{00000000-0005-0000-0000-0000120B0000}"/>
    <cellStyle name="쉼표 [0] 34" xfId="1521" xr:uid="{00000000-0005-0000-0000-0000140B0000}"/>
    <cellStyle name="쉼표 [0] 34 2" xfId="1522" xr:uid="{00000000-0005-0000-0000-0000150B0000}"/>
    <cellStyle name="쉼표 [0] 34 2 2" xfId="4382" xr:uid="{00000000-0005-0000-0000-0000160B0000}"/>
    <cellStyle name="쉼표 [0] 34 2 2 2" xfId="4839" xr:uid="{00000000-0005-0000-0000-0000160B0000}"/>
    <cellStyle name="쉼표 [0] 34 2 3" xfId="4612" xr:uid="{00000000-0005-0000-0000-0000150B0000}"/>
    <cellStyle name="쉼표 [0] 34 3" xfId="1523" xr:uid="{00000000-0005-0000-0000-0000170B0000}"/>
    <cellStyle name="쉼표 [0] 34 3 2" xfId="1524" xr:uid="{00000000-0005-0000-0000-0000180B0000}"/>
    <cellStyle name="쉼표 [0] 34 3 2 2" xfId="4384" xr:uid="{00000000-0005-0000-0000-0000190B0000}"/>
    <cellStyle name="쉼표 [0] 34 3 2 2 2" xfId="4841" xr:uid="{00000000-0005-0000-0000-0000190B0000}"/>
    <cellStyle name="쉼표 [0] 34 3 2 3" xfId="4614" xr:uid="{00000000-0005-0000-0000-0000180B0000}"/>
    <cellStyle name="쉼표 [0] 34 3 3" xfId="4383" xr:uid="{00000000-0005-0000-0000-00001A0B0000}"/>
    <cellStyle name="쉼표 [0] 34 3 3 2" xfId="4840" xr:uid="{00000000-0005-0000-0000-00001A0B0000}"/>
    <cellStyle name="쉼표 [0] 34 3 4" xfId="4613" xr:uid="{00000000-0005-0000-0000-0000170B0000}"/>
    <cellStyle name="쉼표 [0] 34 4" xfId="4381" xr:uid="{00000000-0005-0000-0000-00001B0B0000}"/>
    <cellStyle name="쉼표 [0] 34 4 2" xfId="4838" xr:uid="{00000000-0005-0000-0000-00001B0B0000}"/>
    <cellStyle name="쉼표 [0] 34 5" xfId="4611" xr:uid="{00000000-0005-0000-0000-0000140B0000}"/>
    <cellStyle name="쉼표 [0] 35" xfId="1525" xr:uid="{00000000-0005-0000-0000-00001C0B0000}"/>
    <cellStyle name="쉼표 [0] 35 2" xfId="1526" xr:uid="{00000000-0005-0000-0000-00001D0B0000}"/>
    <cellStyle name="쉼표 [0] 35 2 2" xfId="4386" xr:uid="{00000000-0005-0000-0000-00001E0B0000}"/>
    <cellStyle name="쉼표 [0] 35 2 2 2" xfId="4843" xr:uid="{00000000-0005-0000-0000-00001E0B0000}"/>
    <cellStyle name="쉼표 [0] 35 2 3" xfId="4616" xr:uid="{00000000-0005-0000-0000-00001D0B0000}"/>
    <cellStyle name="쉼표 [0] 35 3" xfId="4385" xr:uid="{00000000-0005-0000-0000-00001F0B0000}"/>
    <cellStyle name="쉼표 [0] 35 3 2" xfId="4842" xr:uid="{00000000-0005-0000-0000-00001F0B0000}"/>
    <cellStyle name="쉼표 [0] 35 4" xfId="4615" xr:uid="{00000000-0005-0000-0000-00001C0B0000}"/>
    <cellStyle name="쉼표 [0] 36" xfId="1527" xr:uid="{00000000-0005-0000-0000-0000200B0000}"/>
    <cellStyle name="쉼표 [0] 36 2" xfId="4387" xr:uid="{00000000-0005-0000-0000-0000210B0000}"/>
    <cellStyle name="쉼표 [0] 36 2 2" xfId="4844" xr:uid="{00000000-0005-0000-0000-0000210B0000}"/>
    <cellStyle name="쉼표 [0] 36 3" xfId="4617" xr:uid="{00000000-0005-0000-0000-0000200B0000}"/>
    <cellStyle name="쉼표 [0] 37" xfId="1528" xr:uid="{00000000-0005-0000-0000-0000220B0000}"/>
    <cellStyle name="쉼표 [0] 37 2" xfId="4388" xr:uid="{00000000-0005-0000-0000-0000230B0000}"/>
    <cellStyle name="쉼표 [0] 37 2 2" xfId="4845" xr:uid="{00000000-0005-0000-0000-0000230B0000}"/>
    <cellStyle name="쉼표 [0] 37 3" xfId="4618" xr:uid="{00000000-0005-0000-0000-0000220B0000}"/>
    <cellStyle name="쉼표 [0] 38" xfId="1529" xr:uid="{00000000-0005-0000-0000-0000240B0000}"/>
    <cellStyle name="쉼표 [0] 38 2" xfId="4389" xr:uid="{00000000-0005-0000-0000-0000250B0000}"/>
    <cellStyle name="쉼표 [0] 38 2 2" xfId="4846" xr:uid="{00000000-0005-0000-0000-0000250B0000}"/>
    <cellStyle name="쉼표 [0] 38 3" xfId="4619" xr:uid="{00000000-0005-0000-0000-0000240B0000}"/>
    <cellStyle name="쉼표 [0] 39" xfId="2611" xr:uid="{00000000-0005-0000-0000-0000260B0000}"/>
    <cellStyle name="쉼표 [0] 39 2" xfId="4452" xr:uid="{00000000-0005-0000-0000-0000270B0000}"/>
    <cellStyle name="쉼표 [0] 39 2 2" xfId="4909" xr:uid="{00000000-0005-0000-0000-0000270B0000}"/>
    <cellStyle name="쉼표 [0] 39 3" xfId="4682" xr:uid="{00000000-0005-0000-0000-0000260B0000}"/>
    <cellStyle name="쉼표 [0] 4" xfId="1530" xr:uid="{00000000-0005-0000-0000-0000280B0000}"/>
    <cellStyle name="쉼표 [0] 4 2" xfId="1531" xr:uid="{00000000-0005-0000-0000-0000290B0000}"/>
    <cellStyle name="쉼표 [0] 4 2 2" xfId="1532" xr:uid="{00000000-0005-0000-0000-00002A0B0000}"/>
    <cellStyle name="쉼표 [0] 4 2 2 2" xfId="1533" xr:uid="{00000000-0005-0000-0000-00002B0B0000}"/>
    <cellStyle name="쉼표 [0] 4 2 3" xfId="1534" xr:uid="{00000000-0005-0000-0000-00002C0B0000}"/>
    <cellStyle name="쉼표 [0] 4 2 3 2" xfId="4390" xr:uid="{00000000-0005-0000-0000-00002D0B0000}"/>
    <cellStyle name="쉼표 [0] 4 2 3 2 2" xfId="4847" xr:uid="{00000000-0005-0000-0000-00002D0B0000}"/>
    <cellStyle name="쉼표 [0] 4 2 3 3" xfId="4620" xr:uid="{00000000-0005-0000-0000-00002C0B0000}"/>
    <cellStyle name="쉼표 [0] 4 2 4" xfId="1535" xr:uid="{00000000-0005-0000-0000-00002E0B0000}"/>
    <cellStyle name="쉼표 [0] 4 2 4 2" xfId="4391" xr:uid="{00000000-0005-0000-0000-00002F0B0000}"/>
    <cellStyle name="쉼표 [0] 4 2 4 2 2" xfId="4848" xr:uid="{00000000-0005-0000-0000-00002F0B0000}"/>
    <cellStyle name="쉼표 [0] 4 2 4 3" xfId="4621" xr:uid="{00000000-0005-0000-0000-00002E0B0000}"/>
    <cellStyle name="쉼표 [0] 4 3" xfId="1536" xr:uid="{00000000-0005-0000-0000-0000300B0000}"/>
    <cellStyle name="쉼표 [0] 4 3 2" xfId="1537" xr:uid="{00000000-0005-0000-0000-0000310B0000}"/>
    <cellStyle name="쉼표 [0] 4 3 2 2" xfId="1538" xr:uid="{00000000-0005-0000-0000-0000320B0000}"/>
    <cellStyle name="쉼표 [0] 4 3 3" xfId="1539" xr:uid="{00000000-0005-0000-0000-0000330B0000}"/>
    <cellStyle name="쉼표 [0] 4 3 3 2" xfId="1540" xr:uid="{00000000-0005-0000-0000-0000340B0000}"/>
    <cellStyle name="쉼표 [0] 4 3 4" xfId="1541" xr:uid="{00000000-0005-0000-0000-0000350B0000}"/>
    <cellStyle name="쉼표 [0] 4 4" xfId="1542" xr:uid="{00000000-0005-0000-0000-0000360B0000}"/>
    <cellStyle name="쉼표 [0] 4 4 2" xfId="1543" xr:uid="{00000000-0005-0000-0000-0000370B0000}"/>
    <cellStyle name="쉼표 [0] 4 5" xfId="1544" xr:uid="{00000000-0005-0000-0000-0000380B0000}"/>
    <cellStyle name="쉼표 [0] 4 5 2" xfId="1545" xr:uid="{00000000-0005-0000-0000-0000390B0000}"/>
    <cellStyle name="쉼표 [0] 4 6" xfId="1546" xr:uid="{00000000-0005-0000-0000-00003A0B0000}"/>
    <cellStyle name="쉼표 [0] 4 6 2" xfId="1547" xr:uid="{00000000-0005-0000-0000-00003B0B0000}"/>
    <cellStyle name="쉼표 [0] 4 7" xfId="1548" xr:uid="{00000000-0005-0000-0000-00003C0B0000}"/>
    <cellStyle name="쉼표 [0] 4 7 2" xfId="1549" xr:uid="{00000000-0005-0000-0000-00003D0B0000}"/>
    <cellStyle name="쉼표 [0] 4 8" xfId="1550" xr:uid="{00000000-0005-0000-0000-00003E0B0000}"/>
    <cellStyle name="쉼표 [0] 4 8 2" xfId="4392" xr:uid="{00000000-0005-0000-0000-00003F0B0000}"/>
    <cellStyle name="쉼표 [0] 4 8 2 2" xfId="4849" xr:uid="{00000000-0005-0000-0000-00003F0B0000}"/>
    <cellStyle name="쉼표 [0] 4 8 3" xfId="4622" xr:uid="{00000000-0005-0000-0000-00003E0B0000}"/>
    <cellStyle name="쉼표 [0] 4 9" xfId="1551" xr:uid="{00000000-0005-0000-0000-0000400B0000}"/>
    <cellStyle name="쉼표 [0] 4 9 2" xfId="4393" xr:uid="{00000000-0005-0000-0000-0000410B0000}"/>
    <cellStyle name="쉼표 [0] 4 9 2 2" xfId="4850" xr:uid="{00000000-0005-0000-0000-0000410B0000}"/>
    <cellStyle name="쉼표 [0] 4 9 3" xfId="4623" xr:uid="{00000000-0005-0000-0000-0000400B0000}"/>
    <cellStyle name="쉼표 [0] 4_13.환경(2011)" xfId="1552" xr:uid="{00000000-0005-0000-0000-0000420B0000}"/>
    <cellStyle name="쉼표 [0] 40" xfId="2607" xr:uid="{00000000-0005-0000-0000-0000430B0000}"/>
    <cellStyle name="쉼표 [0] 40 2" xfId="4450" xr:uid="{00000000-0005-0000-0000-0000440B0000}"/>
    <cellStyle name="쉼표 [0] 40 2 2" xfId="4907" xr:uid="{00000000-0005-0000-0000-0000440B0000}"/>
    <cellStyle name="쉼표 [0] 40 3" xfId="4680" xr:uid="{00000000-0005-0000-0000-0000430B0000}"/>
    <cellStyle name="쉼표 [0] 41" xfId="4461" xr:uid="{531277CE-8298-4076-BBDC-9E82DB632350}"/>
    <cellStyle name="쉼표 [0] 42" xfId="4685" xr:uid="{00000000-0005-0000-0000-00009D110000}"/>
    <cellStyle name="쉼표 [0] 47" xfId="1553" xr:uid="{00000000-0005-0000-0000-0000450B0000}"/>
    <cellStyle name="쉼표 [0] 47 2" xfId="1554" xr:uid="{00000000-0005-0000-0000-0000460B0000}"/>
    <cellStyle name="쉼표 [0] 47 2 2" xfId="4395" xr:uid="{00000000-0005-0000-0000-0000470B0000}"/>
    <cellStyle name="쉼표 [0] 47 2 2 2" xfId="4852" xr:uid="{00000000-0005-0000-0000-0000470B0000}"/>
    <cellStyle name="쉼표 [0] 47 2 3" xfId="4625" xr:uid="{00000000-0005-0000-0000-0000460B0000}"/>
    <cellStyle name="쉼표 [0] 47 3" xfId="4394" xr:uid="{00000000-0005-0000-0000-0000480B0000}"/>
    <cellStyle name="쉼표 [0] 47 3 2" xfId="4851" xr:uid="{00000000-0005-0000-0000-0000480B0000}"/>
    <cellStyle name="쉼표 [0] 47 4" xfId="4624" xr:uid="{00000000-0005-0000-0000-0000450B0000}"/>
    <cellStyle name="쉼표 [0] 5" xfId="1555" xr:uid="{00000000-0005-0000-0000-0000490B0000}"/>
    <cellStyle name="쉼표 [0] 5 10" xfId="1556" xr:uid="{00000000-0005-0000-0000-00004A0B0000}"/>
    <cellStyle name="쉼표 [0] 5 10 2" xfId="1557" xr:uid="{00000000-0005-0000-0000-00004B0B0000}"/>
    <cellStyle name="쉼표 [0] 5 10 2 2" xfId="4397" xr:uid="{00000000-0005-0000-0000-00004C0B0000}"/>
    <cellStyle name="쉼표 [0] 5 10 2 2 2" xfId="4854" xr:uid="{00000000-0005-0000-0000-00004C0B0000}"/>
    <cellStyle name="쉼표 [0] 5 10 2 3" xfId="4627" xr:uid="{00000000-0005-0000-0000-00004B0B0000}"/>
    <cellStyle name="쉼표 [0] 5 10 3" xfId="4396" xr:uid="{00000000-0005-0000-0000-00004D0B0000}"/>
    <cellStyle name="쉼표 [0] 5 10 3 2" xfId="4853" xr:uid="{00000000-0005-0000-0000-00004D0B0000}"/>
    <cellStyle name="쉼표 [0] 5 10 4" xfId="4626" xr:uid="{00000000-0005-0000-0000-00004A0B0000}"/>
    <cellStyle name="쉼표 [0] 5 2" xfId="1558" xr:uid="{00000000-0005-0000-0000-00004E0B0000}"/>
    <cellStyle name="쉼표 [0] 5 2 10" xfId="1559" xr:uid="{00000000-0005-0000-0000-00004F0B0000}"/>
    <cellStyle name="쉼표 [0] 5 2 10 2" xfId="4398" xr:uid="{00000000-0005-0000-0000-0000500B0000}"/>
    <cellStyle name="쉼표 [0] 5 2 10 2 2" xfId="4855" xr:uid="{00000000-0005-0000-0000-0000500B0000}"/>
    <cellStyle name="쉼표 [0] 5 2 10 3" xfId="4628" xr:uid="{00000000-0005-0000-0000-00004F0B0000}"/>
    <cellStyle name="쉼표 [0] 5 2 2" xfId="1560" xr:uid="{00000000-0005-0000-0000-0000510B0000}"/>
    <cellStyle name="쉼표 [0] 5 2 2 2" xfId="1561" xr:uid="{00000000-0005-0000-0000-0000520B0000}"/>
    <cellStyle name="쉼표 [0] 5 2 2 2 2" xfId="1562" xr:uid="{00000000-0005-0000-0000-0000530B0000}"/>
    <cellStyle name="쉼표 [0] 5 2 2 3" xfId="1563" xr:uid="{00000000-0005-0000-0000-0000540B0000}"/>
    <cellStyle name="쉼표 [0] 5 2 2_1) 도로시설물" xfId="1564" xr:uid="{00000000-0005-0000-0000-0000550B0000}"/>
    <cellStyle name="쉼표 [0] 5 2 3" xfId="1565" xr:uid="{00000000-0005-0000-0000-0000560B0000}"/>
    <cellStyle name="쉼표 [0] 5 2 3 2" xfId="4399" xr:uid="{00000000-0005-0000-0000-0000570B0000}"/>
    <cellStyle name="쉼표 [0] 5 2 3 2 2" xfId="4856" xr:uid="{00000000-0005-0000-0000-0000570B0000}"/>
    <cellStyle name="쉼표 [0] 5 2 3 3" xfId="4629" xr:uid="{00000000-0005-0000-0000-0000560B0000}"/>
    <cellStyle name="쉼표 [0] 5 2 4" xfId="1566" xr:uid="{00000000-0005-0000-0000-0000580B0000}"/>
    <cellStyle name="쉼표 [0] 5 2 4 2" xfId="4400" xr:uid="{00000000-0005-0000-0000-0000590B0000}"/>
    <cellStyle name="쉼표 [0] 5 2 4 2 2" xfId="4857" xr:uid="{00000000-0005-0000-0000-0000590B0000}"/>
    <cellStyle name="쉼표 [0] 5 2 4 3" xfId="4630" xr:uid="{00000000-0005-0000-0000-0000580B0000}"/>
    <cellStyle name="쉼표 [0] 5 2 5" xfId="1567" xr:uid="{00000000-0005-0000-0000-00005A0B0000}"/>
    <cellStyle name="쉼표 [0] 5 2 5 2" xfId="4401" xr:uid="{00000000-0005-0000-0000-00005B0B0000}"/>
    <cellStyle name="쉼표 [0] 5 2 5 2 2" xfId="4858" xr:uid="{00000000-0005-0000-0000-00005B0B0000}"/>
    <cellStyle name="쉼표 [0] 5 2 5 3" xfId="4631" xr:uid="{00000000-0005-0000-0000-00005A0B0000}"/>
    <cellStyle name="쉼표 [0] 5 2 6" xfId="1568" xr:uid="{00000000-0005-0000-0000-00005C0B0000}"/>
    <cellStyle name="쉼표 [0] 5 2 6 2" xfId="4402" xr:uid="{00000000-0005-0000-0000-00005D0B0000}"/>
    <cellStyle name="쉼표 [0] 5 2 6 2 2" xfId="4859" xr:uid="{00000000-0005-0000-0000-00005D0B0000}"/>
    <cellStyle name="쉼표 [0] 5 2 6 3" xfId="4632" xr:uid="{00000000-0005-0000-0000-00005C0B0000}"/>
    <cellStyle name="쉼표 [0] 5 2 7" xfId="1569" xr:uid="{00000000-0005-0000-0000-00005E0B0000}"/>
    <cellStyle name="쉼표 [0] 5 2 7 2" xfId="4403" xr:uid="{00000000-0005-0000-0000-00005F0B0000}"/>
    <cellStyle name="쉼표 [0] 5 2 7 2 2" xfId="4860" xr:uid="{00000000-0005-0000-0000-00005F0B0000}"/>
    <cellStyle name="쉼표 [0] 5 2 7 3" xfId="4633" xr:uid="{00000000-0005-0000-0000-00005E0B0000}"/>
    <cellStyle name="쉼표 [0] 5 2 8" xfId="1570" xr:uid="{00000000-0005-0000-0000-0000600B0000}"/>
    <cellStyle name="쉼표 [0] 5 2 8 2" xfId="4404" xr:uid="{00000000-0005-0000-0000-0000610B0000}"/>
    <cellStyle name="쉼표 [0] 5 2 8 2 2" xfId="4861" xr:uid="{00000000-0005-0000-0000-0000610B0000}"/>
    <cellStyle name="쉼표 [0] 5 2 8 3" xfId="4634" xr:uid="{00000000-0005-0000-0000-0000600B0000}"/>
    <cellStyle name="쉼표 [0] 5 2 9" xfId="1571" xr:uid="{00000000-0005-0000-0000-0000620B0000}"/>
    <cellStyle name="쉼표 [0] 5 2 9 2" xfId="4405" xr:uid="{00000000-0005-0000-0000-0000630B0000}"/>
    <cellStyle name="쉼표 [0] 5 2 9 2 2" xfId="4862" xr:uid="{00000000-0005-0000-0000-0000630B0000}"/>
    <cellStyle name="쉼표 [0] 5 2 9 3" xfId="4635" xr:uid="{00000000-0005-0000-0000-0000620B0000}"/>
    <cellStyle name="쉼표 [0] 5 2_1) 도로시설물" xfId="1572" xr:uid="{00000000-0005-0000-0000-0000640B0000}"/>
    <cellStyle name="쉼표 [0] 5 3" xfId="1573" xr:uid="{00000000-0005-0000-0000-0000650B0000}"/>
    <cellStyle name="쉼표 [0] 5 3 2" xfId="1574" xr:uid="{00000000-0005-0000-0000-0000660B0000}"/>
    <cellStyle name="쉼표 [0] 5 3 2 2" xfId="1575" xr:uid="{00000000-0005-0000-0000-0000670B0000}"/>
    <cellStyle name="쉼표 [0] 5 3 3" xfId="1576" xr:uid="{00000000-0005-0000-0000-0000680B0000}"/>
    <cellStyle name="쉼표 [0] 5 3 3 2" xfId="4406" xr:uid="{00000000-0005-0000-0000-0000690B0000}"/>
    <cellStyle name="쉼표 [0] 5 3 3 2 2" xfId="4863" xr:uid="{00000000-0005-0000-0000-0000690B0000}"/>
    <cellStyle name="쉼표 [0] 5 3 3 3" xfId="4636" xr:uid="{00000000-0005-0000-0000-0000680B0000}"/>
    <cellStyle name="쉼표 [0] 5 4" xfId="1577" xr:uid="{00000000-0005-0000-0000-00006A0B0000}"/>
    <cellStyle name="쉼표 [0] 5 4 2" xfId="1578" xr:uid="{00000000-0005-0000-0000-00006B0B0000}"/>
    <cellStyle name="쉼표 [0] 5 4 2 2" xfId="4407" xr:uid="{00000000-0005-0000-0000-00006C0B0000}"/>
    <cellStyle name="쉼표 [0] 5 4 2 2 2" xfId="4864" xr:uid="{00000000-0005-0000-0000-00006C0B0000}"/>
    <cellStyle name="쉼표 [0] 5 4 2 3" xfId="4637" xr:uid="{00000000-0005-0000-0000-00006B0B0000}"/>
    <cellStyle name="쉼표 [0] 5 5" xfId="1579" xr:uid="{00000000-0005-0000-0000-00006D0B0000}"/>
    <cellStyle name="쉼표 [0] 5 5 2" xfId="1580" xr:uid="{00000000-0005-0000-0000-00006E0B0000}"/>
    <cellStyle name="쉼표 [0] 5 5 2 2" xfId="4409" xr:uid="{00000000-0005-0000-0000-00006F0B0000}"/>
    <cellStyle name="쉼표 [0] 5 5 2 2 2" xfId="4866" xr:uid="{00000000-0005-0000-0000-00006F0B0000}"/>
    <cellStyle name="쉼표 [0] 5 5 2 3" xfId="4639" xr:uid="{00000000-0005-0000-0000-00006E0B0000}"/>
    <cellStyle name="쉼표 [0] 5 5 3" xfId="4408" xr:uid="{00000000-0005-0000-0000-0000700B0000}"/>
    <cellStyle name="쉼표 [0] 5 5 3 2" xfId="4865" xr:uid="{00000000-0005-0000-0000-0000700B0000}"/>
    <cellStyle name="쉼표 [0] 5 5 4" xfId="4638" xr:uid="{00000000-0005-0000-0000-00006D0B0000}"/>
    <cellStyle name="쉼표 [0] 5 6" xfId="1581" xr:uid="{00000000-0005-0000-0000-0000710B0000}"/>
    <cellStyle name="쉼표 [0] 5 6 2" xfId="1582" xr:uid="{00000000-0005-0000-0000-0000720B0000}"/>
    <cellStyle name="쉼표 [0] 5 6 2 2" xfId="4411" xr:uid="{00000000-0005-0000-0000-0000730B0000}"/>
    <cellStyle name="쉼표 [0] 5 6 2 2 2" xfId="4868" xr:uid="{00000000-0005-0000-0000-0000730B0000}"/>
    <cellStyle name="쉼표 [0] 5 6 2 3" xfId="4641" xr:uid="{00000000-0005-0000-0000-0000720B0000}"/>
    <cellStyle name="쉼표 [0] 5 6 3" xfId="4410" xr:uid="{00000000-0005-0000-0000-0000740B0000}"/>
    <cellStyle name="쉼표 [0] 5 6 3 2" xfId="4867" xr:uid="{00000000-0005-0000-0000-0000740B0000}"/>
    <cellStyle name="쉼표 [0] 5 6 4" xfId="4640" xr:uid="{00000000-0005-0000-0000-0000710B0000}"/>
    <cellStyle name="쉼표 [0] 5 7" xfId="1583" xr:uid="{00000000-0005-0000-0000-0000750B0000}"/>
    <cellStyle name="쉼표 [0] 5 7 2" xfId="1584" xr:uid="{00000000-0005-0000-0000-0000760B0000}"/>
    <cellStyle name="쉼표 [0] 5 7 2 2" xfId="4413" xr:uid="{00000000-0005-0000-0000-0000770B0000}"/>
    <cellStyle name="쉼표 [0] 5 7 2 2 2" xfId="4870" xr:uid="{00000000-0005-0000-0000-0000770B0000}"/>
    <cellStyle name="쉼표 [0] 5 7 2 3" xfId="4643" xr:uid="{00000000-0005-0000-0000-0000760B0000}"/>
    <cellStyle name="쉼표 [0] 5 7 3" xfId="4412" xr:uid="{00000000-0005-0000-0000-0000780B0000}"/>
    <cellStyle name="쉼표 [0] 5 7 3 2" xfId="4869" xr:uid="{00000000-0005-0000-0000-0000780B0000}"/>
    <cellStyle name="쉼표 [0] 5 7 4" xfId="4642" xr:uid="{00000000-0005-0000-0000-0000750B0000}"/>
    <cellStyle name="쉼표 [0] 5 8" xfId="1585" xr:uid="{00000000-0005-0000-0000-0000790B0000}"/>
    <cellStyle name="쉼표 [0] 5 8 2" xfId="1586" xr:uid="{00000000-0005-0000-0000-00007A0B0000}"/>
    <cellStyle name="쉼표 [0] 5 8 2 2" xfId="4415" xr:uid="{00000000-0005-0000-0000-00007B0B0000}"/>
    <cellStyle name="쉼표 [0] 5 8 2 2 2" xfId="4872" xr:uid="{00000000-0005-0000-0000-00007B0B0000}"/>
    <cellStyle name="쉼표 [0] 5 8 2 3" xfId="4645" xr:uid="{00000000-0005-0000-0000-00007A0B0000}"/>
    <cellStyle name="쉼표 [0] 5 8 3" xfId="4414" xr:uid="{00000000-0005-0000-0000-00007C0B0000}"/>
    <cellStyle name="쉼표 [0] 5 8 3 2" xfId="4871" xr:uid="{00000000-0005-0000-0000-00007C0B0000}"/>
    <cellStyle name="쉼표 [0] 5 8 4" xfId="4644" xr:uid="{00000000-0005-0000-0000-0000790B0000}"/>
    <cellStyle name="쉼표 [0] 5 9" xfId="1587" xr:uid="{00000000-0005-0000-0000-00007D0B0000}"/>
    <cellStyle name="쉼표 [0] 5 9 2" xfId="1588" xr:uid="{00000000-0005-0000-0000-00007E0B0000}"/>
    <cellStyle name="쉼표 [0] 5 9 2 2" xfId="4417" xr:uid="{00000000-0005-0000-0000-00007F0B0000}"/>
    <cellStyle name="쉼표 [0] 5 9 2 2 2" xfId="4874" xr:uid="{00000000-0005-0000-0000-00007F0B0000}"/>
    <cellStyle name="쉼표 [0] 5 9 2 3" xfId="4647" xr:uid="{00000000-0005-0000-0000-00007E0B0000}"/>
    <cellStyle name="쉼표 [0] 5 9 3" xfId="4416" xr:uid="{00000000-0005-0000-0000-0000800B0000}"/>
    <cellStyle name="쉼표 [0] 5 9 3 2" xfId="4873" xr:uid="{00000000-0005-0000-0000-0000800B0000}"/>
    <cellStyle name="쉼표 [0] 5 9 4" xfId="4646" xr:uid="{00000000-0005-0000-0000-00007D0B0000}"/>
    <cellStyle name="쉼표 [0] 5_13.환경(2011)" xfId="1589" xr:uid="{00000000-0005-0000-0000-0000810B0000}"/>
    <cellStyle name="쉼표 [0] 6" xfId="1590" xr:uid="{00000000-0005-0000-0000-0000820B0000}"/>
    <cellStyle name="쉼표 [0] 6 2" xfId="1591" xr:uid="{00000000-0005-0000-0000-0000830B0000}"/>
    <cellStyle name="쉼표 [0] 6 2 2" xfId="1592" xr:uid="{00000000-0005-0000-0000-0000840B0000}"/>
    <cellStyle name="쉼표 [0] 6 2 2 2" xfId="1593" xr:uid="{00000000-0005-0000-0000-0000850B0000}"/>
    <cellStyle name="쉼표 [0] 6 2 3" xfId="1594" xr:uid="{00000000-0005-0000-0000-0000860B0000}"/>
    <cellStyle name="쉼표 [0] 6 2 3 2" xfId="4418" xr:uid="{00000000-0005-0000-0000-0000870B0000}"/>
    <cellStyle name="쉼표 [0] 6 2 3 2 2" xfId="4875" xr:uid="{00000000-0005-0000-0000-0000870B0000}"/>
    <cellStyle name="쉼표 [0] 6 2 3 3" xfId="4648" xr:uid="{00000000-0005-0000-0000-0000860B0000}"/>
    <cellStyle name="쉼표 [0] 6 2 4" xfId="2612" xr:uid="{00000000-0005-0000-0000-0000880B0000}"/>
    <cellStyle name="쉼표 [0] 6 2 4 2" xfId="4453" xr:uid="{00000000-0005-0000-0000-0000890B0000}"/>
    <cellStyle name="쉼표 [0] 6 2 4 2 2" xfId="4910" xr:uid="{00000000-0005-0000-0000-0000890B0000}"/>
    <cellStyle name="쉼표 [0] 6 2 4 3" xfId="4683" xr:uid="{00000000-0005-0000-0000-0000880B0000}"/>
    <cellStyle name="쉼표 [0] 6 3" xfId="1595" xr:uid="{00000000-0005-0000-0000-00008A0B0000}"/>
    <cellStyle name="쉼표 [0] 6 3 2" xfId="1596" xr:uid="{00000000-0005-0000-0000-00008B0B0000}"/>
    <cellStyle name="쉼표 [0] 6 3 2 2" xfId="4419" xr:uid="{00000000-0005-0000-0000-00008C0B0000}"/>
    <cellStyle name="쉼표 [0] 6 3 2 2 2" xfId="4876" xr:uid="{00000000-0005-0000-0000-00008C0B0000}"/>
    <cellStyle name="쉼표 [0] 6 3 2 3" xfId="4649" xr:uid="{00000000-0005-0000-0000-00008B0B0000}"/>
    <cellStyle name="쉼표 [0] 6 4" xfId="1597" xr:uid="{00000000-0005-0000-0000-00008D0B0000}"/>
    <cellStyle name="쉼표 [0] 6 4 2" xfId="1598" xr:uid="{00000000-0005-0000-0000-00008E0B0000}"/>
    <cellStyle name="쉼표 [0] 6 5" xfId="1599" xr:uid="{00000000-0005-0000-0000-00008F0B0000}"/>
    <cellStyle name="쉼표 [0] 6 5 2" xfId="4420" xr:uid="{00000000-0005-0000-0000-0000900B0000}"/>
    <cellStyle name="쉼표 [0] 6 5 2 2" xfId="4877" xr:uid="{00000000-0005-0000-0000-0000900B0000}"/>
    <cellStyle name="쉼표 [0] 6 5 3" xfId="4650" xr:uid="{00000000-0005-0000-0000-00008F0B0000}"/>
    <cellStyle name="쉼표 [0] 6 6" xfId="1600" xr:uid="{00000000-0005-0000-0000-0000910B0000}"/>
    <cellStyle name="쉼표 [0] 6 6 2" xfId="4421" xr:uid="{00000000-0005-0000-0000-0000920B0000}"/>
    <cellStyle name="쉼표 [0] 6 6 2 2" xfId="4878" xr:uid="{00000000-0005-0000-0000-0000920B0000}"/>
    <cellStyle name="쉼표 [0] 6 6 3" xfId="4651" xr:uid="{00000000-0005-0000-0000-0000910B0000}"/>
    <cellStyle name="쉼표 [0] 6_1) 도로시설물" xfId="1601" xr:uid="{00000000-0005-0000-0000-0000930B0000}"/>
    <cellStyle name="쉼표 [0] 7" xfId="1602" xr:uid="{00000000-0005-0000-0000-0000940B0000}"/>
    <cellStyle name="쉼표 [0] 7 2" xfId="1603" xr:uid="{00000000-0005-0000-0000-0000950B0000}"/>
    <cellStyle name="쉼표 [0] 7 2 2" xfId="1604" xr:uid="{00000000-0005-0000-0000-0000960B0000}"/>
    <cellStyle name="쉼표 [0] 7 2 2 2" xfId="4422" xr:uid="{00000000-0005-0000-0000-0000970B0000}"/>
    <cellStyle name="쉼표 [0] 7 2 2 2 2" xfId="4879" xr:uid="{00000000-0005-0000-0000-0000970B0000}"/>
    <cellStyle name="쉼표 [0] 7 2 2 3" xfId="4652" xr:uid="{00000000-0005-0000-0000-0000960B0000}"/>
    <cellStyle name="쉼표 [0] 7 2 3" xfId="2613" xr:uid="{00000000-0005-0000-0000-0000980B0000}"/>
    <cellStyle name="쉼표 [0] 7 2 3 2" xfId="4454" xr:uid="{00000000-0005-0000-0000-0000990B0000}"/>
    <cellStyle name="쉼표 [0] 7 2 3 2 2" xfId="4911" xr:uid="{00000000-0005-0000-0000-0000990B0000}"/>
    <cellStyle name="쉼표 [0] 7 2 3 3" xfId="4684" xr:uid="{00000000-0005-0000-0000-0000980B0000}"/>
    <cellStyle name="쉼표 [0] 7 3" xfId="1605" xr:uid="{00000000-0005-0000-0000-00009A0B0000}"/>
    <cellStyle name="쉼표 [0] 7 3 2" xfId="4423" xr:uid="{00000000-0005-0000-0000-00009B0B0000}"/>
    <cellStyle name="쉼표 [0] 7 3 2 2" xfId="4880" xr:uid="{00000000-0005-0000-0000-00009B0B0000}"/>
    <cellStyle name="쉼표 [0] 7 3 3" xfId="4653" xr:uid="{00000000-0005-0000-0000-00009A0B0000}"/>
    <cellStyle name="쉼표 [0] 7 4" xfId="1606" xr:uid="{00000000-0005-0000-0000-00009C0B0000}"/>
    <cellStyle name="쉼표 [0] 7 4 2" xfId="4424" xr:uid="{00000000-0005-0000-0000-00009D0B0000}"/>
    <cellStyle name="쉼표 [0] 7 4 2 2" xfId="4881" xr:uid="{00000000-0005-0000-0000-00009D0B0000}"/>
    <cellStyle name="쉼표 [0] 7 4 3" xfId="4654" xr:uid="{00000000-0005-0000-0000-00009C0B0000}"/>
    <cellStyle name="쉼표 [0] 7 5" xfId="1607" xr:uid="{00000000-0005-0000-0000-00009E0B0000}"/>
    <cellStyle name="쉼표 [0] 7 5 2" xfId="1608" xr:uid="{00000000-0005-0000-0000-00009F0B0000}"/>
    <cellStyle name="쉼표 [0] 7 5 2 2" xfId="4426" xr:uid="{00000000-0005-0000-0000-0000A00B0000}"/>
    <cellStyle name="쉼표 [0] 7 5 2 2 2" xfId="4883" xr:uid="{00000000-0005-0000-0000-0000A00B0000}"/>
    <cellStyle name="쉼표 [0] 7 5 2 3" xfId="4656" xr:uid="{00000000-0005-0000-0000-00009F0B0000}"/>
    <cellStyle name="쉼표 [0] 7 5 3" xfId="4425" xr:uid="{00000000-0005-0000-0000-0000A10B0000}"/>
    <cellStyle name="쉼표 [0] 7 5 3 2" xfId="4882" xr:uid="{00000000-0005-0000-0000-0000A10B0000}"/>
    <cellStyle name="쉼표 [0] 7 5 4" xfId="4655" xr:uid="{00000000-0005-0000-0000-00009E0B0000}"/>
    <cellStyle name="쉼표 [0] 7 6" xfId="1609" xr:uid="{00000000-0005-0000-0000-0000A20B0000}"/>
    <cellStyle name="쉼표 [0] 7 6 2" xfId="4427" xr:uid="{00000000-0005-0000-0000-0000A30B0000}"/>
    <cellStyle name="쉼표 [0] 7 6 2 2" xfId="4884" xr:uid="{00000000-0005-0000-0000-0000A30B0000}"/>
    <cellStyle name="쉼표 [0] 7 6 3" xfId="4657" xr:uid="{00000000-0005-0000-0000-0000A20B0000}"/>
    <cellStyle name="쉼표 [0] 7 7" xfId="1610" xr:uid="{00000000-0005-0000-0000-0000A40B0000}"/>
    <cellStyle name="쉼표 [0] 7 7 2" xfId="4428" xr:uid="{00000000-0005-0000-0000-0000A50B0000}"/>
    <cellStyle name="쉼표 [0] 7 7 2 2" xfId="4885" xr:uid="{00000000-0005-0000-0000-0000A50B0000}"/>
    <cellStyle name="쉼표 [0] 7 7 3" xfId="4658" xr:uid="{00000000-0005-0000-0000-0000A40B0000}"/>
    <cellStyle name="쉼표 [0] 7 8" xfId="1611" xr:uid="{00000000-0005-0000-0000-0000A60B0000}"/>
    <cellStyle name="쉼표 [0] 7 8 2" xfId="4429" xr:uid="{00000000-0005-0000-0000-0000A70B0000}"/>
    <cellStyle name="쉼표 [0] 7 8 2 2" xfId="4886" xr:uid="{00000000-0005-0000-0000-0000A70B0000}"/>
    <cellStyle name="쉼표 [0] 7 8 3" xfId="4659" xr:uid="{00000000-0005-0000-0000-0000A60B0000}"/>
    <cellStyle name="쉼표 [0] 71" xfId="1612" xr:uid="{00000000-0005-0000-0000-0000A80B0000}"/>
    <cellStyle name="쉼표 [0] 71 2" xfId="4430" xr:uid="{00000000-0005-0000-0000-0000A90B0000}"/>
    <cellStyle name="쉼표 [0] 71 2 2" xfId="4887" xr:uid="{00000000-0005-0000-0000-0000A90B0000}"/>
    <cellStyle name="쉼표 [0] 71 3" xfId="4660" xr:uid="{00000000-0005-0000-0000-0000A80B0000}"/>
    <cellStyle name="쉼표 [0] 8" xfId="1613" xr:uid="{00000000-0005-0000-0000-0000AA0B0000}"/>
    <cellStyle name="쉼표 [0] 8 2" xfId="1614" xr:uid="{00000000-0005-0000-0000-0000AB0B0000}"/>
    <cellStyle name="쉼표 [0] 8 2 2" xfId="4431" xr:uid="{00000000-0005-0000-0000-0000AC0B0000}"/>
    <cellStyle name="쉼표 [0] 8 2 2 2" xfId="4888" xr:uid="{00000000-0005-0000-0000-0000AC0B0000}"/>
    <cellStyle name="쉼표 [0] 8 2 3" xfId="4661" xr:uid="{00000000-0005-0000-0000-0000AB0B0000}"/>
    <cellStyle name="쉼표 [0] 8 3" xfId="1615" xr:uid="{00000000-0005-0000-0000-0000AD0B0000}"/>
    <cellStyle name="쉼표 [0] 8 3 2" xfId="4432" xr:uid="{00000000-0005-0000-0000-0000AE0B0000}"/>
    <cellStyle name="쉼표 [0] 8 3 2 2" xfId="4889" xr:uid="{00000000-0005-0000-0000-0000AE0B0000}"/>
    <cellStyle name="쉼표 [0] 8 3 3" xfId="4662" xr:uid="{00000000-0005-0000-0000-0000AD0B0000}"/>
    <cellStyle name="쉼표 [0] 8 4" xfId="1616" xr:uid="{00000000-0005-0000-0000-0000AF0B0000}"/>
    <cellStyle name="쉼표 [0] 8 4 2" xfId="4433" xr:uid="{00000000-0005-0000-0000-0000B00B0000}"/>
    <cellStyle name="쉼표 [0] 8 4 2 2" xfId="4890" xr:uid="{00000000-0005-0000-0000-0000B00B0000}"/>
    <cellStyle name="쉼표 [0] 8 4 3" xfId="4663" xr:uid="{00000000-0005-0000-0000-0000AF0B0000}"/>
    <cellStyle name="쉼표 [0] 8 5" xfId="1617" xr:uid="{00000000-0005-0000-0000-0000B10B0000}"/>
    <cellStyle name="쉼표 [0] 8 5 2" xfId="1618" xr:uid="{00000000-0005-0000-0000-0000B20B0000}"/>
    <cellStyle name="쉼표 [0] 8 5 2 2" xfId="4435" xr:uid="{00000000-0005-0000-0000-0000B30B0000}"/>
    <cellStyle name="쉼표 [0] 8 5 2 2 2" xfId="4892" xr:uid="{00000000-0005-0000-0000-0000B30B0000}"/>
    <cellStyle name="쉼표 [0] 8 5 2 3" xfId="4665" xr:uid="{00000000-0005-0000-0000-0000B20B0000}"/>
    <cellStyle name="쉼표 [0] 8 5 3" xfId="4434" xr:uid="{00000000-0005-0000-0000-0000B40B0000}"/>
    <cellStyle name="쉼표 [0] 8 5 3 2" xfId="4891" xr:uid="{00000000-0005-0000-0000-0000B40B0000}"/>
    <cellStyle name="쉼표 [0] 8 5 4" xfId="4664" xr:uid="{00000000-0005-0000-0000-0000B10B0000}"/>
    <cellStyle name="쉼표 [0] 8 6" xfId="1619" xr:uid="{00000000-0005-0000-0000-0000B50B0000}"/>
    <cellStyle name="쉼표 [0] 8 6 2" xfId="4436" xr:uid="{00000000-0005-0000-0000-0000B60B0000}"/>
    <cellStyle name="쉼표 [0] 8 6 2 2" xfId="4893" xr:uid="{00000000-0005-0000-0000-0000B60B0000}"/>
    <cellStyle name="쉼표 [0] 8 6 3" xfId="4666" xr:uid="{00000000-0005-0000-0000-0000B50B0000}"/>
    <cellStyle name="쉼표 [0] 8 7" xfId="1620" xr:uid="{00000000-0005-0000-0000-0000B70B0000}"/>
    <cellStyle name="쉼표 [0] 8 7 2" xfId="4437" xr:uid="{00000000-0005-0000-0000-0000B80B0000}"/>
    <cellStyle name="쉼표 [0] 8 7 2 2" xfId="4894" xr:uid="{00000000-0005-0000-0000-0000B80B0000}"/>
    <cellStyle name="쉼표 [0] 8 7 3" xfId="4667" xr:uid="{00000000-0005-0000-0000-0000B70B0000}"/>
    <cellStyle name="쉼표 [0] 8 8" xfId="1621" xr:uid="{00000000-0005-0000-0000-0000B90B0000}"/>
    <cellStyle name="쉼표 [0] 8 8 2" xfId="4438" xr:uid="{00000000-0005-0000-0000-0000BA0B0000}"/>
    <cellStyle name="쉼표 [0] 8 8 2 2" xfId="4895" xr:uid="{00000000-0005-0000-0000-0000BA0B0000}"/>
    <cellStyle name="쉼표 [0] 8 8 3" xfId="4668" xr:uid="{00000000-0005-0000-0000-0000B90B0000}"/>
    <cellStyle name="쉼표 [0] 9" xfId="1622" xr:uid="{00000000-0005-0000-0000-0000BB0B0000}"/>
    <cellStyle name="쉼표 [0] 9 2" xfId="1623" xr:uid="{00000000-0005-0000-0000-0000BC0B0000}"/>
    <cellStyle name="쉼표 [0] 9 2 2" xfId="4439" xr:uid="{00000000-0005-0000-0000-0000BD0B0000}"/>
    <cellStyle name="쉼표 [0] 9 2 2 2" xfId="4896" xr:uid="{00000000-0005-0000-0000-0000BD0B0000}"/>
    <cellStyle name="쉼표 [0] 9 2 3" xfId="4669" xr:uid="{00000000-0005-0000-0000-0000BC0B0000}"/>
    <cellStyle name="쉼표 [0] 9 3" xfId="1624" xr:uid="{00000000-0005-0000-0000-0000BE0B0000}"/>
    <cellStyle name="쉼표 [0] 9 3 2" xfId="4440" xr:uid="{00000000-0005-0000-0000-0000BF0B0000}"/>
    <cellStyle name="쉼표 [0] 9 3 2 2" xfId="4897" xr:uid="{00000000-0005-0000-0000-0000BF0B0000}"/>
    <cellStyle name="쉼표 [0] 9 3 3" xfId="4670" xr:uid="{00000000-0005-0000-0000-0000BE0B0000}"/>
    <cellStyle name="쉼표 [0] 9 4" xfId="1625" xr:uid="{00000000-0005-0000-0000-0000C00B0000}"/>
    <cellStyle name="쉼표 [0] 9 4 2" xfId="4441" xr:uid="{00000000-0005-0000-0000-0000C10B0000}"/>
    <cellStyle name="쉼표 [0] 9 4 2 2" xfId="4898" xr:uid="{00000000-0005-0000-0000-0000C10B0000}"/>
    <cellStyle name="쉼표 [0] 9 4 3" xfId="4671" xr:uid="{00000000-0005-0000-0000-0000C00B0000}"/>
    <cellStyle name="쉼표 [0] 9 5" xfId="1626" xr:uid="{00000000-0005-0000-0000-0000C20B0000}"/>
    <cellStyle name="쉼표 [0] 9 5 2" xfId="1627" xr:uid="{00000000-0005-0000-0000-0000C30B0000}"/>
    <cellStyle name="쉼표 [0] 9 5 2 2" xfId="4443" xr:uid="{00000000-0005-0000-0000-0000C40B0000}"/>
    <cellStyle name="쉼표 [0] 9 5 2 2 2" xfId="4900" xr:uid="{00000000-0005-0000-0000-0000C40B0000}"/>
    <cellStyle name="쉼표 [0] 9 5 2 3" xfId="4673" xr:uid="{00000000-0005-0000-0000-0000C30B0000}"/>
    <cellStyle name="쉼표 [0] 9 5 3" xfId="4442" xr:uid="{00000000-0005-0000-0000-0000C50B0000}"/>
    <cellStyle name="쉼표 [0] 9 5 3 2" xfId="4899" xr:uid="{00000000-0005-0000-0000-0000C50B0000}"/>
    <cellStyle name="쉼표 [0] 9 5 4" xfId="4672" xr:uid="{00000000-0005-0000-0000-0000C20B0000}"/>
    <cellStyle name="쉼표 [0] 9 6" xfId="1628" xr:uid="{00000000-0005-0000-0000-0000C60B0000}"/>
    <cellStyle name="쉼표 [0] 9 6 2" xfId="4444" xr:uid="{00000000-0005-0000-0000-0000C70B0000}"/>
    <cellStyle name="쉼표 [0] 9 6 2 2" xfId="4901" xr:uid="{00000000-0005-0000-0000-0000C70B0000}"/>
    <cellStyle name="쉼표 [0] 9 6 3" xfId="4674" xr:uid="{00000000-0005-0000-0000-0000C60B0000}"/>
    <cellStyle name="쉼표 [0] 9 7" xfId="1629" xr:uid="{00000000-0005-0000-0000-0000C80B0000}"/>
    <cellStyle name="쉼표 [0] 9 7 2" xfId="4445" xr:uid="{00000000-0005-0000-0000-0000C90B0000}"/>
    <cellStyle name="쉼표 [0] 9 7 2 2" xfId="4902" xr:uid="{00000000-0005-0000-0000-0000C90B0000}"/>
    <cellStyle name="쉼표 [0] 9 7 3" xfId="4675" xr:uid="{00000000-0005-0000-0000-0000C80B0000}"/>
    <cellStyle name="쉼표 [0] 9 8" xfId="1630" xr:uid="{00000000-0005-0000-0000-0000CA0B0000}"/>
    <cellStyle name="쉼표 [0] 9 8 2" xfId="4446" xr:uid="{00000000-0005-0000-0000-0000CB0B0000}"/>
    <cellStyle name="쉼표 [0] 9 8 2 2" xfId="4903" xr:uid="{00000000-0005-0000-0000-0000CB0B0000}"/>
    <cellStyle name="쉼표 [0] 9 8 3" xfId="4676" xr:uid="{00000000-0005-0000-0000-0000CA0B0000}"/>
    <cellStyle name="쉼표 [0]_06-농업수산 4" xfId="4223" xr:uid="{00000000-0005-0000-0000-0000CC0B0000}"/>
    <cellStyle name="쉼표 [0]_06-농업수산 4 2" xfId="4460" xr:uid="{00000000-0005-0000-0000-0000CD0B0000}"/>
    <cellStyle name="쉼표 [0]_12-보건사회복지" xfId="4221" xr:uid="{00000000-0005-0000-0000-0000CE0B0000}"/>
    <cellStyle name="쉼표 [0]_12-보건사회복지 2" xfId="4218" xr:uid="{00000000-0005-0000-0000-0000CF0B0000}"/>
    <cellStyle name="쉼표 [0]_12-보건사회복지 3" xfId="4458" xr:uid="{00000000-0005-0000-0000-0000D00B0000}"/>
    <cellStyle name="쉼표 [0]_12-보건사회복지 3 2" xfId="4227" xr:uid="{00000000-0005-0000-0000-0000D10B0000}"/>
    <cellStyle name="쉼표 [0]_12-보건사회복지 4" xfId="4219" xr:uid="{00000000-0005-0000-0000-0000D20B0000}"/>
    <cellStyle name="쉼표 [0]_12-보건사회복지 5" xfId="2605" xr:uid="{00000000-0005-0000-0000-0000D30B0000}"/>
    <cellStyle name="쉼표 [0]_12-보건사회복지 6" xfId="4220" xr:uid="{00000000-0005-0000-0000-0000D40B0000}"/>
    <cellStyle name="쉼표 [0]_12-보건사회복지 7" xfId="2604" xr:uid="{00000000-0005-0000-0000-0000D50B0000}"/>
    <cellStyle name="쉼표 [0]_12-보건사회복지 8" xfId="2609" xr:uid="{00000000-0005-0000-0000-0000D60B0000}"/>
    <cellStyle name="쉼표 [0]_12-보건사회복지 9" xfId="4224" xr:uid="{00000000-0005-0000-0000-0000D70B0000}"/>
    <cellStyle name="쉼표 [0]_Sheet1 2" xfId="2620" xr:uid="{00000000-0005-0000-0000-0000D80B0000}"/>
    <cellStyle name="쉼표 [0]_여성가족과" xfId="4455" xr:uid="{00000000-0005-0000-0000-0000D90B0000}"/>
    <cellStyle name="연결된 셀 10" xfId="3792" xr:uid="{00000000-0005-0000-0000-0000DA0B0000}"/>
    <cellStyle name="연결된 셀 11" xfId="3793" xr:uid="{00000000-0005-0000-0000-0000DB0B0000}"/>
    <cellStyle name="연결된 셀 11 2" xfId="3794" xr:uid="{00000000-0005-0000-0000-0000DC0B0000}"/>
    <cellStyle name="연결된 셀 11 3" xfId="3795" xr:uid="{00000000-0005-0000-0000-0000DD0B0000}"/>
    <cellStyle name="연결된 셀 11 4" xfId="3796" xr:uid="{00000000-0005-0000-0000-0000DE0B0000}"/>
    <cellStyle name="연결된 셀 11 5" xfId="3797" xr:uid="{00000000-0005-0000-0000-0000DF0B0000}"/>
    <cellStyle name="연결된 셀 11 6" xfId="3798" xr:uid="{00000000-0005-0000-0000-0000E00B0000}"/>
    <cellStyle name="연결된 셀 11 7" xfId="3799" xr:uid="{00000000-0005-0000-0000-0000E10B0000}"/>
    <cellStyle name="연결된 셀 2" xfId="1631" xr:uid="{00000000-0005-0000-0000-0000E20B0000}"/>
    <cellStyle name="연결된 셀 2 2" xfId="1632" xr:uid="{00000000-0005-0000-0000-0000E30B0000}"/>
    <cellStyle name="연결된 셀 2 2 2" xfId="1633" xr:uid="{00000000-0005-0000-0000-0000E40B0000}"/>
    <cellStyle name="연결된 셀 2 2 2 2" xfId="3800" xr:uid="{00000000-0005-0000-0000-0000E50B0000}"/>
    <cellStyle name="연결된 셀 2 2 2 2 2" xfId="3801" xr:uid="{00000000-0005-0000-0000-0000E60B0000}"/>
    <cellStyle name="연결된 셀 2 2 2 2 2 2" xfId="3802" xr:uid="{00000000-0005-0000-0000-0000E70B0000}"/>
    <cellStyle name="연결된 셀 2 2 2 2 2 2 2" xfId="3803" xr:uid="{00000000-0005-0000-0000-0000E80B0000}"/>
    <cellStyle name="연결된 셀 2 2 2 2 2 2 2 2" xfId="3804" xr:uid="{00000000-0005-0000-0000-0000E90B0000}"/>
    <cellStyle name="연결된 셀 2 2 2 2 2 2 2 3" xfId="3805" xr:uid="{00000000-0005-0000-0000-0000EA0B0000}"/>
    <cellStyle name="연결된 셀 2 2 2 2 2 2 3" xfId="3806" xr:uid="{00000000-0005-0000-0000-0000EB0B0000}"/>
    <cellStyle name="연결된 셀 2 2 2 2 2 3" xfId="3807" xr:uid="{00000000-0005-0000-0000-0000EC0B0000}"/>
    <cellStyle name="연결된 셀 2 2 2 2 3" xfId="3808" xr:uid="{00000000-0005-0000-0000-0000ED0B0000}"/>
    <cellStyle name="연결된 셀 2 2 2 2 4" xfId="3809" xr:uid="{00000000-0005-0000-0000-0000EE0B0000}"/>
    <cellStyle name="연결된 셀 2 2 2 3" xfId="3810" xr:uid="{00000000-0005-0000-0000-0000EF0B0000}"/>
    <cellStyle name="연결된 셀 2 2 2 4" xfId="3811" xr:uid="{00000000-0005-0000-0000-0000F00B0000}"/>
    <cellStyle name="연결된 셀 2 2 3" xfId="1634" xr:uid="{00000000-0005-0000-0000-0000F10B0000}"/>
    <cellStyle name="연결된 셀 2 2 4" xfId="3812" xr:uid="{00000000-0005-0000-0000-0000F20B0000}"/>
    <cellStyle name="연결된 셀 2 2 5" xfId="3813" xr:uid="{00000000-0005-0000-0000-0000F30B0000}"/>
    <cellStyle name="연결된 셀 2 2 6" xfId="3814" xr:uid="{00000000-0005-0000-0000-0000F40B0000}"/>
    <cellStyle name="연결된 셀 2 3" xfId="1635" xr:uid="{00000000-0005-0000-0000-0000F50B0000}"/>
    <cellStyle name="연결된 셀 2 3 2" xfId="3815" xr:uid="{00000000-0005-0000-0000-0000F60B0000}"/>
    <cellStyle name="연결된 셀 2 3 3" xfId="3816" xr:uid="{00000000-0005-0000-0000-0000F70B0000}"/>
    <cellStyle name="연결된 셀 2 4" xfId="1636" xr:uid="{00000000-0005-0000-0000-0000F80B0000}"/>
    <cellStyle name="연결된 셀 2 5" xfId="3817" xr:uid="{00000000-0005-0000-0000-0000F90B0000}"/>
    <cellStyle name="연결된 셀 2_1) 도로시설물" xfId="1637" xr:uid="{00000000-0005-0000-0000-0000FA0B0000}"/>
    <cellStyle name="연결된 셀 3" xfId="1638" xr:uid="{00000000-0005-0000-0000-0000FB0B0000}"/>
    <cellStyle name="연결된 셀 3 2" xfId="1639" xr:uid="{00000000-0005-0000-0000-0000FC0B0000}"/>
    <cellStyle name="연결된 셀 3 3" xfId="1640" xr:uid="{00000000-0005-0000-0000-0000FD0B0000}"/>
    <cellStyle name="연결된 셀 4" xfId="1641" xr:uid="{00000000-0005-0000-0000-0000FE0B0000}"/>
    <cellStyle name="연결된 셀 5" xfId="1642" xr:uid="{00000000-0005-0000-0000-0000FF0B0000}"/>
    <cellStyle name="연결된 셀 6" xfId="1643" xr:uid="{00000000-0005-0000-0000-0000000C0000}"/>
    <cellStyle name="연결된 셀 6 10" xfId="3818" xr:uid="{00000000-0005-0000-0000-0000010C0000}"/>
    <cellStyle name="연결된 셀 6 2" xfId="3819" xr:uid="{00000000-0005-0000-0000-0000020C0000}"/>
    <cellStyle name="연결된 셀 6 3" xfId="3820" xr:uid="{00000000-0005-0000-0000-0000030C0000}"/>
    <cellStyle name="연결된 셀 6 4" xfId="3821" xr:uid="{00000000-0005-0000-0000-0000040C0000}"/>
    <cellStyle name="연결된 셀 6 5" xfId="3822" xr:uid="{00000000-0005-0000-0000-0000050C0000}"/>
    <cellStyle name="연결된 셀 6 6" xfId="3823" xr:uid="{00000000-0005-0000-0000-0000060C0000}"/>
    <cellStyle name="연결된 셀 6 7" xfId="3824" xr:uid="{00000000-0005-0000-0000-0000070C0000}"/>
    <cellStyle name="연결된 셀 6 8" xfId="3825" xr:uid="{00000000-0005-0000-0000-0000080C0000}"/>
    <cellStyle name="연결된 셀 6 9" xfId="3826" xr:uid="{00000000-0005-0000-0000-0000090C0000}"/>
    <cellStyle name="연결된 셀 7" xfId="1644" xr:uid="{00000000-0005-0000-0000-00000A0C0000}"/>
    <cellStyle name="연결된 셀 7 2" xfId="3827" xr:uid="{00000000-0005-0000-0000-00000B0C0000}"/>
    <cellStyle name="연결된 셀 8" xfId="1645" xr:uid="{00000000-0005-0000-0000-00000C0C0000}"/>
    <cellStyle name="연결된 셀 8 2" xfId="3828" xr:uid="{00000000-0005-0000-0000-00000D0C0000}"/>
    <cellStyle name="연결된 셀 9" xfId="1646" xr:uid="{00000000-0005-0000-0000-00000E0C0000}"/>
    <cellStyle name="요약 10" xfId="3829" xr:uid="{00000000-0005-0000-0000-00000F0C0000}"/>
    <cellStyle name="요약 11" xfId="3830" xr:uid="{00000000-0005-0000-0000-0000100C0000}"/>
    <cellStyle name="요약 11 2" xfId="3831" xr:uid="{00000000-0005-0000-0000-0000110C0000}"/>
    <cellStyle name="요약 11 3" xfId="3832" xr:uid="{00000000-0005-0000-0000-0000120C0000}"/>
    <cellStyle name="요약 11 4" xfId="3833" xr:uid="{00000000-0005-0000-0000-0000130C0000}"/>
    <cellStyle name="요약 11 5" xfId="3834" xr:uid="{00000000-0005-0000-0000-0000140C0000}"/>
    <cellStyle name="요약 11 6" xfId="3835" xr:uid="{00000000-0005-0000-0000-0000150C0000}"/>
    <cellStyle name="요약 11 7" xfId="3836" xr:uid="{00000000-0005-0000-0000-0000160C0000}"/>
    <cellStyle name="요약 2" xfId="1647" xr:uid="{00000000-0005-0000-0000-0000170C0000}"/>
    <cellStyle name="요약 2 2" xfId="1648" xr:uid="{00000000-0005-0000-0000-0000180C0000}"/>
    <cellStyle name="요약 2 2 2" xfId="1649" xr:uid="{00000000-0005-0000-0000-0000190C0000}"/>
    <cellStyle name="요약 2 2 2 2" xfId="3837" xr:uid="{00000000-0005-0000-0000-00001A0C0000}"/>
    <cellStyle name="요약 2 2 2 2 2" xfId="3838" xr:uid="{00000000-0005-0000-0000-00001B0C0000}"/>
    <cellStyle name="요약 2 2 2 2 2 2" xfId="3839" xr:uid="{00000000-0005-0000-0000-00001C0C0000}"/>
    <cellStyle name="요약 2 2 2 2 2 2 2" xfId="3840" xr:uid="{00000000-0005-0000-0000-00001D0C0000}"/>
    <cellStyle name="요약 2 2 2 2 2 2 2 2" xfId="3841" xr:uid="{00000000-0005-0000-0000-00001E0C0000}"/>
    <cellStyle name="요약 2 2 2 2 2 2 2 3" xfId="3842" xr:uid="{00000000-0005-0000-0000-00001F0C0000}"/>
    <cellStyle name="요약 2 2 2 2 2 2 3" xfId="3843" xr:uid="{00000000-0005-0000-0000-0000200C0000}"/>
    <cellStyle name="요약 2 2 2 2 2 3" xfId="3844" xr:uid="{00000000-0005-0000-0000-0000210C0000}"/>
    <cellStyle name="요약 2 2 2 2 3" xfId="3845" xr:uid="{00000000-0005-0000-0000-0000220C0000}"/>
    <cellStyle name="요약 2 2 2 2 4" xfId="3846" xr:uid="{00000000-0005-0000-0000-0000230C0000}"/>
    <cellStyle name="요약 2 2 2 3" xfId="3847" xr:uid="{00000000-0005-0000-0000-0000240C0000}"/>
    <cellStyle name="요약 2 2 2 4" xfId="3848" xr:uid="{00000000-0005-0000-0000-0000250C0000}"/>
    <cellStyle name="요약 2 2 3" xfId="1650" xr:uid="{00000000-0005-0000-0000-0000260C0000}"/>
    <cellStyle name="요약 2 2 4" xfId="3849" xr:uid="{00000000-0005-0000-0000-0000270C0000}"/>
    <cellStyle name="요약 2 2 5" xfId="3850" xr:uid="{00000000-0005-0000-0000-0000280C0000}"/>
    <cellStyle name="요약 2 2 6" xfId="3851" xr:uid="{00000000-0005-0000-0000-0000290C0000}"/>
    <cellStyle name="요약 2 3" xfId="1651" xr:uid="{00000000-0005-0000-0000-00002A0C0000}"/>
    <cellStyle name="요약 2 3 2" xfId="3852" xr:uid="{00000000-0005-0000-0000-00002B0C0000}"/>
    <cellStyle name="요약 2 3 3" xfId="3853" xr:uid="{00000000-0005-0000-0000-00002C0C0000}"/>
    <cellStyle name="요약 2 4" xfId="1652" xr:uid="{00000000-0005-0000-0000-00002D0C0000}"/>
    <cellStyle name="요약 2 5" xfId="3854" xr:uid="{00000000-0005-0000-0000-00002E0C0000}"/>
    <cellStyle name="요약 2_1) 도로시설물" xfId="1653" xr:uid="{00000000-0005-0000-0000-00002F0C0000}"/>
    <cellStyle name="요약 3" xfId="1654" xr:uid="{00000000-0005-0000-0000-0000300C0000}"/>
    <cellStyle name="요약 3 2" xfId="1655" xr:uid="{00000000-0005-0000-0000-0000310C0000}"/>
    <cellStyle name="요약 3 3" xfId="1656" xr:uid="{00000000-0005-0000-0000-0000320C0000}"/>
    <cellStyle name="요약 4" xfId="1657" xr:uid="{00000000-0005-0000-0000-0000330C0000}"/>
    <cellStyle name="요약 5" xfId="1658" xr:uid="{00000000-0005-0000-0000-0000340C0000}"/>
    <cellStyle name="요약 6" xfId="1659" xr:uid="{00000000-0005-0000-0000-0000350C0000}"/>
    <cellStyle name="요약 6 10" xfId="3855" xr:uid="{00000000-0005-0000-0000-0000360C0000}"/>
    <cellStyle name="요약 6 2" xfId="3856" xr:uid="{00000000-0005-0000-0000-0000370C0000}"/>
    <cellStyle name="요약 6 3" xfId="3857" xr:uid="{00000000-0005-0000-0000-0000380C0000}"/>
    <cellStyle name="요약 6 4" xfId="3858" xr:uid="{00000000-0005-0000-0000-0000390C0000}"/>
    <cellStyle name="요약 6 5" xfId="3859" xr:uid="{00000000-0005-0000-0000-00003A0C0000}"/>
    <cellStyle name="요약 6 6" xfId="3860" xr:uid="{00000000-0005-0000-0000-00003B0C0000}"/>
    <cellStyle name="요약 6 7" xfId="3861" xr:uid="{00000000-0005-0000-0000-00003C0C0000}"/>
    <cellStyle name="요약 6 8" xfId="3862" xr:uid="{00000000-0005-0000-0000-00003D0C0000}"/>
    <cellStyle name="요약 6 9" xfId="3863" xr:uid="{00000000-0005-0000-0000-00003E0C0000}"/>
    <cellStyle name="요약 7" xfId="1660" xr:uid="{00000000-0005-0000-0000-00003F0C0000}"/>
    <cellStyle name="요약 7 2" xfId="3864" xr:uid="{00000000-0005-0000-0000-0000400C0000}"/>
    <cellStyle name="요약 8" xfId="1661" xr:uid="{00000000-0005-0000-0000-0000410C0000}"/>
    <cellStyle name="요약 8 2" xfId="3865" xr:uid="{00000000-0005-0000-0000-0000420C0000}"/>
    <cellStyle name="요약 9" xfId="1662" xr:uid="{00000000-0005-0000-0000-0000430C0000}"/>
    <cellStyle name="입력 10" xfId="1663" xr:uid="{00000000-0005-0000-0000-0000440C0000}"/>
    <cellStyle name="입력 11" xfId="3866" xr:uid="{00000000-0005-0000-0000-0000450C0000}"/>
    <cellStyle name="입력 11 2" xfId="3867" xr:uid="{00000000-0005-0000-0000-0000460C0000}"/>
    <cellStyle name="입력 11 3" xfId="3868" xr:uid="{00000000-0005-0000-0000-0000470C0000}"/>
    <cellStyle name="입력 11 4" xfId="3869" xr:uid="{00000000-0005-0000-0000-0000480C0000}"/>
    <cellStyle name="입력 11 5" xfId="3870" xr:uid="{00000000-0005-0000-0000-0000490C0000}"/>
    <cellStyle name="입력 11 6" xfId="3871" xr:uid="{00000000-0005-0000-0000-00004A0C0000}"/>
    <cellStyle name="입력 11 7" xfId="3872" xr:uid="{00000000-0005-0000-0000-00004B0C0000}"/>
    <cellStyle name="입력 2" xfId="1664" xr:uid="{00000000-0005-0000-0000-00004C0C0000}"/>
    <cellStyle name="입력 2 2" xfId="1665" xr:uid="{00000000-0005-0000-0000-00004D0C0000}"/>
    <cellStyle name="입력 2 2 2" xfId="1666" xr:uid="{00000000-0005-0000-0000-00004E0C0000}"/>
    <cellStyle name="입력 2 2 2 2" xfId="3873" xr:uid="{00000000-0005-0000-0000-00004F0C0000}"/>
    <cellStyle name="입력 2 2 2 2 2" xfId="3874" xr:uid="{00000000-0005-0000-0000-0000500C0000}"/>
    <cellStyle name="입력 2 2 2 2 2 2" xfId="3875" xr:uid="{00000000-0005-0000-0000-0000510C0000}"/>
    <cellStyle name="입력 2 2 2 2 2 2 2" xfId="3876" xr:uid="{00000000-0005-0000-0000-0000520C0000}"/>
    <cellStyle name="입력 2 2 2 2 2 2 2 2" xfId="3877" xr:uid="{00000000-0005-0000-0000-0000530C0000}"/>
    <cellStyle name="입력 2 2 2 2 2 2 2 3" xfId="3878" xr:uid="{00000000-0005-0000-0000-0000540C0000}"/>
    <cellStyle name="입력 2 2 2 2 2 2 3" xfId="3879" xr:uid="{00000000-0005-0000-0000-0000550C0000}"/>
    <cellStyle name="입력 2 2 2 2 2 3" xfId="3880" xr:uid="{00000000-0005-0000-0000-0000560C0000}"/>
    <cellStyle name="입력 2 2 2 2 3" xfId="3881" xr:uid="{00000000-0005-0000-0000-0000570C0000}"/>
    <cellStyle name="입력 2 2 2 2 4" xfId="3882" xr:uid="{00000000-0005-0000-0000-0000580C0000}"/>
    <cellStyle name="입력 2 2 2 3" xfId="3883" xr:uid="{00000000-0005-0000-0000-0000590C0000}"/>
    <cellStyle name="입력 2 2 2 4" xfId="3884" xr:uid="{00000000-0005-0000-0000-00005A0C0000}"/>
    <cellStyle name="입력 2 2 3" xfId="1667" xr:uid="{00000000-0005-0000-0000-00005B0C0000}"/>
    <cellStyle name="입력 2 2 4" xfId="3885" xr:uid="{00000000-0005-0000-0000-00005C0C0000}"/>
    <cellStyle name="입력 2 2 5" xfId="3886" xr:uid="{00000000-0005-0000-0000-00005D0C0000}"/>
    <cellStyle name="입력 2 2 6" xfId="3887" xr:uid="{00000000-0005-0000-0000-00005E0C0000}"/>
    <cellStyle name="입력 2 3" xfId="1668" xr:uid="{00000000-0005-0000-0000-00005F0C0000}"/>
    <cellStyle name="입력 2 3 2" xfId="3888" xr:uid="{00000000-0005-0000-0000-0000600C0000}"/>
    <cellStyle name="입력 2 3 3" xfId="3889" xr:uid="{00000000-0005-0000-0000-0000610C0000}"/>
    <cellStyle name="입력 2 4" xfId="1669" xr:uid="{00000000-0005-0000-0000-0000620C0000}"/>
    <cellStyle name="입력 2 5" xfId="3890" xr:uid="{00000000-0005-0000-0000-0000630C0000}"/>
    <cellStyle name="입력 2_1) 도로시설물" xfId="1670" xr:uid="{00000000-0005-0000-0000-0000640C0000}"/>
    <cellStyle name="입력 3" xfId="1671" xr:uid="{00000000-0005-0000-0000-0000650C0000}"/>
    <cellStyle name="입력 3 2" xfId="1672" xr:uid="{00000000-0005-0000-0000-0000660C0000}"/>
    <cellStyle name="입력 3 2 2" xfId="1673" xr:uid="{00000000-0005-0000-0000-0000670C0000}"/>
    <cellStyle name="입력 3 3" xfId="1674" xr:uid="{00000000-0005-0000-0000-0000680C0000}"/>
    <cellStyle name="입력 4" xfId="1675" xr:uid="{00000000-0005-0000-0000-0000690C0000}"/>
    <cellStyle name="입력 4 2" xfId="1676" xr:uid="{00000000-0005-0000-0000-00006A0C0000}"/>
    <cellStyle name="입력 4 3" xfId="1677" xr:uid="{00000000-0005-0000-0000-00006B0C0000}"/>
    <cellStyle name="입력 5" xfId="1678" xr:uid="{00000000-0005-0000-0000-00006C0C0000}"/>
    <cellStyle name="입력 5 2" xfId="1679" xr:uid="{00000000-0005-0000-0000-00006D0C0000}"/>
    <cellStyle name="입력 6" xfId="1680" xr:uid="{00000000-0005-0000-0000-00006E0C0000}"/>
    <cellStyle name="입력 6 10" xfId="3891" xr:uid="{00000000-0005-0000-0000-00006F0C0000}"/>
    <cellStyle name="입력 6 2" xfId="3892" xr:uid="{00000000-0005-0000-0000-0000700C0000}"/>
    <cellStyle name="입력 6 3" xfId="3893" xr:uid="{00000000-0005-0000-0000-0000710C0000}"/>
    <cellStyle name="입력 6 4" xfId="3894" xr:uid="{00000000-0005-0000-0000-0000720C0000}"/>
    <cellStyle name="입력 6 5" xfId="3895" xr:uid="{00000000-0005-0000-0000-0000730C0000}"/>
    <cellStyle name="입력 6 6" xfId="3896" xr:uid="{00000000-0005-0000-0000-0000740C0000}"/>
    <cellStyle name="입력 6 7" xfId="3897" xr:uid="{00000000-0005-0000-0000-0000750C0000}"/>
    <cellStyle name="입력 6 8" xfId="3898" xr:uid="{00000000-0005-0000-0000-0000760C0000}"/>
    <cellStyle name="입력 6 9" xfId="3899" xr:uid="{00000000-0005-0000-0000-0000770C0000}"/>
    <cellStyle name="입력 7" xfId="1681" xr:uid="{00000000-0005-0000-0000-0000780C0000}"/>
    <cellStyle name="입력 7 2" xfId="3900" xr:uid="{00000000-0005-0000-0000-0000790C0000}"/>
    <cellStyle name="입력 8" xfId="1682" xr:uid="{00000000-0005-0000-0000-00007A0C0000}"/>
    <cellStyle name="입력 8 2" xfId="3901" xr:uid="{00000000-0005-0000-0000-00007B0C0000}"/>
    <cellStyle name="입력 9" xfId="1683" xr:uid="{00000000-0005-0000-0000-00007C0C0000}"/>
    <cellStyle name="자리수" xfId="1684" xr:uid="{00000000-0005-0000-0000-00007D0C0000}"/>
    <cellStyle name="자리수 2" xfId="1685" xr:uid="{00000000-0005-0000-0000-00007E0C0000}"/>
    <cellStyle name="자리수0" xfId="1686" xr:uid="{00000000-0005-0000-0000-00007F0C0000}"/>
    <cellStyle name="자리수0 2" xfId="1687" xr:uid="{00000000-0005-0000-0000-0000800C0000}"/>
    <cellStyle name="제목 1 10" xfId="3902" xr:uid="{00000000-0005-0000-0000-0000810C0000}"/>
    <cellStyle name="제목 1 11" xfId="3903" xr:uid="{00000000-0005-0000-0000-0000820C0000}"/>
    <cellStyle name="제목 1 11 2" xfId="3904" xr:uid="{00000000-0005-0000-0000-0000830C0000}"/>
    <cellStyle name="제목 1 11 3" xfId="3905" xr:uid="{00000000-0005-0000-0000-0000840C0000}"/>
    <cellStyle name="제목 1 11 4" xfId="3906" xr:uid="{00000000-0005-0000-0000-0000850C0000}"/>
    <cellStyle name="제목 1 11 5" xfId="3907" xr:uid="{00000000-0005-0000-0000-0000860C0000}"/>
    <cellStyle name="제목 1 11 6" xfId="3908" xr:uid="{00000000-0005-0000-0000-0000870C0000}"/>
    <cellStyle name="제목 1 11 7" xfId="3909" xr:uid="{00000000-0005-0000-0000-0000880C0000}"/>
    <cellStyle name="제목 1 2" xfId="1688" xr:uid="{00000000-0005-0000-0000-0000890C0000}"/>
    <cellStyle name="제목 1 2 2" xfId="1689" xr:uid="{00000000-0005-0000-0000-00008A0C0000}"/>
    <cellStyle name="제목 1 2 2 2" xfId="1690" xr:uid="{00000000-0005-0000-0000-00008B0C0000}"/>
    <cellStyle name="제목 1 2 2 2 2" xfId="3910" xr:uid="{00000000-0005-0000-0000-00008C0C0000}"/>
    <cellStyle name="제목 1 2 2 2 2 2" xfId="3911" xr:uid="{00000000-0005-0000-0000-00008D0C0000}"/>
    <cellStyle name="제목 1 2 2 2 2 2 2" xfId="3912" xr:uid="{00000000-0005-0000-0000-00008E0C0000}"/>
    <cellStyle name="제목 1 2 2 2 2 2 2 2" xfId="3913" xr:uid="{00000000-0005-0000-0000-00008F0C0000}"/>
    <cellStyle name="제목 1 2 2 2 2 2 2 2 2" xfId="3914" xr:uid="{00000000-0005-0000-0000-0000900C0000}"/>
    <cellStyle name="제목 1 2 2 2 2 2 2 2 3" xfId="3915" xr:uid="{00000000-0005-0000-0000-0000910C0000}"/>
    <cellStyle name="제목 1 2 2 2 2 2 2 3" xfId="3916" xr:uid="{00000000-0005-0000-0000-0000920C0000}"/>
    <cellStyle name="제목 1 2 2 2 2 2 3" xfId="3917" xr:uid="{00000000-0005-0000-0000-0000930C0000}"/>
    <cellStyle name="제목 1 2 2 2 2 3" xfId="3918" xr:uid="{00000000-0005-0000-0000-0000940C0000}"/>
    <cellStyle name="제목 1 2 2 2 2 4" xfId="3919" xr:uid="{00000000-0005-0000-0000-0000950C0000}"/>
    <cellStyle name="제목 1 2 2 2 3" xfId="3920" xr:uid="{00000000-0005-0000-0000-0000960C0000}"/>
    <cellStyle name="제목 1 2 2 2 4" xfId="3921" xr:uid="{00000000-0005-0000-0000-0000970C0000}"/>
    <cellStyle name="제목 1 2 2 3" xfId="1691" xr:uid="{00000000-0005-0000-0000-0000980C0000}"/>
    <cellStyle name="제목 1 2 2 4" xfId="3922" xr:uid="{00000000-0005-0000-0000-0000990C0000}"/>
    <cellStyle name="제목 1 2 2 5" xfId="3923" xr:uid="{00000000-0005-0000-0000-00009A0C0000}"/>
    <cellStyle name="제목 1 2 2 6" xfId="3924" xr:uid="{00000000-0005-0000-0000-00009B0C0000}"/>
    <cellStyle name="제목 1 2 3" xfId="1692" xr:uid="{00000000-0005-0000-0000-00009C0C0000}"/>
    <cellStyle name="제목 1 2 3 2" xfId="3925" xr:uid="{00000000-0005-0000-0000-00009D0C0000}"/>
    <cellStyle name="제목 1 2 3 3" xfId="3926" xr:uid="{00000000-0005-0000-0000-00009E0C0000}"/>
    <cellStyle name="제목 1 2 4" xfId="1693" xr:uid="{00000000-0005-0000-0000-00009F0C0000}"/>
    <cellStyle name="제목 1 2 5" xfId="3927" xr:uid="{00000000-0005-0000-0000-0000A00C0000}"/>
    <cellStyle name="제목 1 2_1) 도로시설물" xfId="1694" xr:uid="{00000000-0005-0000-0000-0000A10C0000}"/>
    <cellStyle name="제목 1 3" xfId="1695" xr:uid="{00000000-0005-0000-0000-0000A20C0000}"/>
    <cellStyle name="제목 1 3 2" xfId="1696" xr:uid="{00000000-0005-0000-0000-0000A30C0000}"/>
    <cellStyle name="제목 1 3 3" xfId="1697" xr:uid="{00000000-0005-0000-0000-0000A40C0000}"/>
    <cellStyle name="제목 1 4" xfId="1698" xr:uid="{00000000-0005-0000-0000-0000A50C0000}"/>
    <cellStyle name="제목 1 5" xfId="1699" xr:uid="{00000000-0005-0000-0000-0000A60C0000}"/>
    <cellStyle name="제목 1 6" xfId="1700" xr:uid="{00000000-0005-0000-0000-0000A70C0000}"/>
    <cellStyle name="제목 1 6 10" xfId="3928" xr:uid="{00000000-0005-0000-0000-0000A80C0000}"/>
    <cellStyle name="제목 1 6 2" xfId="3929" xr:uid="{00000000-0005-0000-0000-0000A90C0000}"/>
    <cellStyle name="제목 1 6 3" xfId="3930" xr:uid="{00000000-0005-0000-0000-0000AA0C0000}"/>
    <cellStyle name="제목 1 6 4" xfId="3931" xr:uid="{00000000-0005-0000-0000-0000AB0C0000}"/>
    <cellStyle name="제목 1 6 5" xfId="3932" xr:uid="{00000000-0005-0000-0000-0000AC0C0000}"/>
    <cellStyle name="제목 1 6 6" xfId="3933" xr:uid="{00000000-0005-0000-0000-0000AD0C0000}"/>
    <cellStyle name="제목 1 6 7" xfId="3934" xr:uid="{00000000-0005-0000-0000-0000AE0C0000}"/>
    <cellStyle name="제목 1 6 8" xfId="3935" xr:uid="{00000000-0005-0000-0000-0000AF0C0000}"/>
    <cellStyle name="제목 1 6 9" xfId="3936" xr:uid="{00000000-0005-0000-0000-0000B00C0000}"/>
    <cellStyle name="제목 1 7" xfId="1701" xr:uid="{00000000-0005-0000-0000-0000B10C0000}"/>
    <cellStyle name="제목 1 7 2" xfId="3937" xr:uid="{00000000-0005-0000-0000-0000B20C0000}"/>
    <cellStyle name="제목 1 8" xfId="1702" xr:uid="{00000000-0005-0000-0000-0000B30C0000}"/>
    <cellStyle name="제목 1 8 2" xfId="3938" xr:uid="{00000000-0005-0000-0000-0000B40C0000}"/>
    <cellStyle name="제목 1 9" xfId="1703" xr:uid="{00000000-0005-0000-0000-0000B50C0000}"/>
    <cellStyle name="제목 10" xfId="1704" xr:uid="{00000000-0005-0000-0000-0000B60C0000}"/>
    <cellStyle name="제목 10 2" xfId="3939" xr:uid="{00000000-0005-0000-0000-0000B70C0000}"/>
    <cellStyle name="제목 11" xfId="1705" xr:uid="{00000000-0005-0000-0000-0000B80C0000}"/>
    <cellStyle name="제목 11 2" xfId="3940" xr:uid="{00000000-0005-0000-0000-0000B90C0000}"/>
    <cellStyle name="제목 12" xfId="1706" xr:uid="{00000000-0005-0000-0000-0000BA0C0000}"/>
    <cellStyle name="제목 13" xfId="1707" xr:uid="{00000000-0005-0000-0000-0000BB0C0000}"/>
    <cellStyle name="제목 14" xfId="1708" xr:uid="{00000000-0005-0000-0000-0000BC0C0000}"/>
    <cellStyle name="제목 14 2" xfId="3941" xr:uid="{00000000-0005-0000-0000-0000BD0C0000}"/>
    <cellStyle name="제목 14 3" xfId="3942" xr:uid="{00000000-0005-0000-0000-0000BE0C0000}"/>
    <cellStyle name="제목 14 4" xfId="3943" xr:uid="{00000000-0005-0000-0000-0000BF0C0000}"/>
    <cellStyle name="제목 14 5" xfId="3944" xr:uid="{00000000-0005-0000-0000-0000C00C0000}"/>
    <cellStyle name="제목 14 6" xfId="3945" xr:uid="{00000000-0005-0000-0000-0000C10C0000}"/>
    <cellStyle name="제목 14 7" xfId="3946" xr:uid="{00000000-0005-0000-0000-0000C20C0000}"/>
    <cellStyle name="제목 15" xfId="1709" xr:uid="{00000000-0005-0000-0000-0000C30C0000}"/>
    <cellStyle name="제목 16" xfId="1710" xr:uid="{00000000-0005-0000-0000-0000C40C0000}"/>
    <cellStyle name="제목 17" xfId="1711" xr:uid="{00000000-0005-0000-0000-0000C50C0000}"/>
    <cellStyle name="제목 18" xfId="1712" xr:uid="{00000000-0005-0000-0000-0000C60C0000}"/>
    <cellStyle name="제목 19" xfId="1713" xr:uid="{00000000-0005-0000-0000-0000C70C0000}"/>
    <cellStyle name="제목 2 10" xfId="3947" xr:uid="{00000000-0005-0000-0000-0000C80C0000}"/>
    <cellStyle name="제목 2 11" xfId="3948" xr:uid="{00000000-0005-0000-0000-0000C90C0000}"/>
    <cellStyle name="제목 2 11 2" xfId="3949" xr:uid="{00000000-0005-0000-0000-0000CA0C0000}"/>
    <cellStyle name="제목 2 11 3" xfId="3950" xr:uid="{00000000-0005-0000-0000-0000CB0C0000}"/>
    <cellStyle name="제목 2 11 4" xfId="3951" xr:uid="{00000000-0005-0000-0000-0000CC0C0000}"/>
    <cellStyle name="제목 2 11 5" xfId="3952" xr:uid="{00000000-0005-0000-0000-0000CD0C0000}"/>
    <cellStyle name="제목 2 11 6" xfId="3953" xr:uid="{00000000-0005-0000-0000-0000CE0C0000}"/>
    <cellStyle name="제목 2 11 7" xfId="3954" xr:uid="{00000000-0005-0000-0000-0000CF0C0000}"/>
    <cellStyle name="제목 2 2" xfId="1714" xr:uid="{00000000-0005-0000-0000-0000D00C0000}"/>
    <cellStyle name="제목 2 2 2" xfId="1715" xr:uid="{00000000-0005-0000-0000-0000D10C0000}"/>
    <cellStyle name="제목 2 2 2 2" xfId="1716" xr:uid="{00000000-0005-0000-0000-0000D20C0000}"/>
    <cellStyle name="제목 2 2 2 2 2" xfId="3955" xr:uid="{00000000-0005-0000-0000-0000D30C0000}"/>
    <cellStyle name="제목 2 2 2 2 2 2" xfId="3956" xr:uid="{00000000-0005-0000-0000-0000D40C0000}"/>
    <cellStyle name="제목 2 2 2 2 2 2 2" xfId="3957" xr:uid="{00000000-0005-0000-0000-0000D50C0000}"/>
    <cellStyle name="제목 2 2 2 2 2 2 2 2" xfId="3958" xr:uid="{00000000-0005-0000-0000-0000D60C0000}"/>
    <cellStyle name="제목 2 2 2 2 2 2 2 2 2" xfId="3959" xr:uid="{00000000-0005-0000-0000-0000D70C0000}"/>
    <cellStyle name="제목 2 2 2 2 2 2 2 2 3" xfId="3960" xr:uid="{00000000-0005-0000-0000-0000D80C0000}"/>
    <cellStyle name="제목 2 2 2 2 2 2 2 3" xfId="3961" xr:uid="{00000000-0005-0000-0000-0000D90C0000}"/>
    <cellStyle name="제목 2 2 2 2 2 2 3" xfId="3962" xr:uid="{00000000-0005-0000-0000-0000DA0C0000}"/>
    <cellStyle name="제목 2 2 2 2 2 3" xfId="3963" xr:uid="{00000000-0005-0000-0000-0000DB0C0000}"/>
    <cellStyle name="제목 2 2 2 2 2 4" xfId="3964" xr:uid="{00000000-0005-0000-0000-0000DC0C0000}"/>
    <cellStyle name="제목 2 2 2 2 3" xfId="3965" xr:uid="{00000000-0005-0000-0000-0000DD0C0000}"/>
    <cellStyle name="제목 2 2 2 2 4" xfId="3966" xr:uid="{00000000-0005-0000-0000-0000DE0C0000}"/>
    <cellStyle name="제목 2 2 2 3" xfId="1717" xr:uid="{00000000-0005-0000-0000-0000DF0C0000}"/>
    <cellStyle name="제목 2 2 2 4" xfId="3967" xr:uid="{00000000-0005-0000-0000-0000E00C0000}"/>
    <cellStyle name="제목 2 2 2 5" xfId="3968" xr:uid="{00000000-0005-0000-0000-0000E10C0000}"/>
    <cellStyle name="제목 2 2 2 6" xfId="3969" xr:uid="{00000000-0005-0000-0000-0000E20C0000}"/>
    <cellStyle name="제목 2 2 3" xfId="1718" xr:uid="{00000000-0005-0000-0000-0000E30C0000}"/>
    <cellStyle name="제목 2 2 3 2" xfId="3970" xr:uid="{00000000-0005-0000-0000-0000E40C0000}"/>
    <cellStyle name="제목 2 2 3 3" xfId="3971" xr:uid="{00000000-0005-0000-0000-0000E50C0000}"/>
    <cellStyle name="제목 2 2 4" xfId="1719" xr:uid="{00000000-0005-0000-0000-0000E60C0000}"/>
    <cellStyle name="제목 2 2 5" xfId="3972" xr:uid="{00000000-0005-0000-0000-0000E70C0000}"/>
    <cellStyle name="제목 2 2_1) 도로시설물" xfId="1720" xr:uid="{00000000-0005-0000-0000-0000E80C0000}"/>
    <cellStyle name="제목 2 3" xfId="1721" xr:uid="{00000000-0005-0000-0000-0000E90C0000}"/>
    <cellStyle name="제목 2 3 2" xfId="1722" xr:uid="{00000000-0005-0000-0000-0000EA0C0000}"/>
    <cellStyle name="제목 2 3 3" xfId="1723" xr:uid="{00000000-0005-0000-0000-0000EB0C0000}"/>
    <cellStyle name="제목 2 4" xfId="1724" xr:uid="{00000000-0005-0000-0000-0000EC0C0000}"/>
    <cellStyle name="제목 2 5" xfId="1725" xr:uid="{00000000-0005-0000-0000-0000ED0C0000}"/>
    <cellStyle name="제목 2 6" xfId="1726" xr:uid="{00000000-0005-0000-0000-0000EE0C0000}"/>
    <cellStyle name="제목 2 6 10" xfId="3973" xr:uid="{00000000-0005-0000-0000-0000EF0C0000}"/>
    <cellStyle name="제목 2 6 2" xfId="3974" xr:uid="{00000000-0005-0000-0000-0000F00C0000}"/>
    <cellStyle name="제목 2 6 3" xfId="3975" xr:uid="{00000000-0005-0000-0000-0000F10C0000}"/>
    <cellStyle name="제목 2 6 4" xfId="3976" xr:uid="{00000000-0005-0000-0000-0000F20C0000}"/>
    <cellStyle name="제목 2 6 5" xfId="3977" xr:uid="{00000000-0005-0000-0000-0000F30C0000}"/>
    <cellStyle name="제목 2 6 6" xfId="3978" xr:uid="{00000000-0005-0000-0000-0000F40C0000}"/>
    <cellStyle name="제목 2 6 7" xfId="3979" xr:uid="{00000000-0005-0000-0000-0000F50C0000}"/>
    <cellStyle name="제목 2 6 8" xfId="3980" xr:uid="{00000000-0005-0000-0000-0000F60C0000}"/>
    <cellStyle name="제목 2 6 9" xfId="3981" xr:uid="{00000000-0005-0000-0000-0000F70C0000}"/>
    <cellStyle name="제목 2 7" xfId="1727" xr:uid="{00000000-0005-0000-0000-0000F80C0000}"/>
    <cellStyle name="제목 2 7 2" xfId="3982" xr:uid="{00000000-0005-0000-0000-0000F90C0000}"/>
    <cellStyle name="제목 2 8" xfId="1728" xr:uid="{00000000-0005-0000-0000-0000FA0C0000}"/>
    <cellStyle name="제목 2 8 2" xfId="3983" xr:uid="{00000000-0005-0000-0000-0000FB0C0000}"/>
    <cellStyle name="제목 2 9" xfId="1729" xr:uid="{00000000-0005-0000-0000-0000FC0C0000}"/>
    <cellStyle name="제목 20" xfId="1730" xr:uid="{00000000-0005-0000-0000-0000FD0C0000}"/>
    <cellStyle name="제목 21" xfId="1731" xr:uid="{00000000-0005-0000-0000-0000FE0C0000}"/>
    <cellStyle name="제목 22" xfId="1732" xr:uid="{00000000-0005-0000-0000-0000FF0C0000}"/>
    <cellStyle name="제목 23" xfId="1733" xr:uid="{00000000-0005-0000-0000-0000000D0000}"/>
    <cellStyle name="제목 24" xfId="1734" xr:uid="{00000000-0005-0000-0000-0000010D0000}"/>
    <cellStyle name="제목 25" xfId="1735" xr:uid="{00000000-0005-0000-0000-0000020D0000}"/>
    <cellStyle name="제목 26" xfId="1736" xr:uid="{00000000-0005-0000-0000-0000030D0000}"/>
    <cellStyle name="제목 27" xfId="1737" xr:uid="{00000000-0005-0000-0000-0000040D0000}"/>
    <cellStyle name="제목 28" xfId="1738" xr:uid="{00000000-0005-0000-0000-0000050D0000}"/>
    <cellStyle name="제목 29" xfId="1739" xr:uid="{00000000-0005-0000-0000-0000060D0000}"/>
    <cellStyle name="제목 3 10" xfId="3984" xr:uid="{00000000-0005-0000-0000-0000070D0000}"/>
    <cellStyle name="제목 3 11" xfId="3985" xr:uid="{00000000-0005-0000-0000-0000080D0000}"/>
    <cellStyle name="제목 3 11 2" xfId="3986" xr:uid="{00000000-0005-0000-0000-0000090D0000}"/>
    <cellStyle name="제목 3 11 3" xfId="3987" xr:uid="{00000000-0005-0000-0000-00000A0D0000}"/>
    <cellStyle name="제목 3 11 4" xfId="3988" xr:uid="{00000000-0005-0000-0000-00000B0D0000}"/>
    <cellStyle name="제목 3 11 5" xfId="3989" xr:uid="{00000000-0005-0000-0000-00000C0D0000}"/>
    <cellStyle name="제목 3 11 6" xfId="3990" xr:uid="{00000000-0005-0000-0000-00000D0D0000}"/>
    <cellStyle name="제목 3 11 7" xfId="3991" xr:uid="{00000000-0005-0000-0000-00000E0D0000}"/>
    <cellStyle name="제목 3 2" xfId="1740" xr:uid="{00000000-0005-0000-0000-00000F0D0000}"/>
    <cellStyle name="제목 3 2 2" xfId="1741" xr:uid="{00000000-0005-0000-0000-0000100D0000}"/>
    <cellStyle name="제목 3 2 2 2" xfId="1742" xr:uid="{00000000-0005-0000-0000-0000110D0000}"/>
    <cellStyle name="제목 3 2 2 2 2" xfId="3992" xr:uid="{00000000-0005-0000-0000-0000120D0000}"/>
    <cellStyle name="제목 3 2 2 2 2 2" xfId="3993" xr:uid="{00000000-0005-0000-0000-0000130D0000}"/>
    <cellStyle name="제목 3 2 2 2 2 2 2" xfId="3994" xr:uid="{00000000-0005-0000-0000-0000140D0000}"/>
    <cellStyle name="제목 3 2 2 2 2 2 2 2" xfId="3995" xr:uid="{00000000-0005-0000-0000-0000150D0000}"/>
    <cellStyle name="제목 3 2 2 2 2 2 2 2 2" xfId="3996" xr:uid="{00000000-0005-0000-0000-0000160D0000}"/>
    <cellStyle name="제목 3 2 2 2 2 2 2 2 3" xfId="3997" xr:uid="{00000000-0005-0000-0000-0000170D0000}"/>
    <cellStyle name="제목 3 2 2 2 2 2 2 3" xfId="3998" xr:uid="{00000000-0005-0000-0000-0000180D0000}"/>
    <cellStyle name="제목 3 2 2 2 2 2 3" xfId="3999" xr:uid="{00000000-0005-0000-0000-0000190D0000}"/>
    <cellStyle name="제목 3 2 2 2 2 3" xfId="4000" xr:uid="{00000000-0005-0000-0000-00001A0D0000}"/>
    <cellStyle name="제목 3 2 2 2 2 4" xfId="4001" xr:uid="{00000000-0005-0000-0000-00001B0D0000}"/>
    <cellStyle name="제목 3 2 2 2 3" xfId="4002" xr:uid="{00000000-0005-0000-0000-00001C0D0000}"/>
    <cellStyle name="제목 3 2 2 2 4" xfId="4003" xr:uid="{00000000-0005-0000-0000-00001D0D0000}"/>
    <cellStyle name="제목 3 2 2 3" xfId="1743" xr:uid="{00000000-0005-0000-0000-00001E0D0000}"/>
    <cellStyle name="제목 3 2 2 4" xfId="4004" xr:uid="{00000000-0005-0000-0000-00001F0D0000}"/>
    <cellStyle name="제목 3 2 2 5" xfId="4005" xr:uid="{00000000-0005-0000-0000-0000200D0000}"/>
    <cellStyle name="제목 3 2 2 6" xfId="4006" xr:uid="{00000000-0005-0000-0000-0000210D0000}"/>
    <cellStyle name="제목 3 2 3" xfId="1744" xr:uid="{00000000-0005-0000-0000-0000220D0000}"/>
    <cellStyle name="제목 3 2 3 2" xfId="4007" xr:uid="{00000000-0005-0000-0000-0000230D0000}"/>
    <cellStyle name="제목 3 2 3 3" xfId="4008" xr:uid="{00000000-0005-0000-0000-0000240D0000}"/>
    <cellStyle name="제목 3 2 4" xfId="1745" xr:uid="{00000000-0005-0000-0000-0000250D0000}"/>
    <cellStyle name="제목 3 2 5" xfId="4009" xr:uid="{00000000-0005-0000-0000-0000260D0000}"/>
    <cellStyle name="제목 3 2_1) 도로시설물" xfId="1746" xr:uid="{00000000-0005-0000-0000-0000270D0000}"/>
    <cellStyle name="제목 3 3" xfId="1747" xr:uid="{00000000-0005-0000-0000-0000280D0000}"/>
    <cellStyle name="제목 3 3 2" xfId="1748" xr:uid="{00000000-0005-0000-0000-0000290D0000}"/>
    <cellStyle name="제목 3 3 3" xfId="1749" xr:uid="{00000000-0005-0000-0000-00002A0D0000}"/>
    <cellStyle name="제목 3 4" xfId="1750" xr:uid="{00000000-0005-0000-0000-00002B0D0000}"/>
    <cellStyle name="제목 3 5" xfId="1751" xr:uid="{00000000-0005-0000-0000-00002C0D0000}"/>
    <cellStyle name="제목 3 6" xfId="1752" xr:uid="{00000000-0005-0000-0000-00002D0D0000}"/>
    <cellStyle name="제목 3 6 10" xfId="4010" xr:uid="{00000000-0005-0000-0000-00002E0D0000}"/>
    <cellStyle name="제목 3 6 2" xfId="4011" xr:uid="{00000000-0005-0000-0000-00002F0D0000}"/>
    <cellStyle name="제목 3 6 3" xfId="4012" xr:uid="{00000000-0005-0000-0000-0000300D0000}"/>
    <cellStyle name="제목 3 6 4" xfId="4013" xr:uid="{00000000-0005-0000-0000-0000310D0000}"/>
    <cellStyle name="제목 3 6 5" xfId="4014" xr:uid="{00000000-0005-0000-0000-0000320D0000}"/>
    <cellStyle name="제목 3 6 6" xfId="4015" xr:uid="{00000000-0005-0000-0000-0000330D0000}"/>
    <cellStyle name="제목 3 6 7" xfId="4016" xr:uid="{00000000-0005-0000-0000-0000340D0000}"/>
    <cellStyle name="제목 3 6 8" xfId="4017" xr:uid="{00000000-0005-0000-0000-0000350D0000}"/>
    <cellStyle name="제목 3 6 9" xfId="4018" xr:uid="{00000000-0005-0000-0000-0000360D0000}"/>
    <cellStyle name="제목 3 7" xfId="1753" xr:uid="{00000000-0005-0000-0000-0000370D0000}"/>
    <cellStyle name="제목 3 7 2" xfId="4019" xr:uid="{00000000-0005-0000-0000-0000380D0000}"/>
    <cellStyle name="제목 3 8" xfId="1754" xr:uid="{00000000-0005-0000-0000-0000390D0000}"/>
    <cellStyle name="제목 3 8 2" xfId="4020" xr:uid="{00000000-0005-0000-0000-00003A0D0000}"/>
    <cellStyle name="제목 3 9" xfId="1755" xr:uid="{00000000-0005-0000-0000-00003B0D0000}"/>
    <cellStyle name="제목 30" xfId="1756" xr:uid="{00000000-0005-0000-0000-00003C0D0000}"/>
    <cellStyle name="제목 31" xfId="1757" xr:uid="{00000000-0005-0000-0000-00003D0D0000}"/>
    <cellStyle name="제목 32" xfId="1758" xr:uid="{00000000-0005-0000-0000-00003E0D0000}"/>
    <cellStyle name="제목 33" xfId="1759" xr:uid="{00000000-0005-0000-0000-00003F0D0000}"/>
    <cellStyle name="제목 34" xfId="1760" xr:uid="{00000000-0005-0000-0000-0000400D0000}"/>
    <cellStyle name="제목 35" xfId="1761" xr:uid="{00000000-0005-0000-0000-0000410D0000}"/>
    <cellStyle name="제목 36" xfId="1762" xr:uid="{00000000-0005-0000-0000-0000420D0000}"/>
    <cellStyle name="제목 37" xfId="1763" xr:uid="{00000000-0005-0000-0000-0000430D0000}"/>
    <cellStyle name="제목 38" xfId="1764" xr:uid="{00000000-0005-0000-0000-0000440D0000}"/>
    <cellStyle name="제목 39" xfId="1765" xr:uid="{00000000-0005-0000-0000-0000450D0000}"/>
    <cellStyle name="제목 4 10" xfId="4021" xr:uid="{00000000-0005-0000-0000-0000460D0000}"/>
    <cellStyle name="제목 4 11" xfId="4022" xr:uid="{00000000-0005-0000-0000-0000470D0000}"/>
    <cellStyle name="제목 4 11 2" xfId="4023" xr:uid="{00000000-0005-0000-0000-0000480D0000}"/>
    <cellStyle name="제목 4 11 3" xfId="4024" xr:uid="{00000000-0005-0000-0000-0000490D0000}"/>
    <cellStyle name="제목 4 11 4" xfId="4025" xr:uid="{00000000-0005-0000-0000-00004A0D0000}"/>
    <cellStyle name="제목 4 11 5" xfId="4026" xr:uid="{00000000-0005-0000-0000-00004B0D0000}"/>
    <cellStyle name="제목 4 11 6" xfId="4027" xr:uid="{00000000-0005-0000-0000-00004C0D0000}"/>
    <cellStyle name="제목 4 11 7" xfId="4028" xr:uid="{00000000-0005-0000-0000-00004D0D0000}"/>
    <cellStyle name="제목 4 2" xfId="1766" xr:uid="{00000000-0005-0000-0000-00004E0D0000}"/>
    <cellStyle name="제목 4 2 2" xfId="1767" xr:uid="{00000000-0005-0000-0000-00004F0D0000}"/>
    <cellStyle name="제목 4 2 2 2" xfId="1768" xr:uid="{00000000-0005-0000-0000-0000500D0000}"/>
    <cellStyle name="제목 4 2 2 2 2" xfId="4029" xr:uid="{00000000-0005-0000-0000-0000510D0000}"/>
    <cellStyle name="제목 4 2 2 2 2 2" xfId="4030" xr:uid="{00000000-0005-0000-0000-0000520D0000}"/>
    <cellStyle name="제목 4 2 2 2 2 2 2" xfId="4031" xr:uid="{00000000-0005-0000-0000-0000530D0000}"/>
    <cellStyle name="제목 4 2 2 2 2 2 2 2" xfId="4032" xr:uid="{00000000-0005-0000-0000-0000540D0000}"/>
    <cellStyle name="제목 4 2 2 2 2 2 2 2 2" xfId="4033" xr:uid="{00000000-0005-0000-0000-0000550D0000}"/>
    <cellStyle name="제목 4 2 2 2 2 2 2 2 3" xfId="4034" xr:uid="{00000000-0005-0000-0000-0000560D0000}"/>
    <cellStyle name="제목 4 2 2 2 2 2 2 3" xfId="4035" xr:uid="{00000000-0005-0000-0000-0000570D0000}"/>
    <cellStyle name="제목 4 2 2 2 2 2 3" xfId="4036" xr:uid="{00000000-0005-0000-0000-0000580D0000}"/>
    <cellStyle name="제목 4 2 2 2 2 3" xfId="4037" xr:uid="{00000000-0005-0000-0000-0000590D0000}"/>
    <cellStyle name="제목 4 2 2 2 2 4" xfId="4038" xr:uid="{00000000-0005-0000-0000-00005A0D0000}"/>
    <cellStyle name="제목 4 2 2 2 3" xfId="4039" xr:uid="{00000000-0005-0000-0000-00005B0D0000}"/>
    <cellStyle name="제목 4 2 2 2 4" xfId="4040" xr:uid="{00000000-0005-0000-0000-00005C0D0000}"/>
    <cellStyle name="제목 4 2 2 3" xfId="1769" xr:uid="{00000000-0005-0000-0000-00005D0D0000}"/>
    <cellStyle name="제목 4 2 2 4" xfId="4041" xr:uid="{00000000-0005-0000-0000-00005E0D0000}"/>
    <cellStyle name="제목 4 2 2 5" xfId="4042" xr:uid="{00000000-0005-0000-0000-00005F0D0000}"/>
    <cellStyle name="제목 4 2 2 6" xfId="4043" xr:uid="{00000000-0005-0000-0000-0000600D0000}"/>
    <cellStyle name="제목 4 2 3" xfId="1770" xr:uid="{00000000-0005-0000-0000-0000610D0000}"/>
    <cellStyle name="제목 4 2 3 2" xfId="4044" xr:uid="{00000000-0005-0000-0000-0000620D0000}"/>
    <cellStyle name="제목 4 2 3 3" xfId="4045" xr:uid="{00000000-0005-0000-0000-0000630D0000}"/>
    <cellStyle name="제목 4 2 4" xfId="1771" xr:uid="{00000000-0005-0000-0000-0000640D0000}"/>
    <cellStyle name="제목 4 2 5" xfId="4046" xr:uid="{00000000-0005-0000-0000-0000650D0000}"/>
    <cellStyle name="제목 4 2_1) 도로시설물" xfId="1772" xr:uid="{00000000-0005-0000-0000-0000660D0000}"/>
    <cellStyle name="제목 4 3" xfId="1773" xr:uid="{00000000-0005-0000-0000-0000670D0000}"/>
    <cellStyle name="제목 4 3 2" xfId="1774" xr:uid="{00000000-0005-0000-0000-0000680D0000}"/>
    <cellStyle name="제목 4 3 3" xfId="1775" xr:uid="{00000000-0005-0000-0000-0000690D0000}"/>
    <cellStyle name="제목 4 4" xfId="1776" xr:uid="{00000000-0005-0000-0000-00006A0D0000}"/>
    <cellStyle name="제목 4 5" xfId="1777" xr:uid="{00000000-0005-0000-0000-00006B0D0000}"/>
    <cellStyle name="제목 4 6" xfId="1778" xr:uid="{00000000-0005-0000-0000-00006C0D0000}"/>
    <cellStyle name="제목 4 6 10" xfId="4047" xr:uid="{00000000-0005-0000-0000-00006D0D0000}"/>
    <cellStyle name="제목 4 6 2" xfId="4048" xr:uid="{00000000-0005-0000-0000-00006E0D0000}"/>
    <cellStyle name="제목 4 6 3" xfId="4049" xr:uid="{00000000-0005-0000-0000-00006F0D0000}"/>
    <cellStyle name="제목 4 6 4" xfId="4050" xr:uid="{00000000-0005-0000-0000-0000700D0000}"/>
    <cellStyle name="제목 4 6 5" xfId="4051" xr:uid="{00000000-0005-0000-0000-0000710D0000}"/>
    <cellStyle name="제목 4 6 6" xfId="4052" xr:uid="{00000000-0005-0000-0000-0000720D0000}"/>
    <cellStyle name="제목 4 6 7" xfId="4053" xr:uid="{00000000-0005-0000-0000-0000730D0000}"/>
    <cellStyle name="제목 4 6 8" xfId="4054" xr:uid="{00000000-0005-0000-0000-0000740D0000}"/>
    <cellStyle name="제목 4 6 9" xfId="4055" xr:uid="{00000000-0005-0000-0000-0000750D0000}"/>
    <cellStyle name="제목 4 7" xfId="1779" xr:uid="{00000000-0005-0000-0000-0000760D0000}"/>
    <cellStyle name="제목 4 7 2" xfId="4056" xr:uid="{00000000-0005-0000-0000-0000770D0000}"/>
    <cellStyle name="제목 4 8" xfId="1780" xr:uid="{00000000-0005-0000-0000-0000780D0000}"/>
    <cellStyle name="제목 4 8 2" xfId="4057" xr:uid="{00000000-0005-0000-0000-0000790D0000}"/>
    <cellStyle name="제목 4 9" xfId="1781" xr:uid="{00000000-0005-0000-0000-00007A0D0000}"/>
    <cellStyle name="제목 40" xfId="1782" xr:uid="{00000000-0005-0000-0000-00007B0D0000}"/>
    <cellStyle name="제목 41" xfId="1783" xr:uid="{00000000-0005-0000-0000-00007C0D0000}"/>
    <cellStyle name="제목 42" xfId="1784" xr:uid="{00000000-0005-0000-0000-00007D0D0000}"/>
    <cellStyle name="제목 43" xfId="1785" xr:uid="{00000000-0005-0000-0000-00007E0D0000}"/>
    <cellStyle name="제목 44" xfId="1786" xr:uid="{00000000-0005-0000-0000-00007F0D0000}"/>
    <cellStyle name="제목 45" xfId="1787" xr:uid="{00000000-0005-0000-0000-0000800D0000}"/>
    <cellStyle name="제목 5" xfId="1788" xr:uid="{00000000-0005-0000-0000-0000810D0000}"/>
    <cellStyle name="제목 5 2" xfId="1789" xr:uid="{00000000-0005-0000-0000-0000820D0000}"/>
    <cellStyle name="제목 5 2 2" xfId="1790" xr:uid="{00000000-0005-0000-0000-0000830D0000}"/>
    <cellStyle name="제목 5 2 2 2" xfId="4058" xr:uid="{00000000-0005-0000-0000-0000840D0000}"/>
    <cellStyle name="제목 5 2 2 2 2" xfId="4059" xr:uid="{00000000-0005-0000-0000-0000850D0000}"/>
    <cellStyle name="제목 5 2 2 2 2 2" xfId="4060" xr:uid="{00000000-0005-0000-0000-0000860D0000}"/>
    <cellStyle name="제목 5 2 2 2 2 2 2" xfId="4061" xr:uid="{00000000-0005-0000-0000-0000870D0000}"/>
    <cellStyle name="제목 5 2 2 2 2 2 2 2" xfId="4062" xr:uid="{00000000-0005-0000-0000-0000880D0000}"/>
    <cellStyle name="제목 5 2 2 2 2 2 2 3" xfId="4063" xr:uid="{00000000-0005-0000-0000-0000890D0000}"/>
    <cellStyle name="제목 5 2 2 2 2 2 3" xfId="4064" xr:uid="{00000000-0005-0000-0000-00008A0D0000}"/>
    <cellStyle name="제목 5 2 2 2 2 3" xfId="4065" xr:uid="{00000000-0005-0000-0000-00008B0D0000}"/>
    <cellStyle name="제목 5 2 2 2 3" xfId="4066" xr:uid="{00000000-0005-0000-0000-00008C0D0000}"/>
    <cellStyle name="제목 5 2 2 2 4" xfId="4067" xr:uid="{00000000-0005-0000-0000-00008D0D0000}"/>
    <cellStyle name="제목 5 2 2 3" xfId="4068" xr:uid="{00000000-0005-0000-0000-00008E0D0000}"/>
    <cellStyle name="제목 5 2 2 4" xfId="4069" xr:uid="{00000000-0005-0000-0000-00008F0D0000}"/>
    <cellStyle name="제목 5 2 3" xfId="4070" xr:uid="{00000000-0005-0000-0000-0000900D0000}"/>
    <cellStyle name="제목 5 2 4" xfId="4071" xr:uid="{00000000-0005-0000-0000-0000910D0000}"/>
    <cellStyle name="제목 5 2 5" xfId="4072" xr:uid="{00000000-0005-0000-0000-0000920D0000}"/>
    <cellStyle name="제목 5 3" xfId="1791" xr:uid="{00000000-0005-0000-0000-0000930D0000}"/>
    <cellStyle name="제목 5 3 2" xfId="4073" xr:uid="{00000000-0005-0000-0000-0000940D0000}"/>
    <cellStyle name="제목 5 3 3" xfId="4074" xr:uid="{00000000-0005-0000-0000-0000950D0000}"/>
    <cellStyle name="제목 5 4" xfId="4075" xr:uid="{00000000-0005-0000-0000-0000960D0000}"/>
    <cellStyle name="제목 5 5" xfId="4076" xr:uid="{00000000-0005-0000-0000-0000970D0000}"/>
    <cellStyle name="제목 6" xfId="1792" xr:uid="{00000000-0005-0000-0000-0000980D0000}"/>
    <cellStyle name="제목 6 2" xfId="1793" xr:uid="{00000000-0005-0000-0000-0000990D0000}"/>
    <cellStyle name="제목 6 3" xfId="1794" xr:uid="{00000000-0005-0000-0000-00009A0D0000}"/>
    <cellStyle name="제목 7" xfId="1795" xr:uid="{00000000-0005-0000-0000-00009B0D0000}"/>
    <cellStyle name="제목 8" xfId="1796" xr:uid="{00000000-0005-0000-0000-00009C0D0000}"/>
    <cellStyle name="제목 9" xfId="1797" xr:uid="{00000000-0005-0000-0000-00009D0D0000}"/>
    <cellStyle name="제목 9 10" xfId="4077" xr:uid="{00000000-0005-0000-0000-00009E0D0000}"/>
    <cellStyle name="제목 9 2" xfId="4078" xr:uid="{00000000-0005-0000-0000-00009F0D0000}"/>
    <cellStyle name="제목 9 3" xfId="4079" xr:uid="{00000000-0005-0000-0000-0000A00D0000}"/>
    <cellStyle name="제목 9 4" xfId="4080" xr:uid="{00000000-0005-0000-0000-0000A10D0000}"/>
    <cellStyle name="제목 9 5" xfId="4081" xr:uid="{00000000-0005-0000-0000-0000A20D0000}"/>
    <cellStyle name="제목 9 6" xfId="4082" xr:uid="{00000000-0005-0000-0000-0000A30D0000}"/>
    <cellStyle name="제목 9 7" xfId="4083" xr:uid="{00000000-0005-0000-0000-0000A40D0000}"/>
    <cellStyle name="제목 9 8" xfId="4084" xr:uid="{00000000-0005-0000-0000-0000A50D0000}"/>
    <cellStyle name="제목 9 9" xfId="4085" xr:uid="{00000000-0005-0000-0000-0000A60D0000}"/>
    <cellStyle name="좋음 10" xfId="1798" xr:uid="{00000000-0005-0000-0000-0000A70D0000}"/>
    <cellStyle name="좋음 11" xfId="4086" xr:uid="{00000000-0005-0000-0000-0000A80D0000}"/>
    <cellStyle name="좋음 11 2" xfId="4087" xr:uid="{00000000-0005-0000-0000-0000A90D0000}"/>
    <cellStyle name="좋음 11 3" xfId="4088" xr:uid="{00000000-0005-0000-0000-0000AA0D0000}"/>
    <cellStyle name="좋음 11 4" xfId="4089" xr:uid="{00000000-0005-0000-0000-0000AB0D0000}"/>
    <cellStyle name="좋음 11 5" xfId="4090" xr:uid="{00000000-0005-0000-0000-0000AC0D0000}"/>
    <cellStyle name="좋음 11 6" xfId="4091" xr:uid="{00000000-0005-0000-0000-0000AD0D0000}"/>
    <cellStyle name="좋음 11 7" xfId="4092" xr:uid="{00000000-0005-0000-0000-0000AE0D0000}"/>
    <cellStyle name="좋음 2" xfId="1799" xr:uid="{00000000-0005-0000-0000-0000AF0D0000}"/>
    <cellStyle name="좋음 2 2" xfId="1800" xr:uid="{00000000-0005-0000-0000-0000B00D0000}"/>
    <cellStyle name="좋음 2 2 2" xfId="1801" xr:uid="{00000000-0005-0000-0000-0000B10D0000}"/>
    <cellStyle name="좋음 2 2 2 2" xfId="4093" xr:uid="{00000000-0005-0000-0000-0000B20D0000}"/>
    <cellStyle name="좋음 2 2 2 2 2" xfId="4094" xr:uid="{00000000-0005-0000-0000-0000B30D0000}"/>
    <cellStyle name="좋음 2 2 2 2 2 2" xfId="4095" xr:uid="{00000000-0005-0000-0000-0000B40D0000}"/>
    <cellStyle name="좋음 2 2 2 2 2 2 2" xfId="4096" xr:uid="{00000000-0005-0000-0000-0000B50D0000}"/>
    <cellStyle name="좋음 2 2 2 2 2 2 2 2" xfId="4097" xr:uid="{00000000-0005-0000-0000-0000B60D0000}"/>
    <cellStyle name="좋음 2 2 2 2 2 2 2 3" xfId="4098" xr:uid="{00000000-0005-0000-0000-0000B70D0000}"/>
    <cellStyle name="좋음 2 2 2 2 2 2 3" xfId="4099" xr:uid="{00000000-0005-0000-0000-0000B80D0000}"/>
    <cellStyle name="좋음 2 2 2 2 2 3" xfId="4100" xr:uid="{00000000-0005-0000-0000-0000B90D0000}"/>
    <cellStyle name="좋음 2 2 2 2 3" xfId="4101" xr:uid="{00000000-0005-0000-0000-0000BA0D0000}"/>
    <cellStyle name="좋음 2 2 2 2 4" xfId="4102" xr:uid="{00000000-0005-0000-0000-0000BB0D0000}"/>
    <cellStyle name="좋음 2 2 2 3" xfId="4103" xr:uid="{00000000-0005-0000-0000-0000BC0D0000}"/>
    <cellStyle name="좋음 2 2 2 4" xfId="4104" xr:uid="{00000000-0005-0000-0000-0000BD0D0000}"/>
    <cellStyle name="좋음 2 2 3" xfId="1802" xr:uid="{00000000-0005-0000-0000-0000BE0D0000}"/>
    <cellStyle name="좋음 2 2 4" xfId="4105" xr:uid="{00000000-0005-0000-0000-0000BF0D0000}"/>
    <cellStyle name="좋음 2 2 5" xfId="4106" xr:uid="{00000000-0005-0000-0000-0000C00D0000}"/>
    <cellStyle name="좋음 2 2 6" xfId="4107" xr:uid="{00000000-0005-0000-0000-0000C10D0000}"/>
    <cellStyle name="좋음 2 3" xfId="1803" xr:uid="{00000000-0005-0000-0000-0000C20D0000}"/>
    <cellStyle name="좋음 2 3 2" xfId="4108" xr:uid="{00000000-0005-0000-0000-0000C30D0000}"/>
    <cellStyle name="좋음 2 3 3" xfId="4109" xr:uid="{00000000-0005-0000-0000-0000C40D0000}"/>
    <cellStyle name="좋음 2 4" xfId="1804" xr:uid="{00000000-0005-0000-0000-0000C50D0000}"/>
    <cellStyle name="좋음 2 5" xfId="4110" xr:uid="{00000000-0005-0000-0000-0000C60D0000}"/>
    <cellStyle name="좋음 2_1) 도로시설물" xfId="1805" xr:uid="{00000000-0005-0000-0000-0000C70D0000}"/>
    <cellStyle name="좋음 3" xfId="1806" xr:uid="{00000000-0005-0000-0000-0000C80D0000}"/>
    <cellStyle name="좋음 3 2" xfId="1807" xr:uid="{00000000-0005-0000-0000-0000C90D0000}"/>
    <cellStyle name="좋음 3 2 2" xfId="1808" xr:uid="{00000000-0005-0000-0000-0000CA0D0000}"/>
    <cellStyle name="좋음 3 3" xfId="1809" xr:uid="{00000000-0005-0000-0000-0000CB0D0000}"/>
    <cellStyle name="좋음 4" xfId="1810" xr:uid="{00000000-0005-0000-0000-0000CC0D0000}"/>
    <cellStyle name="좋음 4 2" xfId="1811" xr:uid="{00000000-0005-0000-0000-0000CD0D0000}"/>
    <cellStyle name="좋음 4 3" xfId="1812" xr:uid="{00000000-0005-0000-0000-0000CE0D0000}"/>
    <cellStyle name="좋음 5" xfId="1813" xr:uid="{00000000-0005-0000-0000-0000CF0D0000}"/>
    <cellStyle name="좋음 5 2" xfId="1814" xr:uid="{00000000-0005-0000-0000-0000D00D0000}"/>
    <cellStyle name="좋음 6" xfId="1815" xr:uid="{00000000-0005-0000-0000-0000D10D0000}"/>
    <cellStyle name="좋음 6 10" xfId="4111" xr:uid="{00000000-0005-0000-0000-0000D20D0000}"/>
    <cellStyle name="좋음 6 2" xfId="4112" xr:uid="{00000000-0005-0000-0000-0000D30D0000}"/>
    <cellStyle name="좋음 6 3" xfId="4113" xr:uid="{00000000-0005-0000-0000-0000D40D0000}"/>
    <cellStyle name="좋음 6 4" xfId="4114" xr:uid="{00000000-0005-0000-0000-0000D50D0000}"/>
    <cellStyle name="좋음 6 5" xfId="4115" xr:uid="{00000000-0005-0000-0000-0000D60D0000}"/>
    <cellStyle name="좋음 6 6" xfId="4116" xr:uid="{00000000-0005-0000-0000-0000D70D0000}"/>
    <cellStyle name="좋음 6 7" xfId="4117" xr:uid="{00000000-0005-0000-0000-0000D80D0000}"/>
    <cellStyle name="좋음 6 8" xfId="4118" xr:uid="{00000000-0005-0000-0000-0000D90D0000}"/>
    <cellStyle name="좋음 6 9" xfId="4119" xr:uid="{00000000-0005-0000-0000-0000DA0D0000}"/>
    <cellStyle name="좋음 7" xfId="1816" xr:uid="{00000000-0005-0000-0000-0000DB0D0000}"/>
    <cellStyle name="좋음 7 2" xfId="4120" xr:uid="{00000000-0005-0000-0000-0000DC0D0000}"/>
    <cellStyle name="좋음 8" xfId="1817" xr:uid="{00000000-0005-0000-0000-0000DD0D0000}"/>
    <cellStyle name="좋음 8 2" xfId="4121" xr:uid="{00000000-0005-0000-0000-0000DE0D0000}"/>
    <cellStyle name="좋음 9" xfId="1818" xr:uid="{00000000-0005-0000-0000-0000DF0D0000}"/>
    <cellStyle name="쪽번호" xfId="1819" xr:uid="{00000000-0005-0000-0000-0000E00D0000}"/>
    <cellStyle name="쪽번호 2" xfId="1820" xr:uid="{00000000-0005-0000-0000-0000E10D0000}"/>
    <cellStyle name="출력 10" xfId="1821" xr:uid="{00000000-0005-0000-0000-0000E20D0000}"/>
    <cellStyle name="출력 11" xfId="4122" xr:uid="{00000000-0005-0000-0000-0000E30D0000}"/>
    <cellStyle name="출력 11 2" xfId="4123" xr:uid="{00000000-0005-0000-0000-0000E40D0000}"/>
    <cellStyle name="출력 11 3" xfId="4124" xr:uid="{00000000-0005-0000-0000-0000E50D0000}"/>
    <cellStyle name="출력 11 4" xfId="4125" xr:uid="{00000000-0005-0000-0000-0000E60D0000}"/>
    <cellStyle name="출력 11 5" xfId="4126" xr:uid="{00000000-0005-0000-0000-0000E70D0000}"/>
    <cellStyle name="출력 11 6" xfId="4127" xr:uid="{00000000-0005-0000-0000-0000E80D0000}"/>
    <cellStyle name="출력 11 7" xfId="4128" xr:uid="{00000000-0005-0000-0000-0000E90D0000}"/>
    <cellStyle name="출력 2" xfId="1822" xr:uid="{00000000-0005-0000-0000-0000EA0D0000}"/>
    <cellStyle name="출력 2 2" xfId="1823" xr:uid="{00000000-0005-0000-0000-0000EB0D0000}"/>
    <cellStyle name="출력 2 2 2" xfId="1824" xr:uid="{00000000-0005-0000-0000-0000EC0D0000}"/>
    <cellStyle name="출력 2 2 2 2" xfId="4129" xr:uid="{00000000-0005-0000-0000-0000ED0D0000}"/>
    <cellStyle name="출력 2 2 2 2 2" xfId="4130" xr:uid="{00000000-0005-0000-0000-0000EE0D0000}"/>
    <cellStyle name="출력 2 2 2 2 2 2" xfId="4131" xr:uid="{00000000-0005-0000-0000-0000EF0D0000}"/>
    <cellStyle name="출력 2 2 2 2 2 2 2" xfId="4132" xr:uid="{00000000-0005-0000-0000-0000F00D0000}"/>
    <cellStyle name="출력 2 2 2 2 2 2 2 2" xfId="4133" xr:uid="{00000000-0005-0000-0000-0000F10D0000}"/>
    <cellStyle name="출력 2 2 2 2 2 2 2 3" xfId="4134" xr:uid="{00000000-0005-0000-0000-0000F20D0000}"/>
    <cellStyle name="출력 2 2 2 2 2 2 3" xfId="4135" xr:uid="{00000000-0005-0000-0000-0000F30D0000}"/>
    <cellStyle name="출력 2 2 2 2 2 3" xfId="4136" xr:uid="{00000000-0005-0000-0000-0000F40D0000}"/>
    <cellStyle name="출력 2 2 2 2 3" xfId="4137" xr:uid="{00000000-0005-0000-0000-0000F50D0000}"/>
    <cellStyle name="출력 2 2 2 2 4" xfId="4138" xr:uid="{00000000-0005-0000-0000-0000F60D0000}"/>
    <cellStyle name="출력 2 2 2 3" xfId="4139" xr:uid="{00000000-0005-0000-0000-0000F70D0000}"/>
    <cellStyle name="출력 2 2 2 4" xfId="4140" xr:uid="{00000000-0005-0000-0000-0000F80D0000}"/>
    <cellStyle name="출력 2 2 3" xfId="1825" xr:uid="{00000000-0005-0000-0000-0000F90D0000}"/>
    <cellStyle name="출력 2 2 4" xfId="4141" xr:uid="{00000000-0005-0000-0000-0000FA0D0000}"/>
    <cellStyle name="출력 2 2 5" xfId="4142" xr:uid="{00000000-0005-0000-0000-0000FB0D0000}"/>
    <cellStyle name="출력 2 2 6" xfId="4143" xr:uid="{00000000-0005-0000-0000-0000FC0D0000}"/>
    <cellStyle name="출력 2 3" xfId="1826" xr:uid="{00000000-0005-0000-0000-0000FD0D0000}"/>
    <cellStyle name="출력 2 3 2" xfId="4144" xr:uid="{00000000-0005-0000-0000-0000FE0D0000}"/>
    <cellStyle name="출력 2 3 3" xfId="4145" xr:uid="{00000000-0005-0000-0000-0000FF0D0000}"/>
    <cellStyle name="출력 2 4" xfId="1827" xr:uid="{00000000-0005-0000-0000-0000000E0000}"/>
    <cellStyle name="출력 2 5" xfId="4146" xr:uid="{00000000-0005-0000-0000-0000010E0000}"/>
    <cellStyle name="출력 2_1) 도로시설물" xfId="1828" xr:uid="{00000000-0005-0000-0000-0000020E0000}"/>
    <cellStyle name="출력 3" xfId="1829" xr:uid="{00000000-0005-0000-0000-0000030E0000}"/>
    <cellStyle name="출력 3 2" xfId="1830" xr:uid="{00000000-0005-0000-0000-0000040E0000}"/>
    <cellStyle name="출력 3 2 2" xfId="1831" xr:uid="{00000000-0005-0000-0000-0000050E0000}"/>
    <cellStyle name="출력 3 3" xfId="1832" xr:uid="{00000000-0005-0000-0000-0000060E0000}"/>
    <cellStyle name="출력 4" xfId="1833" xr:uid="{00000000-0005-0000-0000-0000070E0000}"/>
    <cellStyle name="출력 4 2" xfId="1834" xr:uid="{00000000-0005-0000-0000-0000080E0000}"/>
    <cellStyle name="출력 4 3" xfId="1835" xr:uid="{00000000-0005-0000-0000-0000090E0000}"/>
    <cellStyle name="출력 5" xfId="1836" xr:uid="{00000000-0005-0000-0000-00000A0E0000}"/>
    <cellStyle name="출력 5 2" xfId="1837" xr:uid="{00000000-0005-0000-0000-00000B0E0000}"/>
    <cellStyle name="출력 6" xfId="1838" xr:uid="{00000000-0005-0000-0000-00000C0E0000}"/>
    <cellStyle name="출력 6 10" xfId="4147" xr:uid="{00000000-0005-0000-0000-00000D0E0000}"/>
    <cellStyle name="출력 6 2" xfId="4148" xr:uid="{00000000-0005-0000-0000-00000E0E0000}"/>
    <cellStyle name="출력 6 3" xfId="4149" xr:uid="{00000000-0005-0000-0000-00000F0E0000}"/>
    <cellStyle name="출력 6 4" xfId="4150" xr:uid="{00000000-0005-0000-0000-0000100E0000}"/>
    <cellStyle name="출력 6 5" xfId="4151" xr:uid="{00000000-0005-0000-0000-0000110E0000}"/>
    <cellStyle name="출력 6 6" xfId="4152" xr:uid="{00000000-0005-0000-0000-0000120E0000}"/>
    <cellStyle name="출력 6 7" xfId="4153" xr:uid="{00000000-0005-0000-0000-0000130E0000}"/>
    <cellStyle name="출력 6 8" xfId="4154" xr:uid="{00000000-0005-0000-0000-0000140E0000}"/>
    <cellStyle name="출력 6 9" xfId="4155" xr:uid="{00000000-0005-0000-0000-0000150E0000}"/>
    <cellStyle name="출력 7" xfId="1839" xr:uid="{00000000-0005-0000-0000-0000160E0000}"/>
    <cellStyle name="출력 7 2" xfId="4156" xr:uid="{00000000-0005-0000-0000-0000170E0000}"/>
    <cellStyle name="출력 8" xfId="1840" xr:uid="{00000000-0005-0000-0000-0000180E0000}"/>
    <cellStyle name="출력 8 2" xfId="4157" xr:uid="{00000000-0005-0000-0000-0000190E0000}"/>
    <cellStyle name="출력 9" xfId="1841" xr:uid="{00000000-0005-0000-0000-00001A0E0000}"/>
    <cellStyle name="콤마 [0]_(월초P)" xfId="1842" xr:uid="{00000000-0005-0000-0000-00001B0E0000}"/>
    <cellStyle name="콤마 [0]_해안선및도서" xfId="4459" xr:uid="{00000000-0005-0000-0000-00001C0E0000}"/>
    <cellStyle name="콤마_(type)총괄" xfId="1843" xr:uid="{00000000-0005-0000-0000-00001D0E0000}"/>
    <cellStyle name="통화 [0] 2" xfId="1844" xr:uid="{00000000-0005-0000-0000-00001E0E0000}"/>
    <cellStyle name="통화 [0] 2 2" xfId="1845" xr:uid="{00000000-0005-0000-0000-00001F0E0000}"/>
    <cellStyle name="통화 [0] 2 3" xfId="1846" xr:uid="{00000000-0005-0000-0000-0000200E0000}"/>
    <cellStyle name="통화 [0] 3" xfId="1847" xr:uid="{00000000-0005-0000-0000-0000210E0000}"/>
    <cellStyle name="통화 [0] 3 2" xfId="1848" xr:uid="{00000000-0005-0000-0000-0000220E0000}"/>
    <cellStyle name="통화 [0] 3 2 2" xfId="4448" xr:uid="{00000000-0005-0000-0000-0000230E0000}"/>
    <cellStyle name="통화 [0] 3 2 2 2" xfId="4905" xr:uid="{00000000-0005-0000-0000-0000230E0000}"/>
    <cellStyle name="통화 [0] 3 2 3" xfId="4678" xr:uid="{00000000-0005-0000-0000-0000220E0000}"/>
    <cellStyle name="통화 [0] 3 3" xfId="4447" xr:uid="{00000000-0005-0000-0000-0000240E0000}"/>
    <cellStyle name="통화 [0] 3 3 2" xfId="4904" xr:uid="{00000000-0005-0000-0000-0000240E0000}"/>
    <cellStyle name="통화 [0] 3 4" xfId="4677" xr:uid="{00000000-0005-0000-0000-0000210E0000}"/>
    <cellStyle name="통화 [0] 4" xfId="1849" xr:uid="{00000000-0005-0000-0000-0000250E0000}"/>
    <cellStyle name="통화 [0] 4 2" xfId="4449" xr:uid="{00000000-0005-0000-0000-0000260E0000}"/>
    <cellStyle name="통화 [0] 4 2 2" xfId="4906" xr:uid="{00000000-0005-0000-0000-0000260E0000}"/>
    <cellStyle name="통화 [0] 4 3" xfId="4679" xr:uid="{00000000-0005-0000-0000-0000250E0000}"/>
    <cellStyle name="퍼센트" xfId="1850" xr:uid="{00000000-0005-0000-0000-0000270E0000}"/>
    <cellStyle name="퍼센트 2" xfId="1851" xr:uid="{00000000-0005-0000-0000-0000280E0000}"/>
    <cellStyle name="표준" xfId="0" builtinId="0"/>
    <cellStyle name="표준 10" xfId="1852" xr:uid="{00000000-0005-0000-0000-00002A0E0000}"/>
    <cellStyle name="표준 10 2" xfId="1853" xr:uid="{00000000-0005-0000-0000-00002B0E0000}"/>
    <cellStyle name="표준 10 2 2" xfId="1854" xr:uid="{00000000-0005-0000-0000-00002C0E0000}"/>
    <cellStyle name="표준 10 2 3" xfId="1855" xr:uid="{00000000-0005-0000-0000-00002D0E0000}"/>
    <cellStyle name="표준 10 3" xfId="1856" xr:uid="{00000000-0005-0000-0000-00002E0E0000}"/>
    <cellStyle name="표준 10 4" xfId="1857" xr:uid="{00000000-0005-0000-0000-00002F0E0000}"/>
    <cellStyle name="표준 10 5" xfId="2614" xr:uid="{00000000-0005-0000-0000-0000300E0000}"/>
    <cellStyle name="표준 10 6" xfId="4158" xr:uid="{00000000-0005-0000-0000-0000310E0000}"/>
    <cellStyle name="표준 10 7" xfId="4159" xr:uid="{00000000-0005-0000-0000-0000320E0000}"/>
    <cellStyle name="표준 100" xfId="1858" xr:uid="{00000000-0005-0000-0000-0000330E0000}"/>
    <cellStyle name="표준 100 2" xfId="1859" xr:uid="{00000000-0005-0000-0000-0000340E0000}"/>
    <cellStyle name="표준 100 3" xfId="4160" xr:uid="{00000000-0005-0000-0000-0000350E0000}"/>
    <cellStyle name="표준 101" xfId="1860" xr:uid="{00000000-0005-0000-0000-0000360E0000}"/>
    <cellStyle name="표준 101 2" xfId="1861" xr:uid="{00000000-0005-0000-0000-0000370E0000}"/>
    <cellStyle name="표준 101 3" xfId="4161" xr:uid="{00000000-0005-0000-0000-0000380E0000}"/>
    <cellStyle name="표준 102" xfId="1862" xr:uid="{00000000-0005-0000-0000-0000390E0000}"/>
    <cellStyle name="표준 102 2" xfId="1863" xr:uid="{00000000-0005-0000-0000-00003A0E0000}"/>
    <cellStyle name="표준 102 3" xfId="1864" xr:uid="{00000000-0005-0000-0000-00003B0E0000}"/>
    <cellStyle name="표준 103" xfId="1865" xr:uid="{00000000-0005-0000-0000-00003C0E0000}"/>
    <cellStyle name="표준 103 2" xfId="1866" xr:uid="{00000000-0005-0000-0000-00003D0E0000}"/>
    <cellStyle name="표준 104" xfId="1867" xr:uid="{00000000-0005-0000-0000-00003E0E0000}"/>
    <cellStyle name="표준 104 2" xfId="1868" xr:uid="{00000000-0005-0000-0000-00003F0E0000}"/>
    <cellStyle name="표준 105" xfId="1869" xr:uid="{00000000-0005-0000-0000-0000400E0000}"/>
    <cellStyle name="표준 105 2" xfId="1870" xr:uid="{00000000-0005-0000-0000-0000410E0000}"/>
    <cellStyle name="표준 106" xfId="1871" xr:uid="{00000000-0005-0000-0000-0000420E0000}"/>
    <cellStyle name="표준 106 2" xfId="1872" xr:uid="{00000000-0005-0000-0000-0000430E0000}"/>
    <cellStyle name="표준 107" xfId="1873" xr:uid="{00000000-0005-0000-0000-0000440E0000}"/>
    <cellStyle name="표준 107 2" xfId="1874" xr:uid="{00000000-0005-0000-0000-0000450E0000}"/>
    <cellStyle name="표준 108" xfId="1875" xr:uid="{00000000-0005-0000-0000-0000460E0000}"/>
    <cellStyle name="표준 108 2" xfId="1876" xr:uid="{00000000-0005-0000-0000-0000470E0000}"/>
    <cellStyle name="표준 109" xfId="1877" xr:uid="{00000000-0005-0000-0000-0000480E0000}"/>
    <cellStyle name="표준 109 2" xfId="1878" xr:uid="{00000000-0005-0000-0000-0000490E0000}"/>
    <cellStyle name="표준 11" xfId="1879" xr:uid="{00000000-0005-0000-0000-00004A0E0000}"/>
    <cellStyle name="표준 11 2" xfId="1880" xr:uid="{00000000-0005-0000-0000-00004B0E0000}"/>
    <cellStyle name="표준 11 2 2" xfId="1881" xr:uid="{00000000-0005-0000-0000-00004C0E0000}"/>
    <cellStyle name="표준 11 3" xfId="1882" xr:uid="{00000000-0005-0000-0000-00004D0E0000}"/>
    <cellStyle name="표준 11 4" xfId="1883" xr:uid="{00000000-0005-0000-0000-00004E0E0000}"/>
    <cellStyle name="표준 110" xfId="1884" xr:uid="{00000000-0005-0000-0000-00004F0E0000}"/>
    <cellStyle name="표준 111" xfId="1885" xr:uid="{00000000-0005-0000-0000-0000500E0000}"/>
    <cellStyle name="표준 111 2" xfId="1886" xr:uid="{00000000-0005-0000-0000-0000510E0000}"/>
    <cellStyle name="표준 112" xfId="1887" xr:uid="{00000000-0005-0000-0000-0000520E0000}"/>
    <cellStyle name="표준 112 2" xfId="1888" xr:uid="{00000000-0005-0000-0000-0000530E0000}"/>
    <cellStyle name="표준 113" xfId="1889" xr:uid="{00000000-0005-0000-0000-0000540E0000}"/>
    <cellStyle name="표준 114" xfId="1890" xr:uid="{00000000-0005-0000-0000-0000550E0000}"/>
    <cellStyle name="표준 115" xfId="1891" xr:uid="{00000000-0005-0000-0000-0000560E0000}"/>
    <cellStyle name="표준 116" xfId="1892" xr:uid="{00000000-0005-0000-0000-0000570E0000}"/>
    <cellStyle name="표준 117" xfId="1893" xr:uid="{00000000-0005-0000-0000-0000580E0000}"/>
    <cellStyle name="표준 118" xfId="1894" xr:uid="{00000000-0005-0000-0000-0000590E0000}"/>
    <cellStyle name="표준 119" xfId="1895" xr:uid="{00000000-0005-0000-0000-00005A0E0000}"/>
    <cellStyle name="표준 12" xfId="1896" xr:uid="{00000000-0005-0000-0000-00005B0E0000}"/>
    <cellStyle name="표준 12 2" xfId="1897" xr:uid="{00000000-0005-0000-0000-00005C0E0000}"/>
    <cellStyle name="표준 12 2 2" xfId="1898" xr:uid="{00000000-0005-0000-0000-00005D0E0000}"/>
    <cellStyle name="표준 12 3" xfId="1899" xr:uid="{00000000-0005-0000-0000-00005E0E0000}"/>
    <cellStyle name="표준 12 4" xfId="1900" xr:uid="{00000000-0005-0000-0000-00005F0E0000}"/>
    <cellStyle name="표준 120" xfId="1901" xr:uid="{00000000-0005-0000-0000-0000600E0000}"/>
    <cellStyle name="표준 121" xfId="1902" xr:uid="{00000000-0005-0000-0000-0000610E0000}"/>
    <cellStyle name="표준 122" xfId="1903" xr:uid="{00000000-0005-0000-0000-0000620E0000}"/>
    <cellStyle name="표준 123" xfId="1904" xr:uid="{00000000-0005-0000-0000-0000630E0000}"/>
    <cellStyle name="표준 124" xfId="1905" xr:uid="{00000000-0005-0000-0000-0000640E0000}"/>
    <cellStyle name="표준 125" xfId="1906" xr:uid="{00000000-0005-0000-0000-0000650E0000}"/>
    <cellStyle name="표준 126" xfId="1907" xr:uid="{00000000-0005-0000-0000-0000660E0000}"/>
    <cellStyle name="표준 127" xfId="1908" xr:uid="{00000000-0005-0000-0000-0000670E0000}"/>
    <cellStyle name="표준 128" xfId="1909" xr:uid="{00000000-0005-0000-0000-0000680E0000}"/>
    <cellStyle name="표준 129" xfId="1910" xr:uid="{00000000-0005-0000-0000-0000690E0000}"/>
    <cellStyle name="표준 13" xfId="1911" xr:uid="{00000000-0005-0000-0000-00006A0E0000}"/>
    <cellStyle name="표준 13 2" xfId="1912" xr:uid="{00000000-0005-0000-0000-00006B0E0000}"/>
    <cellStyle name="표준 13 3" xfId="1913" xr:uid="{00000000-0005-0000-0000-00006C0E0000}"/>
    <cellStyle name="표준 130" xfId="2606" xr:uid="{00000000-0005-0000-0000-00006D0E0000}"/>
    <cellStyle name="표준 14" xfId="1914" xr:uid="{00000000-0005-0000-0000-00006E0E0000}"/>
    <cellStyle name="표준 14 2" xfId="1915" xr:uid="{00000000-0005-0000-0000-00006F0E0000}"/>
    <cellStyle name="표준 14 3" xfId="1916" xr:uid="{00000000-0005-0000-0000-0000700E0000}"/>
    <cellStyle name="표준 15" xfId="1917" xr:uid="{00000000-0005-0000-0000-0000710E0000}"/>
    <cellStyle name="표준 15 2" xfId="1918" xr:uid="{00000000-0005-0000-0000-0000720E0000}"/>
    <cellStyle name="표준 15 2 2" xfId="1919" xr:uid="{00000000-0005-0000-0000-0000730E0000}"/>
    <cellStyle name="표준 15 3" xfId="1920" xr:uid="{00000000-0005-0000-0000-0000740E0000}"/>
    <cellStyle name="표준 16" xfId="1921" xr:uid="{00000000-0005-0000-0000-0000750E0000}"/>
    <cellStyle name="표준 16 2" xfId="1922" xr:uid="{00000000-0005-0000-0000-0000760E0000}"/>
    <cellStyle name="표준 16 3" xfId="1923" xr:uid="{00000000-0005-0000-0000-0000770E0000}"/>
    <cellStyle name="표준 17" xfId="1924" xr:uid="{00000000-0005-0000-0000-0000780E0000}"/>
    <cellStyle name="표준 17 2" xfId="1925" xr:uid="{00000000-0005-0000-0000-0000790E0000}"/>
    <cellStyle name="표준 17 3" xfId="1926" xr:uid="{00000000-0005-0000-0000-00007A0E0000}"/>
    <cellStyle name="표준 18" xfId="1927" xr:uid="{00000000-0005-0000-0000-00007B0E0000}"/>
    <cellStyle name="표준 18 2" xfId="1928" xr:uid="{00000000-0005-0000-0000-00007C0E0000}"/>
    <cellStyle name="표준 18 3" xfId="1929" xr:uid="{00000000-0005-0000-0000-00007D0E0000}"/>
    <cellStyle name="표준 19" xfId="1930" xr:uid="{00000000-0005-0000-0000-00007E0E0000}"/>
    <cellStyle name="표준 19 2" xfId="1931" xr:uid="{00000000-0005-0000-0000-00007F0E0000}"/>
    <cellStyle name="표준 19 2 2" xfId="1932" xr:uid="{00000000-0005-0000-0000-0000800E0000}"/>
    <cellStyle name="표준 19 3" xfId="1933" xr:uid="{00000000-0005-0000-0000-0000810E0000}"/>
    <cellStyle name="표준 19 3 2" xfId="1934" xr:uid="{00000000-0005-0000-0000-0000820E0000}"/>
    <cellStyle name="표준 19 4" xfId="1935" xr:uid="{00000000-0005-0000-0000-0000830E0000}"/>
    <cellStyle name="표준 19 4 2" xfId="1936" xr:uid="{00000000-0005-0000-0000-0000840E0000}"/>
    <cellStyle name="표준 19 5" xfId="1937" xr:uid="{00000000-0005-0000-0000-0000850E0000}"/>
    <cellStyle name="표준 19 6" xfId="1938" xr:uid="{00000000-0005-0000-0000-0000860E0000}"/>
    <cellStyle name="표준 19_14-16.공공도서관" xfId="1939" xr:uid="{00000000-0005-0000-0000-0000870E0000}"/>
    <cellStyle name="표준 2" xfId="1940" xr:uid="{00000000-0005-0000-0000-0000880E0000}"/>
    <cellStyle name="표준 2 10" xfId="1941" xr:uid="{00000000-0005-0000-0000-0000890E0000}"/>
    <cellStyle name="표준 2 10 2" xfId="1942" xr:uid="{00000000-0005-0000-0000-00008A0E0000}"/>
    <cellStyle name="표준 2 11" xfId="1943" xr:uid="{00000000-0005-0000-0000-00008B0E0000}"/>
    <cellStyle name="표준 2 11 2" xfId="1944" xr:uid="{00000000-0005-0000-0000-00008C0E0000}"/>
    <cellStyle name="표준 2 11 3" xfId="1945" xr:uid="{00000000-0005-0000-0000-00008D0E0000}"/>
    <cellStyle name="표준 2 12" xfId="1946" xr:uid="{00000000-0005-0000-0000-00008E0E0000}"/>
    <cellStyle name="표준 2 12 2" xfId="1947" xr:uid="{00000000-0005-0000-0000-00008F0E0000}"/>
    <cellStyle name="표준 2 13" xfId="1948" xr:uid="{00000000-0005-0000-0000-0000900E0000}"/>
    <cellStyle name="표준 2 13 2" xfId="1949" xr:uid="{00000000-0005-0000-0000-0000910E0000}"/>
    <cellStyle name="표준 2 14" xfId="1950" xr:uid="{00000000-0005-0000-0000-0000920E0000}"/>
    <cellStyle name="표준 2 14 2" xfId="1951" xr:uid="{00000000-0005-0000-0000-0000930E0000}"/>
    <cellStyle name="표준 2 15" xfId="1952" xr:uid="{00000000-0005-0000-0000-0000940E0000}"/>
    <cellStyle name="표준 2 15 2" xfId="1953" xr:uid="{00000000-0005-0000-0000-0000950E0000}"/>
    <cellStyle name="표준 2 16" xfId="1954" xr:uid="{00000000-0005-0000-0000-0000960E0000}"/>
    <cellStyle name="표준 2 17" xfId="1955" xr:uid="{00000000-0005-0000-0000-0000970E0000}"/>
    <cellStyle name="표준 2 18" xfId="1956" xr:uid="{00000000-0005-0000-0000-0000980E0000}"/>
    <cellStyle name="표준 2 19" xfId="1957" xr:uid="{00000000-0005-0000-0000-0000990E0000}"/>
    <cellStyle name="표준 2 2" xfId="2" xr:uid="{00000000-0005-0000-0000-00009A0E0000}"/>
    <cellStyle name="표준 2 2 2" xfId="1958" xr:uid="{00000000-0005-0000-0000-00009B0E0000}"/>
    <cellStyle name="표준 2 2 2 2" xfId="1959" xr:uid="{00000000-0005-0000-0000-00009C0E0000}"/>
    <cellStyle name="표준 2 2 2 2 2" xfId="4162" xr:uid="{00000000-0005-0000-0000-00009D0E0000}"/>
    <cellStyle name="표준 2 2 2 3" xfId="1960" xr:uid="{00000000-0005-0000-0000-00009E0E0000}"/>
    <cellStyle name="표준 2 2 2 4" xfId="4163" xr:uid="{00000000-0005-0000-0000-00009F0E0000}"/>
    <cellStyle name="표준 2 2 2 5" xfId="4164" xr:uid="{00000000-0005-0000-0000-0000A00E0000}"/>
    <cellStyle name="표준 2 2 3" xfId="1961" xr:uid="{00000000-0005-0000-0000-0000A10E0000}"/>
    <cellStyle name="표준 2 2 3 2" xfId="1962" xr:uid="{00000000-0005-0000-0000-0000A20E0000}"/>
    <cellStyle name="표준 2 2 4" xfId="1963" xr:uid="{00000000-0005-0000-0000-0000A30E0000}"/>
    <cellStyle name="표준 2 2 5" xfId="1964" xr:uid="{00000000-0005-0000-0000-0000A40E0000}"/>
    <cellStyle name="표준 2 2 6" xfId="4165" xr:uid="{00000000-0005-0000-0000-0000A50E0000}"/>
    <cellStyle name="표준 2 2_1) 도로시설물" xfId="1965" xr:uid="{00000000-0005-0000-0000-0000A60E0000}"/>
    <cellStyle name="표준 2 20" xfId="1966" xr:uid="{00000000-0005-0000-0000-0000A70E0000}"/>
    <cellStyle name="표준 2 21" xfId="1967" xr:uid="{00000000-0005-0000-0000-0000A80E0000}"/>
    <cellStyle name="표준 2 22" xfId="1968" xr:uid="{00000000-0005-0000-0000-0000A90E0000}"/>
    <cellStyle name="표준 2 23" xfId="1969" xr:uid="{00000000-0005-0000-0000-0000AA0E0000}"/>
    <cellStyle name="표준 2 24" xfId="1970" xr:uid="{00000000-0005-0000-0000-0000AB0E0000}"/>
    <cellStyle name="표준 2 3" xfId="1971" xr:uid="{00000000-0005-0000-0000-0000AC0E0000}"/>
    <cellStyle name="표준 2 3 2" xfId="1972" xr:uid="{00000000-0005-0000-0000-0000AD0E0000}"/>
    <cellStyle name="표준 2 3 2 2" xfId="1973" xr:uid="{00000000-0005-0000-0000-0000AE0E0000}"/>
    <cellStyle name="표준 2 3 3" xfId="1974" xr:uid="{00000000-0005-0000-0000-0000AF0E0000}"/>
    <cellStyle name="표준 2 3 4" xfId="4166" xr:uid="{00000000-0005-0000-0000-0000B00E0000}"/>
    <cellStyle name="표준 2 3 5" xfId="4167" xr:uid="{00000000-0005-0000-0000-0000B10E0000}"/>
    <cellStyle name="표준 2 4" xfId="1975" xr:uid="{00000000-0005-0000-0000-0000B20E0000}"/>
    <cellStyle name="표준 2 4 2" xfId="1976" xr:uid="{00000000-0005-0000-0000-0000B30E0000}"/>
    <cellStyle name="표준 2 4 3" xfId="2615" xr:uid="{00000000-0005-0000-0000-0000B40E0000}"/>
    <cellStyle name="표준 2 5" xfId="1977" xr:uid="{00000000-0005-0000-0000-0000B50E0000}"/>
    <cellStyle name="표준 2 5 2" xfId="1978" xr:uid="{00000000-0005-0000-0000-0000B60E0000}"/>
    <cellStyle name="표준 2 5 2 2" xfId="1979" xr:uid="{00000000-0005-0000-0000-0000B70E0000}"/>
    <cellStyle name="표준 2 5 3" xfId="1980" xr:uid="{00000000-0005-0000-0000-0000B80E0000}"/>
    <cellStyle name="표준 2 5 4" xfId="1981" xr:uid="{00000000-0005-0000-0000-0000B90E0000}"/>
    <cellStyle name="표준 2 5 5" xfId="1982" xr:uid="{00000000-0005-0000-0000-0000BA0E0000}"/>
    <cellStyle name="표준 2 6" xfId="1983" xr:uid="{00000000-0005-0000-0000-0000BB0E0000}"/>
    <cellStyle name="표준 2 6 2" xfId="1984" xr:uid="{00000000-0005-0000-0000-0000BC0E0000}"/>
    <cellStyle name="표준 2 7" xfId="1985" xr:uid="{00000000-0005-0000-0000-0000BD0E0000}"/>
    <cellStyle name="표준 2 7 2" xfId="1986" xr:uid="{00000000-0005-0000-0000-0000BE0E0000}"/>
    <cellStyle name="표준 2 8" xfId="1987" xr:uid="{00000000-0005-0000-0000-0000BF0E0000}"/>
    <cellStyle name="표준 2 8 2" xfId="1988" xr:uid="{00000000-0005-0000-0000-0000C00E0000}"/>
    <cellStyle name="표준 2 9" xfId="1989" xr:uid="{00000000-0005-0000-0000-0000C10E0000}"/>
    <cellStyle name="표준 2 9 2" xfId="1990" xr:uid="{00000000-0005-0000-0000-0000C20E0000}"/>
    <cellStyle name="표준 2_(완료)통계연보자료_사업체(출판인쇄기록매체등)이병우" xfId="1991" xr:uid="{00000000-0005-0000-0000-0000C30E0000}"/>
    <cellStyle name="표준 20" xfId="1992" xr:uid="{00000000-0005-0000-0000-0000C40E0000}"/>
    <cellStyle name="표준 20 2" xfId="1993" xr:uid="{00000000-0005-0000-0000-0000C50E0000}"/>
    <cellStyle name="표준 20 3" xfId="1994" xr:uid="{00000000-0005-0000-0000-0000C60E0000}"/>
    <cellStyle name="표준 20 4" xfId="1995" xr:uid="{00000000-0005-0000-0000-0000C70E0000}"/>
    <cellStyle name="표준 20 5" xfId="1996" xr:uid="{00000000-0005-0000-0000-0000C80E0000}"/>
    <cellStyle name="표준 20 6" xfId="1997" xr:uid="{00000000-0005-0000-0000-0000C90E0000}"/>
    <cellStyle name="표준 20 7" xfId="1998" xr:uid="{00000000-0005-0000-0000-0000CA0E0000}"/>
    <cellStyle name="표준 21" xfId="1999" xr:uid="{00000000-0005-0000-0000-0000CB0E0000}"/>
    <cellStyle name="표준 21 2" xfId="2000" xr:uid="{00000000-0005-0000-0000-0000CC0E0000}"/>
    <cellStyle name="표준 21 3" xfId="2001" xr:uid="{00000000-0005-0000-0000-0000CD0E0000}"/>
    <cellStyle name="표준 21 4" xfId="2002" xr:uid="{00000000-0005-0000-0000-0000CE0E0000}"/>
    <cellStyle name="표준 21 5" xfId="2003" xr:uid="{00000000-0005-0000-0000-0000CF0E0000}"/>
    <cellStyle name="표준 21 6" xfId="2004" xr:uid="{00000000-0005-0000-0000-0000D00E0000}"/>
    <cellStyle name="표준 21 7" xfId="2005" xr:uid="{00000000-0005-0000-0000-0000D10E0000}"/>
    <cellStyle name="표준 22" xfId="2006" xr:uid="{00000000-0005-0000-0000-0000D20E0000}"/>
    <cellStyle name="표준 22 2" xfId="2007" xr:uid="{00000000-0005-0000-0000-0000D30E0000}"/>
    <cellStyle name="표준 22 3" xfId="2008" xr:uid="{00000000-0005-0000-0000-0000D40E0000}"/>
    <cellStyle name="표준 22 4" xfId="2009" xr:uid="{00000000-0005-0000-0000-0000D50E0000}"/>
    <cellStyle name="표준 22 5" xfId="2010" xr:uid="{00000000-0005-0000-0000-0000D60E0000}"/>
    <cellStyle name="표준 22 6" xfId="2011" xr:uid="{00000000-0005-0000-0000-0000D70E0000}"/>
    <cellStyle name="표준 23" xfId="2012" xr:uid="{00000000-0005-0000-0000-0000D80E0000}"/>
    <cellStyle name="표준 23 2" xfId="2013" xr:uid="{00000000-0005-0000-0000-0000D90E0000}"/>
    <cellStyle name="표준 24" xfId="2014" xr:uid="{00000000-0005-0000-0000-0000DA0E0000}"/>
    <cellStyle name="표준 24 2" xfId="2015" xr:uid="{00000000-0005-0000-0000-0000DB0E0000}"/>
    <cellStyle name="표준 25" xfId="2016" xr:uid="{00000000-0005-0000-0000-0000DC0E0000}"/>
    <cellStyle name="표준 25 2" xfId="2017" xr:uid="{00000000-0005-0000-0000-0000DD0E0000}"/>
    <cellStyle name="표준 25 2 2" xfId="2018" xr:uid="{00000000-0005-0000-0000-0000DE0E0000}"/>
    <cellStyle name="표준 25 3" xfId="2019" xr:uid="{00000000-0005-0000-0000-0000DF0E0000}"/>
    <cellStyle name="표준 256" xfId="2020" xr:uid="{00000000-0005-0000-0000-0000E00E0000}"/>
    <cellStyle name="표준 257" xfId="2021" xr:uid="{00000000-0005-0000-0000-0000E10E0000}"/>
    <cellStyle name="표준 258" xfId="2022" xr:uid="{00000000-0005-0000-0000-0000E20E0000}"/>
    <cellStyle name="표준 259" xfId="2023" xr:uid="{00000000-0005-0000-0000-0000E30E0000}"/>
    <cellStyle name="표준 26" xfId="2024" xr:uid="{00000000-0005-0000-0000-0000E40E0000}"/>
    <cellStyle name="표준 26 2" xfId="2025" xr:uid="{00000000-0005-0000-0000-0000E50E0000}"/>
    <cellStyle name="표준 26 2 2" xfId="2026" xr:uid="{00000000-0005-0000-0000-0000E60E0000}"/>
    <cellStyle name="표준 26 3" xfId="2027" xr:uid="{00000000-0005-0000-0000-0000E70E0000}"/>
    <cellStyle name="표준 260" xfId="2028" xr:uid="{00000000-0005-0000-0000-0000E80E0000}"/>
    <cellStyle name="표준 261" xfId="2029" xr:uid="{00000000-0005-0000-0000-0000E90E0000}"/>
    <cellStyle name="표준 262" xfId="2030" xr:uid="{00000000-0005-0000-0000-0000EA0E0000}"/>
    <cellStyle name="표준 263" xfId="2031" xr:uid="{00000000-0005-0000-0000-0000EB0E0000}"/>
    <cellStyle name="표준 264" xfId="2032" xr:uid="{00000000-0005-0000-0000-0000EC0E0000}"/>
    <cellStyle name="표준 265" xfId="2033" xr:uid="{00000000-0005-0000-0000-0000ED0E0000}"/>
    <cellStyle name="표준 266" xfId="2034" xr:uid="{00000000-0005-0000-0000-0000EE0E0000}"/>
    <cellStyle name="표준 267" xfId="2035" xr:uid="{00000000-0005-0000-0000-0000EF0E0000}"/>
    <cellStyle name="표준 268" xfId="2036" xr:uid="{00000000-0005-0000-0000-0000F00E0000}"/>
    <cellStyle name="표준 269" xfId="2037" xr:uid="{00000000-0005-0000-0000-0000F10E0000}"/>
    <cellStyle name="표준 27" xfId="2038" xr:uid="{00000000-0005-0000-0000-0000F20E0000}"/>
    <cellStyle name="표준 27 2" xfId="2039" xr:uid="{00000000-0005-0000-0000-0000F30E0000}"/>
    <cellStyle name="표준 27 2 2" xfId="2040" xr:uid="{00000000-0005-0000-0000-0000F40E0000}"/>
    <cellStyle name="표준 27 2 2 2" xfId="2041" xr:uid="{00000000-0005-0000-0000-0000F50E0000}"/>
    <cellStyle name="표준 27 2 3" xfId="2042" xr:uid="{00000000-0005-0000-0000-0000F60E0000}"/>
    <cellStyle name="표준 27 2 3 2" xfId="2043" xr:uid="{00000000-0005-0000-0000-0000F70E0000}"/>
    <cellStyle name="표준 27 2 4" xfId="2044" xr:uid="{00000000-0005-0000-0000-0000F80E0000}"/>
    <cellStyle name="표준 27 3" xfId="2045" xr:uid="{00000000-0005-0000-0000-0000F90E0000}"/>
    <cellStyle name="표준 27 3 2" xfId="2046" xr:uid="{00000000-0005-0000-0000-0000FA0E0000}"/>
    <cellStyle name="표준 27 3 2 2" xfId="2047" xr:uid="{00000000-0005-0000-0000-0000FB0E0000}"/>
    <cellStyle name="표준 27 3 3" xfId="2048" xr:uid="{00000000-0005-0000-0000-0000FC0E0000}"/>
    <cellStyle name="표준 27 3 3 2" xfId="2049" xr:uid="{00000000-0005-0000-0000-0000FD0E0000}"/>
    <cellStyle name="표준 27 3 4" xfId="2050" xr:uid="{00000000-0005-0000-0000-0000FE0E0000}"/>
    <cellStyle name="표준 27 4" xfId="2051" xr:uid="{00000000-0005-0000-0000-0000FF0E0000}"/>
    <cellStyle name="표준 27 4 2" xfId="2052" xr:uid="{00000000-0005-0000-0000-0000000F0000}"/>
    <cellStyle name="표준 27 5" xfId="2053" xr:uid="{00000000-0005-0000-0000-0000010F0000}"/>
    <cellStyle name="표준 27 5 2" xfId="2054" xr:uid="{00000000-0005-0000-0000-0000020F0000}"/>
    <cellStyle name="표준 27 6" xfId="2055" xr:uid="{00000000-0005-0000-0000-0000030F0000}"/>
    <cellStyle name="표준 27 6 2" xfId="2056" xr:uid="{00000000-0005-0000-0000-0000040F0000}"/>
    <cellStyle name="표준 27 7" xfId="2057" xr:uid="{00000000-0005-0000-0000-0000050F0000}"/>
    <cellStyle name="표준 27 7 2" xfId="2058" xr:uid="{00000000-0005-0000-0000-0000060F0000}"/>
    <cellStyle name="표준 27 8" xfId="2059" xr:uid="{00000000-0005-0000-0000-0000070F0000}"/>
    <cellStyle name="표준 27 8 2" xfId="2060" xr:uid="{00000000-0005-0000-0000-0000080F0000}"/>
    <cellStyle name="표준 27 9" xfId="2061" xr:uid="{00000000-0005-0000-0000-0000090F0000}"/>
    <cellStyle name="표준 270" xfId="2062" xr:uid="{00000000-0005-0000-0000-00000A0F0000}"/>
    <cellStyle name="표준 271" xfId="2063" xr:uid="{00000000-0005-0000-0000-00000B0F0000}"/>
    <cellStyle name="표준 272" xfId="2064" xr:uid="{00000000-0005-0000-0000-00000C0F0000}"/>
    <cellStyle name="표준 273" xfId="2065" xr:uid="{00000000-0005-0000-0000-00000D0F0000}"/>
    <cellStyle name="표준 274" xfId="2066" xr:uid="{00000000-0005-0000-0000-00000E0F0000}"/>
    <cellStyle name="표준 275" xfId="2067" xr:uid="{00000000-0005-0000-0000-00000F0F0000}"/>
    <cellStyle name="표준 276" xfId="2068" xr:uid="{00000000-0005-0000-0000-0000100F0000}"/>
    <cellStyle name="표준 277" xfId="2069" xr:uid="{00000000-0005-0000-0000-0000110F0000}"/>
    <cellStyle name="표준 278" xfId="2070" xr:uid="{00000000-0005-0000-0000-0000120F0000}"/>
    <cellStyle name="표준 279" xfId="2071" xr:uid="{00000000-0005-0000-0000-0000130F0000}"/>
    <cellStyle name="표준 28" xfId="2072" xr:uid="{00000000-0005-0000-0000-0000140F0000}"/>
    <cellStyle name="표준 28 2" xfId="2073" xr:uid="{00000000-0005-0000-0000-0000150F0000}"/>
    <cellStyle name="표준 28 2 2" xfId="2074" xr:uid="{00000000-0005-0000-0000-0000160F0000}"/>
    <cellStyle name="표준 28 2 2 2" xfId="2075" xr:uid="{00000000-0005-0000-0000-0000170F0000}"/>
    <cellStyle name="표준 28 2 3" xfId="2076" xr:uid="{00000000-0005-0000-0000-0000180F0000}"/>
    <cellStyle name="표준 28 2 3 2" xfId="2077" xr:uid="{00000000-0005-0000-0000-0000190F0000}"/>
    <cellStyle name="표준 28 2 4" xfId="2078" xr:uid="{00000000-0005-0000-0000-00001A0F0000}"/>
    <cellStyle name="표준 28 3" xfId="2079" xr:uid="{00000000-0005-0000-0000-00001B0F0000}"/>
    <cellStyle name="표준 28 3 2" xfId="2080" xr:uid="{00000000-0005-0000-0000-00001C0F0000}"/>
    <cellStyle name="표준 28 3 2 2" xfId="2081" xr:uid="{00000000-0005-0000-0000-00001D0F0000}"/>
    <cellStyle name="표준 28 3 3" xfId="2082" xr:uid="{00000000-0005-0000-0000-00001E0F0000}"/>
    <cellStyle name="표준 28 3 3 2" xfId="2083" xr:uid="{00000000-0005-0000-0000-00001F0F0000}"/>
    <cellStyle name="표준 28 3 4" xfId="2084" xr:uid="{00000000-0005-0000-0000-0000200F0000}"/>
    <cellStyle name="표준 28 4" xfId="2085" xr:uid="{00000000-0005-0000-0000-0000210F0000}"/>
    <cellStyle name="표준 28 4 2" xfId="2086" xr:uid="{00000000-0005-0000-0000-0000220F0000}"/>
    <cellStyle name="표준 28 5" xfId="2087" xr:uid="{00000000-0005-0000-0000-0000230F0000}"/>
    <cellStyle name="표준 28 5 2" xfId="2088" xr:uid="{00000000-0005-0000-0000-0000240F0000}"/>
    <cellStyle name="표준 28 6" xfId="2089" xr:uid="{00000000-0005-0000-0000-0000250F0000}"/>
    <cellStyle name="표준 28 6 2" xfId="2090" xr:uid="{00000000-0005-0000-0000-0000260F0000}"/>
    <cellStyle name="표준 28 7" xfId="2091" xr:uid="{00000000-0005-0000-0000-0000270F0000}"/>
    <cellStyle name="표준 28 7 2" xfId="2092" xr:uid="{00000000-0005-0000-0000-0000280F0000}"/>
    <cellStyle name="표준 28 8" xfId="2093" xr:uid="{00000000-0005-0000-0000-0000290F0000}"/>
    <cellStyle name="표준 28 8 2" xfId="2094" xr:uid="{00000000-0005-0000-0000-00002A0F0000}"/>
    <cellStyle name="표준 28 9" xfId="2095" xr:uid="{00000000-0005-0000-0000-00002B0F0000}"/>
    <cellStyle name="표준 280" xfId="2096" xr:uid="{00000000-0005-0000-0000-00002C0F0000}"/>
    <cellStyle name="표준 281" xfId="2097" xr:uid="{00000000-0005-0000-0000-00002D0F0000}"/>
    <cellStyle name="표준 282" xfId="2098" xr:uid="{00000000-0005-0000-0000-00002E0F0000}"/>
    <cellStyle name="표준 283" xfId="2099" xr:uid="{00000000-0005-0000-0000-00002F0F0000}"/>
    <cellStyle name="표준 284" xfId="2100" xr:uid="{00000000-0005-0000-0000-0000300F0000}"/>
    <cellStyle name="표준 285" xfId="2101" xr:uid="{00000000-0005-0000-0000-0000310F0000}"/>
    <cellStyle name="표준 286" xfId="2102" xr:uid="{00000000-0005-0000-0000-0000320F0000}"/>
    <cellStyle name="표준 287" xfId="2103" xr:uid="{00000000-0005-0000-0000-0000330F0000}"/>
    <cellStyle name="표준 288" xfId="2104" xr:uid="{00000000-0005-0000-0000-0000340F0000}"/>
    <cellStyle name="표준 289" xfId="2105" xr:uid="{00000000-0005-0000-0000-0000350F0000}"/>
    <cellStyle name="표준 29" xfId="2106" xr:uid="{00000000-0005-0000-0000-0000360F0000}"/>
    <cellStyle name="표준 29 2" xfId="2107" xr:uid="{00000000-0005-0000-0000-0000370F0000}"/>
    <cellStyle name="표준 29 2 2" xfId="2108" xr:uid="{00000000-0005-0000-0000-0000380F0000}"/>
    <cellStyle name="표준 29 2 2 2" xfId="2109" xr:uid="{00000000-0005-0000-0000-0000390F0000}"/>
    <cellStyle name="표준 29 2 3" xfId="2110" xr:uid="{00000000-0005-0000-0000-00003A0F0000}"/>
    <cellStyle name="표준 29 2 3 2" xfId="2111" xr:uid="{00000000-0005-0000-0000-00003B0F0000}"/>
    <cellStyle name="표준 29 3" xfId="2112" xr:uid="{00000000-0005-0000-0000-00003C0F0000}"/>
    <cellStyle name="표준 29 3 2" xfId="2113" xr:uid="{00000000-0005-0000-0000-00003D0F0000}"/>
    <cellStyle name="표준 29 3 2 2" xfId="2114" xr:uid="{00000000-0005-0000-0000-00003E0F0000}"/>
    <cellStyle name="표준 29 3 3" xfId="2115" xr:uid="{00000000-0005-0000-0000-00003F0F0000}"/>
    <cellStyle name="표준 29 3 3 2" xfId="2116" xr:uid="{00000000-0005-0000-0000-0000400F0000}"/>
    <cellStyle name="표준 29 3 4" xfId="2117" xr:uid="{00000000-0005-0000-0000-0000410F0000}"/>
    <cellStyle name="표준 29 4" xfId="2118" xr:uid="{00000000-0005-0000-0000-0000420F0000}"/>
    <cellStyle name="표준 29 4 2" xfId="2119" xr:uid="{00000000-0005-0000-0000-0000430F0000}"/>
    <cellStyle name="표준 29 5" xfId="2120" xr:uid="{00000000-0005-0000-0000-0000440F0000}"/>
    <cellStyle name="표준 29 5 2" xfId="2121" xr:uid="{00000000-0005-0000-0000-0000450F0000}"/>
    <cellStyle name="표준 29 6" xfId="2122" xr:uid="{00000000-0005-0000-0000-0000460F0000}"/>
    <cellStyle name="표준 29 6 2" xfId="2123" xr:uid="{00000000-0005-0000-0000-0000470F0000}"/>
    <cellStyle name="표준 29 7" xfId="2124" xr:uid="{00000000-0005-0000-0000-0000480F0000}"/>
    <cellStyle name="표준 29 7 2" xfId="2125" xr:uid="{00000000-0005-0000-0000-0000490F0000}"/>
    <cellStyle name="표준 29 8" xfId="2126" xr:uid="{00000000-0005-0000-0000-00004A0F0000}"/>
    <cellStyle name="표준 29 8 2" xfId="2127" xr:uid="{00000000-0005-0000-0000-00004B0F0000}"/>
    <cellStyle name="표준 29 9" xfId="2128" xr:uid="{00000000-0005-0000-0000-00004C0F0000}"/>
    <cellStyle name="표준 290" xfId="2129" xr:uid="{00000000-0005-0000-0000-00004D0F0000}"/>
    <cellStyle name="표준 291" xfId="2130" xr:uid="{00000000-0005-0000-0000-00004E0F0000}"/>
    <cellStyle name="표준 292" xfId="2131" xr:uid="{00000000-0005-0000-0000-00004F0F0000}"/>
    <cellStyle name="표준 293" xfId="2132" xr:uid="{00000000-0005-0000-0000-0000500F0000}"/>
    <cellStyle name="표준 294" xfId="2133" xr:uid="{00000000-0005-0000-0000-0000510F0000}"/>
    <cellStyle name="표준 295" xfId="2134" xr:uid="{00000000-0005-0000-0000-0000520F0000}"/>
    <cellStyle name="표준 296" xfId="2135" xr:uid="{00000000-0005-0000-0000-0000530F0000}"/>
    <cellStyle name="표준 297" xfId="2136" xr:uid="{00000000-0005-0000-0000-0000540F0000}"/>
    <cellStyle name="표준 298" xfId="2137" xr:uid="{00000000-0005-0000-0000-0000550F0000}"/>
    <cellStyle name="표준 299" xfId="2138" xr:uid="{00000000-0005-0000-0000-0000560F0000}"/>
    <cellStyle name="표준 3" xfId="1" xr:uid="{00000000-0005-0000-0000-0000570F0000}"/>
    <cellStyle name="표준 3 10" xfId="2139" xr:uid="{00000000-0005-0000-0000-0000580F0000}"/>
    <cellStyle name="표준 3 10 2" xfId="2140" xr:uid="{00000000-0005-0000-0000-0000590F0000}"/>
    <cellStyle name="표준 3 2" xfId="2141" xr:uid="{00000000-0005-0000-0000-00005A0F0000}"/>
    <cellStyle name="표준 3 2 2" xfId="2142" xr:uid="{00000000-0005-0000-0000-00005B0F0000}"/>
    <cellStyle name="표준 3 2 3" xfId="2143" xr:uid="{00000000-0005-0000-0000-00005C0F0000}"/>
    <cellStyle name="표준 3 3" xfId="2144" xr:uid="{00000000-0005-0000-0000-00005D0F0000}"/>
    <cellStyle name="표준 3 3 2" xfId="2145" xr:uid="{00000000-0005-0000-0000-00005E0F0000}"/>
    <cellStyle name="표준 3 4" xfId="2146" xr:uid="{00000000-0005-0000-0000-00005F0F0000}"/>
    <cellStyle name="표준 3 4 2" xfId="2147" xr:uid="{00000000-0005-0000-0000-0000600F0000}"/>
    <cellStyle name="표준 3 5" xfId="2148" xr:uid="{00000000-0005-0000-0000-0000610F0000}"/>
    <cellStyle name="표준 3 5 2" xfId="2149" xr:uid="{00000000-0005-0000-0000-0000620F0000}"/>
    <cellStyle name="표준 3 6" xfId="2150" xr:uid="{00000000-0005-0000-0000-0000630F0000}"/>
    <cellStyle name="표준 3 6 2" xfId="2151" xr:uid="{00000000-0005-0000-0000-0000640F0000}"/>
    <cellStyle name="표준 3 7" xfId="2152" xr:uid="{00000000-0005-0000-0000-0000650F0000}"/>
    <cellStyle name="표준 3 7 2" xfId="2153" xr:uid="{00000000-0005-0000-0000-0000660F0000}"/>
    <cellStyle name="표준 3 8" xfId="2154" xr:uid="{00000000-0005-0000-0000-0000670F0000}"/>
    <cellStyle name="표준 3 8 2" xfId="2155" xr:uid="{00000000-0005-0000-0000-0000680F0000}"/>
    <cellStyle name="표준 3 9" xfId="2156" xr:uid="{00000000-0005-0000-0000-0000690F0000}"/>
    <cellStyle name="표준 3 9 2" xfId="2157" xr:uid="{00000000-0005-0000-0000-00006A0F0000}"/>
    <cellStyle name="표준 3 9 2 2" xfId="2158" xr:uid="{00000000-0005-0000-0000-00006B0F0000}"/>
    <cellStyle name="표준 3 9 2 2 2" xfId="2159" xr:uid="{00000000-0005-0000-0000-00006C0F0000}"/>
    <cellStyle name="표준 3 9 2 3" xfId="2160" xr:uid="{00000000-0005-0000-0000-00006D0F0000}"/>
    <cellStyle name="표준 3 9 2 3 2" xfId="2161" xr:uid="{00000000-0005-0000-0000-00006E0F0000}"/>
    <cellStyle name="표준 3 9 2 4" xfId="2162" xr:uid="{00000000-0005-0000-0000-00006F0F0000}"/>
    <cellStyle name="표준 3 9 3" xfId="2163" xr:uid="{00000000-0005-0000-0000-0000700F0000}"/>
    <cellStyle name="표준 3 9 3 2" xfId="2164" xr:uid="{00000000-0005-0000-0000-0000710F0000}"/>
    <cellStyle name="표준 3 9 3 2 2" xfId="2165" xr:uid="{00000000-0005-0000-0000-0000720F0000}"/>
    <cellStyle name="표준 3 9 3 3" xfId="2166" xr:uid="{00000000-0005-0000-0000-0000730F0000}"/>
    <cellStyle name="표준 3 9 3 3 2" xfId="2167" xr:uid="{00000000-0005-0000-0000-0000740F0000}"/>
    <cellStyle name="표준 3 9 3 4" xfId="2168" xr:uid="{00000000-0005-0000-0000-0000750F0000}"/>
    <cellStyle name="표준 3 9 4" xfId="2169" xr:uid="{00000000-0005-0000-0000-0000760F0000}"/>
    <cellStyle name="표준 3 9 4 2" xfId="2170" xr:uid="{00000000-0005-0000-0000-0000770F0000}"/>
    <cellStyle name="표준 3 9 5" xfId="2171" xr:uid="{00000000-0005-0000-0000-0000780F0000}"/>
    <cellStyle name="표준 3 9 5 2" xfId="2172" xr:uid="{00000000-0005-0000-0000-0000790F0000}"/>
    <cellStyle name="표준 3 9 6" xfId="2173" xr:uid="{00000000-0005-0000-0000-00007A0F0000}"/>
    <cellStyle name="표준 3 9 6 2" xfId="2174" xr:uid="{00000000-0005-0000-0000-00007B0F0000}"/>
    <cellStyle name="표준 3 9 7" xfId="2175" xr:uid="{00000000-0005-0000-0000-00007C0F0000}"/>
    <cellStyle name="표준 3 9 7 2" xfId="2176" xr:uid="{00000000-0005-0000-0000-00007D0F0000}"/>
    <cellStyle name="표준 3 9 8" xfId="2177" xr:uid="{00000000-0005-0000-0000-00007E0F0000}"/>
    <cellStyle name="표준 3 9 8 2" xfId="2178" xr:uid="{00000000-0005-0000-0000-00007F0F0000}"/>
    <cellStyle name="표준 3 9 9" xfId="2179" xr:uid="{00000000-0005-0000-0000-0000800F0000}"/>
    <cellStyle name="표준 3_1) 도로시설물" xfId="2180" xr:uid="{00000000-0005-0000-0000-0000810F0000}"/>
    <cellStyle name="표준 30" xfId="2181" xr:uid="{00000000-0005-0000-0000-0000820F0000}"/>
    <cellStyle name="표준 30 10" xfId="2182" xr:uid="{00000000-0005-0000-0000-0000830F0000}"/>
    <cellStyle name="표준 30 11" xfId="2183" xr:uid="{00000000-0005-0000-0000-0000840F0000}"/>
    <cellStyle name="표준 30 12" xfId="2184" xr:uid="{00000000-0005-0000-0000-0000850F0000}"/>
    <cellStyle name="표준 30 13" xfId="2185" xr:uid="{00000000-0005-0000-0000-0000860F0000}"/>
    <cellStyle name="표준 30 14" xfId="2186" xr:uid="{00000000-0005-0000-0000-0000870F0000}"/>
    <cellStyle name="표준 30 15" xfId="2187" xr:uid="{00000000-0005-0000-0000-0000880F0000}"/>
    <cellStyle name="표준 30 16" xfId="2188" xr:uid="{00000000-0005-0000-0000-0000890F0000}"/>
    <cellStyle name="표준 30 17" xfId="2189" xr:uid="{00000000-0005-0000-0000-00008A0F0000}"/>
    <cellStyle name="표준 30 18" xfId="2190" xr:uid="{00000000-0005-0000-0000-00008B0F0000}"/>
    <cellStyle name="표준 30 19" xfId="2191" xr:uid="{00000000-0005-0000-0000-00008C0F0000}"/>
    <cellStyle name="표준 30 2" xfId="2192" xr:uid="{00000000-0005-0000-0000-00008D0F0000}"/>
    <cellStyle name="표준 30 2 2" xfId="2193" xr:uid="{00000000-0005-0000-0000-00008E0F0000}"/>
    <cellStyle name="표준 30 20" xfId="2194" xr:uid="{00000000-0005-0000-0000-00008F0F0000}"/>
    <cellStyle name="표준 30 21" xfId="2195" xr:uid="{00000000-0005-0000-0000-0000900F0000}"/>
    <cellStyle name="표준 30 22" xfId="2196" xr:uid="{00000000-0005-0000-0000-0000910F0000}"/>
    <cellStyle name="표준 30 3" xfId="4" xr:uid="{00000000-0005-0000-0000-0000920F0000}"/>
    <cellStyle name="표준 30 4" xfId="2197" xr:uid="{00000000-0005-0000-0000-0000930F0000}"/>
    <cellStyle name="표준 30 5" xfId="2198" xr:uid="{00000000-0005-0000-0000-0000940F0000}"/>
    <cellStyle name="표준 30 6" xfId="2199" xr:uid="{00000000-0005-0000-0000-0000950F0000}"/>
    <cellStyle name="표준 30 7" xfId="2200" xr:uid="{00000000-0005-0000-0000-0000960F0000}"/>
    <cellStyle name="표준 30 8" xfId="2201" xr:uid="{00000000-0005-0000-0000-0000970F0000}"/>
    <cellStyle name="표준 30 9" xfId="2202" xr:uid="{00000000-0005-0000-0000-0000980F0000}"/>
    <cellStyle name="표준 300" xfId="2203" xr:uid="{00000000-0005-0000-0000-0000990F0000}"/>
    <cellStyle name="표준 301" xfId="2204" xr:uid="{00000000-0005-0000-0000-00009A0F0000}"/>
    <cellStyle name="표준 302" xfId="2205" xr:uid="{00000000-0005-0000-0000-00009B0F0000}"/>
    <cellStyle name="표준 303" xfId="2206" xr:uid="{00000000-0005-0000-0000-00009C0F0000}"/>
    <cellStyle name="표준 304" xfId="2207" xr:uid="{00000000-0005-0000-0000-00009D0F0000}"/>
    <cellStyle name="표준 305" xfId="2208" xr:uid="{00000000-0005-0000-0000-00009E0F0000}"/>
    <cellStyle name="표준 306" xfId="2209" xr:uid="{00000000-0005-0000-0000-00009F0F0000}"/>
    <cellStyle name="표준 307" xfId="2210" xr:uid="{00000000-0005-0000-0000-0000A00F0000}"/>
    <cellStyle name="표준 308" xfId="2211" xr:uid="{00000000-0005-0000-0000-0000A10F0000}"/>
    <cellStyle name="표준 309" xfId="2212" xr:uid="{00000000-0005-0000-0000-0000A20F0000}"/>
    <cellStyle name="표준 31" xfId="2213" xr:uid="{00000000-0005-0000-0000-0000A30F0000}"/>
    <cellStyle name="표준 31 2" xfId="2214" xr:uid="{00000000-0005-0000-0000-0000A40F0000}"/>
    <cellStyle name="표준 31 2 2" xfId="2215" xr:uid="{00000000-0005-0000-0000-0000A50F0000}"/>
    <cellStyle name="표준 31 3" xfId="5" xr:uid="{00000000-0005-0000-0000-0000A60F0000}"/>
    <cellStyle name="표준 310" xfId="2216" xr:uid="{00000000-0005-0000-0000-0000A70F0000}"/>
    <cellStyle name="표준 311" xfId="2217" xr:uid="{00000000-0005-0000-0000-0000A80F0000}"/>
    <cellStyle name="표준 312" xfId="2218" xr:uid="{00000000-0005-0000-0000-0000A90F0000}"/>
    <cellStyle name="표준 313" xfId="2219" xr:uid="{00000000-0005-0000-0000-0000AA0F0000}"/>
    <cellStyle name="표준 314" xfId="2220" xr:uid="{00000000-0005-0000-0000-0000AB0F0000}"/>
    <cellStyle name="표준 315" xfId="2221" xr:uid="{00000000-0005-0000-0000-0000AC0F0000}"/>
    <cellStyle name="표준 316" xfId="2222" xr:uid="{00000000-0005-0000-0000-0000AD0F0000}"/>
    <cellStyle name="표준 317" xfId="2223" xr:uid="{00000000-0005-0000-0000-0000AE0F0000}"/>
    <cellStyle name="표준 318" xfId="2224" xr:uid="{00000000-0005-0000-0000-0000AF0F0000}"/>
    <cellStyle name="표준 319" xfId="2225" xr:uid="{00000000-0005-0000-0000-0000B00F0000}"/>
    <cellStyle name="표준 32" xfId="2226" xr:uid="{00000000-0005-0000-0000-0000B10F0000}"/>
    <cellStyle name="표준 32 2" xfId="2227" xr:uid="{00000000-0005-0000-0000-0000B20F0000}"/>
    <cellStyle name="표준 32 2 2" xfId="2228" xr:uid="{00000000-0005-0000-0000-0000B30F0000}"/>
    <cellStyle name="표준 32 3" xfId="6" xr:uid="{00000000-0005-0000-0000-0000B40F0000}"/>
    <cellStyle name="표준 320" xfId="2229" xr:uid="{00000000-0005-0000-0000-0000B50F0000}"/>
    <cellStyle name="표준 321" xfId="2230" xr:uid="{00000000-0005-0000-0000-0000B60F0000}"/>
    <cellStyle name="표준 322" xfId="2231" xr:uid="{00000000-0005-0000-0000-0000B70F0000}"/>
    <cellStyle name="표준 323" xfId="2232" xr:uid="{00000000-0005-0000-0000-0000B80F0000}"/>
    <cellStyle name="표준 324" xfId="2233" xr:uid="{00000000-0005-0000-0000-0000B90F0000}"/>
    <cellStyle name="표준 325" xfId="2234" xr:uid="{00000000-0005-0000-0000-0000BA0F0000}"/>
    <cellStyle name="표준 326" xfId="2235" xr:uid="{00000000-0005-0000-0000-0000BB0F0000}"/>
    <cellStyle name="표준 327" xfId="2236" xr:uid="{00000000-0005-0000-0000-0000BC0F0000}"/>
    <cellStyle name="표준 328" xfId="2237" xr:uid="{00000000-0005-0000-0000-0000BD0F0000}"/>
    <cellStyle name="표준 329" xfId="2238" xr:uid="{00000000-0005-0000-0000-0000BE0F0000}"/>
    <cellStyle name="표준 33" xfId="2239" xr:uid="{00000000-0005-0000-0000-0000BF0F0000}"/>
    <cellStyle name="표준 33 2" xfId="2240" xr:uid="{00000000-0005-0000-0000-0000C00F0000}"/>
    <cellStyle name="표준 33 2 2" xfId="2241" xr:uid="{00000000-0005-0000-0000-0000C10F0000}"/>
    <cellStyle name="표준 33 3" xfId="7" xr:uid="{00000000-0005-0000-0000-0000C20F0000}"/>
    <cellStyle name="표준 330" xfId="2242" xr:uid="{00000000-0005-0000-0000-0000C30F0000}"/>
    <cellStyle name="표준 331" xfId="2243" xr:uid="{00000000-0005-0000-0000-0000C40F0000}"/>
    <cellStyle name="표준 332" xfId="2244" xr:uid="{00000000-0005-0000-0000-0000C50F0000}"/>
    <cellStyle name="표준 333" xfId="2245" xr:uid="{00000000-0005-0000-0000-0000C60F0000}"/>
    <cellStyle name="표준 334" xfId="2246" xr:uid="{00000000-0005-0000-0000-0000C70F0000}"/>
    <cellStyle name="표준 335" xfId="2247" xr:uid="{00000000-0005-0000-0000-0000C80F0000}"/>
    <cellStyle name="표준 336" xfId="2248" xr:uid="{00000000-0005-0000-0000-0000C90F0000}"/>
    <cellStyle name="표준 337" xfId="2249" xr:uid="{00000000-0005-0000-0000-0000CA0F0000}"/>
    <cellStyle name="표준 338" xfId="2250" xr:uid="{00000000-0005-0000-0000-0000CB0F0000}"/>
    <cellStyle name="표준 339" xfId="2251" xr:uid="{00000000-0005-0000-0000-0000CC0F0000}"/>
    <cellStyle name="표준 34" xfId="2252" xr:uid="{00000000-0005-0000-0000-0000CD0F0000}"/>
    <cellStyle name="표준 34 2" xfId="2253" xr:uid="{00000000-0005-0000-0000-0000CE0F0000}"/>
    <cellStyle name="표준 34 2 2" xfId="2254" xr:uid="{00000000-0005-0000-0000-0000CF0F0000}"/>
    <cellStyle name="표준 34 3" xfId="8" xr:uid="{00000000-0005-0000-0000-0000D00F0000}"/>
    <cellStyle name="표준 340" xfId="2255" xr:uid="{00000000-0005-0000-0000-0000D10F0000}"/>
    <cellStyle name="표준 341" xfId="2256" xr:uid="{00000000-0005-0000-0000-0000D20F0000}"/>
    <cellStyle name="표준 342" xfId="2257" xr:uid="{00000000-0005-0000-0000-0000D30F0000}"/>
    <cellStyle name="표준 343" xfId="2258" xr:uid="{00000000-0005-0000-0000-0000D40F0000}"/>
    <cellStyle name="표준 344" xfId="2259" xr:uid="{00000000-0005-0000-0000-0000D50F0000}"/>
    <cellStyle name="표준 345" xfId="2260" xr:uid="{00000000-0005-0000-0000-0000D60F0000}"/>
    <cellStyle name="표준 346" xfId="2261" xr:uid="{00000000-0005-0000-0000-0000D70F0000}"/>
    <cellStyle name="표준 347" xfId="2262" xr:uid="{00000000-0005-0000-0000-0000D80F0000}"/>
    <cellStyle name="표준 348" xfId="2263" xr:uid="{00000000-0005-0000-0000-0000D90F0000}"/>
    <cellStyle name="표준 349" xfId="2264" xr:uid="{00000000-0005-0000-0000-0000DA0F0000}"/>
    <cellStyle name="표준 35" xfId="2265" xr:uid="{00000000-0005-0000-0000-0000DB0F0000}"/>
    <cellStyle name="표준 35 2" xfId="2266" xr:uid="{00000000-0005-0000-0000-0000DC0F0000}"/>
    <cellStyle name="표준 35 2 2" xfId="2267" xr:uid="{00000000-0005-0000-0000-0000DD0F0000}"/>
    <cellStyle name="표준 35 3" xfId="9" xr:uid="{00000000-0005-0000-0000-0000DE0F0000}"/>
    <cellStyle name="표준 350" xfId="2268" xr:uid="{00000000-0005-0000-0000-0000DF0F0000}"/>
    <cellStyle name="표준 351" xfId="2269" xr:uid="{00000000-0005-0000-0000-0000E00F0000}"/>
    <cellStyle name="표준 352" xfId="2270" xr:uid="{00000000-0005-0000-0000-0000E10F0000}"/>
    <cellStyle name="표준 353" xfId="2271" xr:uid="{00000000-0005-0000-0000-0000E20F0000}"/>
    <cellStyle name="표준 354" xfId="2272" xr:uid="{00000000-0005-0000-0000-0000E30F0000}"/>
    <cellStyle name="표준 355" xfId="2273" xr:uid="{00000000-0005-0000-0000-0000E40F0000}"/>
    <cellStyle name="표준 36" xfId="2274" xr:uid="{00000000-0005-0000-0000-0000E50F0000}"/>
    <cellStyle name="표준 36 2" xfId="2275" xr:uid="{00000000-0005-0000-0000-0000E60F0000}"/>
    <cellStyle name="표준 36 2 2" xfId="2276" xr:uid="{00000000-0005-0000-0000-0000E70F0000}"/>
    <cellStyle name="표준 36 3" xfId="10" xr:uid="{00000000-0005-0000-0000-0000E80F0000}"/>
    <cellStyle name="표준 37" xfId="2277" xr:uid="{00000000-0005-0000-0000-0000E90F0000}"/>
    <cellStyle name="표준 37 2" xfId="2278" xr:uid="{00000000-0005-0000-0000-0000EA0F0000}"/>
    <cellStyle name="표준 37 2 2" xfId="2279" xr:uid="{00000000-0005-0000-0000-0000EB0F0000}"/>
    <cellStyle name="표준 37 3" xfId="11" xr:uid="{00000000-0005-0000-0000-0000EC0F0000}"/>
    <cellStyle name="표준 38" xfId="2280" xr:uid="{00000000-0005-0000-0000-0000ED0F0000}"/>
    <cellStyle name="표준 38 2" xfId="2281" xr:uid="{00000000-0005-0000-0000-0000EE0F0000}"/>
    <cellStyle name="표준 38 2 2" xfId="2282" xr:uid="{00000000-0005-0000-0000-0000EF0F0000}"/>
    <cellStyle name="표준 38 3" xfId="2283" xr:uid="{00000000-0005-0000-0000-0000F00F0000}"/>
    <cellStyle name="표준 38 4" xfId="2284" xr:uid="{00000000-0005-0000-0000-0000F10F0000}"/>
    <cellStyle name="표준 38 5" xfId="2285" xr:uid="{00000000-0005-0000-0000-0000F20F0000}"/>
    <cellStyle name="표준 39" xfId="2286" xr:uid="{00000000-0005-0000-0000-0000F30F0000}"/>
    <cellStyle name="표준 39 2" xfId="2287" xr:uid="{00000000-0005-0000-0000-0000F40F0000}"/>
    <cellStyle name="표준 39 2 2" xfId="2288" xr:uid="{00000000-0005-0000-0000-0000F50F0000}"/>
    <cellStyle name="표준 39 3" xfId="2289" xr:uid="{00000000-0005-0000-0000-0000F60F0000}"/>
    <cellStyle name="표준 39 4" xfId="2290" xr:uid="{00000000-0005-0000-0000-0000F70F0000}"/>
    <cellStyle name="표준 39 5" xfId="4168" xr:uid="{00000000-0005-0000-0000-0000F80F0000}"/>
    <cellStyle name="표준 4" xfId="2291" xr:uid="{00000000-0005-0000-0000-0000F90F0000}"/>
    <cellStyle name="표준 4 2" xfId="2292" xr:uid="{00000000-0005-0000-0000-0000FA0F0000}"/>
    <cellStyle name="표준 4 2 2" xfId="2293" xr:uid="{00000000-0005-0000-0000-0000FB0F0000}"/>
    <cellStyle name="표준 4 2 3" xfId="2616" xr:uid="{00000000-0005-0000-0000-0000FC0F0000}"/>
    <cellStyle name="표준 4 2 4" xfId="4169" xr:uid="{00000000-0005-0000-0000-0000FD0F0000}"/>
    <cellStyle name="표준 4 2 5" xfId="4170" xr:uid="{00000000-0005-0000-0000-0000FE0F0000}"/>
    <cellStyle name="표준 4 3" xfId="2294" xr:uid="{00000000-0005-0000-0000-0000FF0F0000}"/>
    <cellStyle name="표준 4 3 2" xfId="2295" xr:uid="{00000000-0005-0000-0000-000000100000}"/>
    <cellStyle name="표준 4 3 3" xfId="2617" xr:uid="{00000000-0005-0000-0000-000001100000}"/>
    <cellStyle name="표준 4 4" xfId="2296" xr:uid="{00000000-0005-0000-0000-000002100000}"/>
    <cellStyle name="표준 4 4 2" xfId="2297" xr:uid="{00000000-0005-0000-0000-000003100000}"/>
    <cellStyle name="표준 4 5" xfId="2298" xr:uid="{00000000-0005-0000-0000-000004100000}"/>
    <cellStyle name="표준 4 5 2" xfId="2299" xr:uid="{00000000-0005-0000-0000-000005100000}"/>
    <cellStyle name="표준 4 6" xfId="2300" xr:uid="{00000000-0005-0000-0000-000006100000}"/>
    <cellStyle name="표준 4 6 2" xfId="2301" xr:uid="{00000000-0005-0000-0000-000007100000}"/>
    <cellStyle name="표준 4 7" xfId="2302" xr:uid="{00000000-0005-0000-0000-000008100000}"/>
    <cellStyle name="표준 4 7 2" xfId="2303" xr:uid="{00000000-0005-0000-0000-000009100000}"/>
    <cellStyle name="표준 4 8" xfId="2304" xr:uid="{00000000-0005-0000-0000-00000A100000}"/>
    <cellStyle name="표준 4 9" xfId="2305" xr:uid="{00000000-0005-0000-0000-00000B100000}"/>
    <cellStyle name="표준 4_1) 도로시설물" xfId="2306" xr:uid="{00000000-0005-0000-0000-00000C100000}"/>
    <cellStyle name="표준 40" xfId="2307" xr:uid="{00000000-0005-0000-0000-00000D100000}"/>
    <cellStyle name="표준 40 2" xfId="2308" xr:uid="{00000000-0005-0000-0000-00000E100000}"/>
    <cellStyle name="표준 40 2 2" xfId="2309" xr:uid="{00000000-0005-0000-0000-00000F100000}"/>
    <cellStyle name="표준 40 3" xfId="2310" xr:uid="{00000000-0005-0000-0000-000010100000}"/>
    <cellStyle name="표준 40 4" xfId="2311" xr:uid="{00000000-0005-0000-0000-000011100000}"/>
    <cellStyle name="표준 41" xfId="2312" xr:uid="{00000000-0005-0000-0000-000012100000}"/>
    <cellStyle name="표준 41 2" xfId="2313" xr:uid="{00000000-0005-0000-0000-000013100000}"/>
    <cellStyle name="표준 41 2 2" xfId="2314" xr:uid="{00000000-0005-0000-0000-000014100000}"/>
    <cellStyle name="표준 41 3" xfId="2315" xr:uid="{00000000-0005-0000-0000-000015100000}"/>
    <cellStyle name="표준 41 4" xfId="2316" xr:uid="{00000000-0005-0000-0000-000016100000}"/>
    <cellStyle name="표준 41 5" xfId="4171" xr:uid="{00000000-0005-0000-0000-000017100000}"/>
    <cellStyle name="표준 42" xfId="2317" xr:uid="{00000000-0005-0000-0000-000018100000}"/>
    <cellStyle name="표준 42 2" xfId="2318" xr:uid="{00000000-0005-0000-0000-000019100000}"/>
    <cellStyle name="표준 42 2 2" xfId="2319" xr:uid="{00000000-0005-0000-0000-00001A100000}"/>
    <cellStyle name="표준 42 3" xfId="2320" xr:uid="{00000000-0005-0000-0000-00001B100000}"/>
    <cellStyle name="표준 42 4" xfId="2321" xr:uid="{00000000-0005-0000-0000-00001C100000}"/>
    <cellStyle name="표준 42 5" xfId="4172" xr:uid="{00000000-0005-0000-0000-00001D100000}"/>
    <cellStyle name="표준 43" xfId="2322" xr:uid="{00000000-0005-0000-0000-00001E100000}"/>
    <cellStyle name="표준 43 2" xfId="2323" xr:uid="{00000000-0005-0000-0000-00001F100000}"/>
    <cellStyle name="표준 43 2 2" xfId="2324" xr:uid="{00000000-0005-0000-0000-000020100000}"/>
    <cellStyle name="표준 43 3" xfId="2325" xr:uid="{00000000-0005-0000-0000-000021100000}"/>
    <cellStyle name="표준 44" xfId="2326" xr:uid="{00000000-0005-0000-0000-000022100000}"/>
    <cellStyle name="표준 44 2" xfId="2327" xr:uid="{00000000-0005-0000-0000-000023100000}"/>
    <cellStyle name="표준 44 2 2" xfId="2328" xr:uid="{00000000-0005-0000-0000-000024100000}"/>
    <cellStyle name="표준 44 3" xfId="2329" xr:uid="{00000000-0005-0000-0000-000025100000}"/>
    <cellStyle name="표준 44 4" xfId="2330" xr:uid="{00000000-0005-0000-0000-000026100000}"/>
    <cellStyle name="표준 45" xfId="2331" xr:uid="{00000000-0005-0000-0000-000027100000}"/>
    <cellStyle name="표준 45 2" xfId="2332" xr:uid="{00000000-0005-0000-0000-000028100000}"/>
    <cellStyle name="표준 45 3" xfId="2333" xr:uid="{00000000-0005-0000-0000-000029100000}"/>
    <cellStyle name="표준 45 4" xfId="2334" xr:uid="{00000000-0005-0000-0000-00002A100000}"/>
    <cellStyle name="표준 45 5" xfId="4173" xr:uid="{00000000-0005-0000-0000-00002B100000}"/>
    <cellStyle name="표준 46" xfId="2335" xr:uid="{00000000-0005-0000-0000-00002C100000}"/>
    <cellStyle name="표준 46 2" xfId="2336" xr:uid="{00000000-0005-0000-0000-00002D100000}"/>
    <cellStyle name="표준 46 3" xfId="2337" xr:uid="{00000000-0005-0000-0000-00002E100000}"/>
    <cellStyle name="표준 46 4" xfId="2338" xr:uid="{00000000-0005-0000-0000-00002F100000}"/>
    <cellStyle name="표준 46 5" xfId="4174" xr:uid="{00000000-0005-0000-0000-000030100000}"/>
    <cellStyle name="표준 47" xfId="2339" xr:uid="{00000000-0005-0000-0000-000031100000}"/>
    <cellStyle name="표준 47 2" xfId="2340" xr:uid="{00000000-0005-0000-0000-000032100000}"/>
    <cellStyle name="표준 47 3" xfId="2341" xr:uid="{00000000-0005-0000-0000-000033100000}"/>
    <cellStyle name="표준 47 4" xfId="2342" xr:uid="{00000000-0005-0000-0000-000034100000}"/>
    <cellStyle name="표준 47 5" xfId="4175" xr:uid="{00000000-0005-0000-0000-000035100000}"/>
    <cellStyle name="표준 48" xfId="2343" xr:uid="{00000000-0005-0000-0000-000036100000}"/>
    <cellStyle name="표준 48 2" xfId="2344" xr:uid="{00000000-0005-0000-0000-000037100000}"/>
    <cellStyle name="표준 48 3" xfId="2345" xr:uid="{00000000-0005-0000-0000-000038100000}"/>
    <cellStyle name="표준 48 4" xfId="2346" xr:uid="{00000000-0005-0000-0000-000039100000}"/>
    <cellStyle name="표준 49" xfId="2347" xr:uid="{00000000-0005-0000-0000-00003A100000}"/>
    <cellStyle name="표준 49 2" xfId="2348" xr:uid="{00000000-0005-0000-0000-00003B100000}"/>
    <cellStyle name="표준 49 3" xfId="2349" xr:uid="{00000000-0005-0000-0000-00003C100000}"/>
    <cellStyle name="표준 49 4" xfId="2350" xr:uid="{00000000-0005-0000-0000-00003D100000}"/>
    <cellStyle name="표준 49 5" xfId="4176" xr:uid="{00000000-0005-0000-0000-00003E100000}"/>
    <cellStyle name="표준 5" xfId="2351" xr:uid="{00000000-0005-0000-0000-00003F100000}"/>
    <cellStyle name="표준 5 2" xfId="2352" xr:uid="{00000000-0005-0000-0000-000040100000}"/>
    <cellStyle name="표준 5 2 2" xfId="2353" xr:uid="{00000000-0005-0000-0000-000041100000}"/>
    <cellStyle name="표준 5 2 3" xfId="2354" xr:uid="{00000000-0005-0000-0000-000042100000}"/>
    <cellStyle name="표준 5 3" xfId="2355" xr:uid="{00000000-0005-0000-0000-000043100000}"/>
    <cellStyle name="표준 5 3 2" xfId="2356" xr:uid="{00000000-0005-0000-0000-000044100000}"/>
    <cellStyle name="표준 5 4" xfId="2357" xr:uid="{00000000-0005-0000-0000-000045100000}"/>
    <cellStyle name="표준 5 4 2" xfId="2358" xr:uid="{00000000-0005-0000-0000-000046100000}"/>
    <cellStyle name="표준 5 5" xfId="2359" xr:uid="{00000000-0005-0000-0000-000047100000}"/>
    <cellStyle name="표준 5 5 2" xfId="2360" xr:uid="{00000000-0005-0000-0000-000048100000}"/>
    <cellStyle name="표준 5 6" xfId="2361" xr:uid="{00000000-0005-0000-0000-000049100000}"/>
    <cellStyle name="표준 5 7" xfId="2362" xr:uid="{00000000-0005-0000-0000-00004A100000}"/>
    <cellStyle name="표준 5 8" xfId="4177" xr:uid="{00000000-0005-0000-0000-00004B100000}"/>
    <cellStyle name="표준 50" xfId="2363" xr:uid="{00000000-0005-0000-0000-00004C100000}"/>
    <cellStyle name="표준 50 2" xfId="2364" xr:uid="{00000000-0005-0000-0000-00004D100000}"/>
    <cellStyle name="표준 50 3" xfId="2365" xr:uid="{00000000-0005-0000-0000-00004E100000}"/>
    <cellStyle name="표준 50 4" xfId="2366" xr:uid="{00000000-0005-0000-0000-00004F100000}"/>
    <cellStyle name="표준 50 5" xfId="4178" xr:uid="{00000000-0005-0000-0000-000050100000}"/>
    <cellStyle name="표준 51" xfId="2367" xr:uid="{00000000-0005-0000-0000-000051100000}"/>
    <cellStyle name="표준 51 2" xfId="2368" xr:uid="{00000000-0005-0000-0000-000052100000}"/>
    <cellStyle name="표준 51 3" xfId="2369" xr:uid="{00000000-0005-0000-0000-000053100000}"/>
    <cellStyle name="표준 51 4" xfId="2370" xr:uid="{00000000-0005-0000-0000-000054100000}"/>
    <cellStyle name="표준 51 5" xfId="4179" xr:uid="{00000000-0005-0000-0000-000055100000}"/>
    <cellStyle name="표준 52" xfId="2371" xr:uid="{00000000-0005-0000-0000-000056100000}"/>
    <cellStyle name="표준 52 2" xfId="2372" xr:uid="{00000000-0005-0000-0000-000057100000}"/>
    <cellStyle name="표준 52 3" xfId="2373" xr:uid="{00000000-0005-0000-0000-000058100000}"/>
    <cellStyle name="표준 52 4" xfId="2374" xr:uid="{00000000-0005-0000-0000-000059100000}"/>
    <cellStyle name="표준 53" xfId="2375" xr:uid="{00000000-0005-0000-0000-00005A100000}"/>
    <cellStyle name="표준 53 2" xfId="2376" xr:uid="{00000000-0005-0000-0000-00005B100000}"/>
    <cellStyle name="표준 53 3" xfId="2377" xr:uid="{00000000-0005-0000-0000-00005C100000}"/>
    <cellStyle name="표준 53 4" xfId="2378" xr:uid="{00000000-0005-0000-0000-00005D100000}"/>
    <cellStyle name="표준 53 5" xfId="4180" xr:uid="{00000000-0005-0000-0000-00005E100000}"/>
    <cellStyle name="표준 54" xfId="2379" xr:uid="{00000000-0005-0000-0000-00005F100000}"/>
    <cellStyle name="표준 54 2" xfId="2380" xr:uid="{00000000-0005-0000-0000-000060100000}"/>
    <cellStyle name="표준 54 3" xfId="2381" xr:uid="{00000000-0005-0000-0000-000061100000}"/>
    <cellStyle name="표준 54 4" xfId="2382" xr:uid="{00000000-0005-0000-0000-000062100000}"/>
    <cellStyle name="표준 54 5" xfId="4181" xr:uid="{00000000-0005-0000-0000-000063100000}"/>
    <cellStyle name="표준 55" xfId="2383" xr:uid="{00000000-0005-0000-0000-000064100000}"/>
    <cellStyle name="표준 55 2" xfId="2384" xr:uid="{00000000-0005-0000-0000-000065100000}"/>
    <cellStyle name="표준 55 3" xfId="2385" xr:uid="{00000000-0005-0000-0000-000066100000}"/>
    <cellStyle name="표준 55 4" xfId="2386" xr:uid="{00000000-0005-0000-0000-000067100000}"/>
    <cellStyle name="표준 55 5" xfId="4182" xr:uid="{00000000-0005-0000-0000-000068100000}"/>
    <cellStyle name="표준 56" xfId="2387" xr:uid="{00000000-0005-0000-0000-000069100000}"/>
    <cellStyle name="표준 56 2" xfId="2388" xr:uid="{00000000-0005-0000-0000-00006A100000}"/>
    <cellStyle name="표준 56 3" xfId="2389" xr:uid="{00000000-0005-0000-0000-00006B100000}"/>
    <cellStyle name="표준 56 4" xfId="2390" xr:uid="{00000000-0005-0000-0000-00006C100000}"/>
    <cellStyle name="표준 57" xfId="2391" xr:uid="{00000000-0005-0000-0000-00006D100000}"/>
    <cellStyle name="표준 57 2" xfId="2392" xr:uid="{00000000-0005-0000-0000-00006E100000}"/>
    <cellStyle name="표준 57 3" xfId="2393" xr:uid="{00000000-0005-0000-0000-00006F100000}"/>
    <cellStyle name="표준 57 4" xfId="2394" xr:uid="{00000000-0005-0000-0000-000070100000}"/>
    <cellStyle name="표준 57 5" xfId="4183" xr:uid="{00000000-0005-0000-0000-000071100000}"/>
    <cellStyle name="표준 58" xfId="2395" xr:uid="{00000000-0005-0000-0000-000072100000}"/>
    <cellStyle name="표준 58 2" xfId="2396" xr:uid="{00000000-0005-0000-0000-000073100000}"/>
    <cellStyle name="표준 58 3" xfId="2397" xr:uid="{00000000-0005-0000-0000-000074100000}"/>
    <cellStyle name="표준 58 4" xfId="2398" xr:uid="{00000000-0005-0000-0000-000075100000}"/>
    <cellStyle name="표준 58 5" xfId="4184" xr:uid="{00000000-0005-0000-0000-000076100000}"/>
    <cellStyle name="표준 59" xfId="2399" xr:uid="{00000000-0005-0000-0000-000077100000}"/>
    <cellStyle name="표준 59 2" xfId="2400" xr:uid="{00000000-0005-0000-0000-000078100000}"/>
    <cellStyle name="표준 59 3" xfId="2401" xr:uid="{00000000-0005-0000-0000-000079100000}"/>
    <cellStyle name="표준 59 4" xfId="2402" xr:uid="{00000000-0005-0000-0000-00007A100000}"/>
    <cellStyle name="표준 59 5" xfId="4185" xr:uid="{00000000-0005-0000-0000-00007B100000}"/>
    <cellStyle name="표준 6" xfId="2403" xr:uid="{00000000-0005-0000-0000-00007C100000}"/>
    <cellStyle name="표준 6 2" xfId="2404" xr:uid="{00000000-0005-0000-0000-00007D100000}"/>
    <cellStyle name="표준 6 2 2" xfId="2405" xr:uid="{00000000-0005-0000-0000-00007E100000}"/>
    <cellStyle name="표준 6 3" xfId="2406" xr:uid="{00000000-0005-0000-0000-00007F100000}"/>
    <cellStyle name="표준 6 3 2" xfId="2407" xr:uid="{00000000-0005-0000-0000-000080100000}"/>
    <cellStyle name="표준 6 4" xfId="2408" xr:uid="{00000000-0005-0000-0000-000081100000}"/>
    <cellStyle name="표준 6 5" xfId="4186" xr:uid="{00000000-0005-0000-0000-000082100000}"/>
    <cellStyle name="표준 60" xfId="2409" xr:uid="{00000000-0005-0000-0000-000083100000}"/>
    <cellStyle name="표준 60 2" xfId="2410" xr:uid="{00000000-0005-0000-0000-000084100000}"/>
    <cellStyle name="표준 60 3" xfId="2411" xr:uid="{00000000-0005-0000-0000-000085100000}"/>
    <cellStyle name="표준 60 4" xfId="2412" xr:uid="{00000000-0005-0000-0000-000086100000}"/>
    <cellStyle name="표준 61" xfId="2413" xr:uid="{00000000-0005-0000-0000-000087100000}"/>
    <cellStyle name="표준 61 2" xfId="2414" xr:uid="{00000000-0005-0000-0000-000088100000}"/>
    <cellStyle name="표준 61 3" xfId="2415" xr:uid="{00000000-0005-0000-0000-000089100000}"/>
    <cellStyle name="표준 61 4" xfId="2416" xr:uid="{00000000-0005-0000-0000-00008A100000}"/>
    <cellStyle name="표준 61 5" xfId="4187" xr:uid="{00000000-0005-0000-0000-00008B100000}"/>
    <cellStyle name="표준 62" xfId="2417" xr:uid="{00000000-0005-0000-0000-00008C100000}"/>
    <cellStyle name="표준 62 2" xfId="2418" xr:uid="{00000000-0005-0000-0000-00008D100000}"/>
    <cellStyle name="표준 62 2 2" xfId="2419" xr:uid="{00000000-0005-0000-0000-00008E100000}"/>
    <cellStyle name="표준 62 2 2 2" xfId="2420" xr:uid="{00000000-0005-0000-0000-00008F100000}"/>
    <cellStyle name="표준 62 2 2 2 2" xfId="2421" xr:uid="{00000000-0005-0000-0000-000090100000}"/>
    <cellStyle name="표준 62 2 2 3" xfId="2422" xr:uid="{00000000-0005-0000-0000-000091100000}"/>
    <cellStyle name="표준 62 2 2 3 2" xfId="2423" xr:uid="{00000000-0005-0000-0000-000092100000}"/>
    <cellStyle name="표준 62 2 2 4" xfId="2424" xr:uid="{00000000-0005-0000-0000-000093100000}"/>
    <cellStyle name="표준 62 2 3" xfId="2425" xr:uid="{00000000-0005-0000-0000-000094100000}"/>
    <cellStyle name="표준 62 2 3 2" xfId="2426" xr:uid="{00000000-0005-0000-0000-000095100000}"/>
    <cellStyle name="표준 62 2 3 2 2" xfId="2427" xr:uid="{00000000-0005-0000-0000-000096100000}"/>
    <cellStyle name="표준 62 2 3 3" xfId="2428" xr:uid="{00000000-0005-0000-0000-000097100000}"/>
    <cellStyle name="표준 62 2 3 3 2" xfId="2429" xr:uid="{00000000-0005-0000-0000-000098100000}"/>
    <cellStyle name="표준 62 2 3 4" xfId="2430" xr:uid="{00000000-0005-0000-0000-000099100000}"/>
    <cellStyle name="표준 62 2 4" xfId="2431" xr:uid="{00000000-0005-0000-0000-00009A100000}"/>
    <cellStyle name="표준 62 2 4 2" xfId="2432" xr:uid="{00000000-0005-0000-0000-00009B100000}"/>
    <cellStyle name="표준 62 2 5" xfId="2433" xr:uid="{00000000-0005-0000-0000-00009C100000}"/>
    <cellStyle name="표준 62 2 5 2" xfId="2434" xr:uid="{00000000-0005-0000-0000-00009D100000}"/>
    <cellStyle name="표준 62 2 6" xfId="2435" xr:uid="{00000000-0005-0000-0000-00009E100000}"/>
    <cellStyle name="표준 62 2 6 2" xfId="2436" xr:uid="{00000000-0005-0000-0000-00009F100000}"/>
    <cellStyle name="표준 62 2 7" xfId="2437" xr:uid="{00000000-0005-0000-0000-0000A0100000}"/>
    <cellStyle name="표준 62 2 7 2" xfId="2438" xr:uid="{00000000-0005-0000-0000-0000A1100000}"/>
    <cellStyle name="표준 62 2 8" xfId="2439" xr:uid="{00000000-0005-0000-0000-0000A2100000}"/>
    <cellStyle name="표준 62 2 8 2" xfId="2440" xr:uid="{00000000-0005-0000-0000-0000A3100000}"/>
    <cellStyle name="표준 62 2 9" xfId="2441" xr:uid="{00000000-0005-0000-0000-0000A4100000}"/>
    <cellStyle name="표준 63" xfId="2442" xr:uid="{00000000-0005-0000-0000-0000A5100000}"/>
    <cellStyle name="표준 63 2" xfId="2443" xr:uid="{00000000-0005-0000-0000-0000A6100000}"/>
    <cellStyle name="표준 63 2 2" xfId="2444" xr:uid="{00000000-0005-0000-0000-0000A7100000}"/>
    <cellStyle name="표준 63 2 2 2" xfId="2445" xr:uid="{00000000-0005-0000-0000-0000A8100000}"/>
    <cellStyle name="표준 63 2 2 2 2" xfId="2446" xr:uid="{00000000-0005-0000-0000-0000A9100000}"/>
    <cellStyle name="표준 63 2 2 3" xfId="2447" xr:uid="{00000000-0005-0000-0000-0000AA100000}"/>
    <cellStyle name="표준 63 2 2 3 2" xfId="2448" xr:uid="{00000000-0005-0000-0000-0000AB100000}"/>
    <cellStyle name="표준 63 2 2 4" xfId="2449" xr:uid="{00000000-0005-0000-0000-0000AC100000}"/>
    <cellStyle name="표준 63 2 3" xfId="2450" xr:uid="{00000000-0005-0000-0000-0000AD100000}"/>
    <cellStyle name="표준 63 2 3 2" xfId="2451" xr:uid="{00000000-0005-0000-0000-0000AE100000}"/>
    <cellStyle name="표준 63 2 3 2 2" xfId="2452" xr:uid="{00000000-0005-0000-0000-0000AF100000}"/>
    <cellStyle name="표준 63 2 3 3" xfId="2453" xr:uid="{00000000-0005-0000-0000-0000B0100000}"/>
    <cellStyle name="표준 63 2 3 3 2" xfId="2454" xr:uid="{00000000-0005-0000-0000-0000B1100000}"/>
    <cellStyle name="표준 63 2 3 4" xfId="2455" xr:uid="{00000000-0005-0000-0000-0000B2100000}"/>
    <cellStyle name="표준 63 2 4" xfId="2456" xr:uid="{00000000-0005-0000-0000-0000B3100000}"/>
    <cellStyle name="표준 63 2 4 2" xfId="2457" xr:uid="{00000000-0005-0000-0000-0000B4100000}"/>
    <cellStyle name="표준 63 2 5" xfId="2458" xr:uid="{00000000-0005-0000-0000-0000B5100000}"/>
    <cellStyle name="표준 63 2 5 2" xfId="2459" xr:uid="{00000000-0005-0000-0000-0000B6100000}"/>
    <cellStyle name="표준 63 2 6" xfId="2460" xr:uid="{00000000-0005-0000-0000-0000B7100000}"/>
    <cellStyle name="표준 63 2 6 2" xfId="2461" xr:uid="{00000000-0005-0000-0000-0000B8100000}"/>
    <cellStyle name="표준 63 2 7" xfId="2462" xr:uid="{00000000-0005-0000-0000-0000B9100000}"/>
    <cellStyle name="표준 63 2 7 2" xfId="2463" xr:uid="{00000000-0005-0000-0000-0000BA100000}"/>
    <cellStyle name="표준 63 2 8" xfId="2464" xr:uid="{00000000-0005-0000-0000-0000BB100000}"/>
    <cellStyle name="표준 63 2 8 2" xfId="2465" xr:uid="{00000000-0005-0000-0000-0000BC100000}"/>
    <cellStyle name="표준 63 2 9" xfId="2466" xr:uid="{00000000-0005-0000-0000-0000BD100000}"/>
    <cellStyle name="표준 64" xfId="2467" xr:uid="{00000000-0005-0000-0000-0000BE100000}"/>
    <cellStyle name="표준 64 2" xfId="2468" xr:uid="{00000000-0005-0000-0000-0000BF100000}"/>
    <cellStyle name="표준 64 2 2" xfId="2469" xr:uid="{00000000-0005-0000-0000-0000C0100000}"/>
    <cellStyle name="표준 64 2 2 2" xfId="2470" xr:uid="{00000000-0005-0000-0000-0000C1100000}"/>
    <cellStyle name="표준 64 2 2 2 2" xfId="2471" xr:uid="{00000000-0005-0000-0000-0000C2100000}"/>
    <cellStyle name="표준 64 2 2 3" xfId="2472" xr:uid="{00000000-0005-0000-0000-0000C3100000}"/>
    <cellStyle name="표준 64 2 2 3 2" xfId="2473" xr:uid="{00000000-0005-0000-0000-0000C4100000}"/>
    <cellStyle name="표준 64 2 2 4" xfId="2474" xr:uid="{00000000-0005-0000-0000-0000C5100000}"/>
    <cellStyle name="표준 64 2 3" xfId="2475" xr:uid="{00000000-0005-0000-0000-0000C6100000}"/>
    <cellStyle name="표준 64 2 3 2" xfId="2476" xr:uid="{00000000-0005-0000-0000-0000C7100000}"/>
    <cellStyle name="표준 64 2 3 2 2" xfId="2477" xr:uid="{00000000-0005-0000-0000-0000C8100000}"/>
    <cellStyle name="표준 64 2 3 3" xfId="2478" xr:uid="{00000000-0005-0000-0000-0000C9100000}"/>
    <cellStyle name="표준 64 2 3 3 2" xfId="2479" xr:uid="{00000000-0005-0000-0000-0000CA100000}"/>
    <cellStyle name="표준 64 2 3 4" xfId="2480" xr:uid="{00000000-0005-0000-0000-0000CB100000}"/>
    <cellStyle name="표준 64 2 4" xfId="2481" xr:uid="{00000000-0005-0000-0000-0000CC100000}"/>
    <cellStyle name="표준 64 2 4 2" xfId="2482" xr:uid="{00000000-0005-0000-0000-0000CD100000}"/>
    <cellStyle name="표준 64 2 5" xfId="2483" xr:uid="{00000000-0005-0000-0000-0000CE100000}"/>
    <cellStyle name="표준 64 2 5 2" xfId="2484" xr:uid="{00000000-0005-0000-0000-0000CF100000}"/>
    <cellStyle name="표준 64 2 6" xfId="2485" xr:uid="{00000000-0005-0000-0000-0000D0100000}"/>
    <cellStyle name="표준 64 2 6 2" xfId="2486" xr:uid="{00000000-0005-0000-0000-0000D1100000}"/>
    <cellStyle name="표준 64 2 7" xfId="2487" xr:uid="{00000000-0005-0000-0000-0000D2100000}"/>
    <cellStyle name="표준 64 2 7 2" xfId="2488" xr:uid="{00000000-0005-0000-0000-0000D3100000}"/>
    <cellStyle name="표준 64 2 8" xfId="2489" xr:uid="{00000000-0005-0000-0000-0000D4100000}"/>
    <cellStyle name="표준 64 2 8 2" xfId="2490" xr:uid="{00000000-0005-0000-0000-0000D5100000}"/>
    <cellStyle name="표준 64 2 9" xfId="2491" xr:uid="{00000000-0005-0000-0000-0000D6100000}"/>
    <cellStyle name="표준 65" xfId="2492" xr:uid="{00000000-0005-0000-0000-0000D7100000}"/>
    <cellStyle name="표준 65 2" xfId="2493" xr:uid="{00000000-0005-0000-0000-0000D8100000}"/>
    <cellStyle name="표준 65 3" xfId="4188" xr:uid="{00000000-0005-0000-0000-0000D9100000}"/>
    <cellStyle name="표준 66" xfId="2494" xr:uid="{00000000-0005-0000-0000-0000DA100000}"/>
    <cellStyle name="표준 66 2" xfId="2495" xr:uid="{00000000-0005-0000-0000-0000DB100000}"/>
    <cellStyle name="표준 66 3" xfId="2496" xr:uid="{00000000-0005-0000-0000-0000DC100000}"/>
    <cellStyle name="표준 66 4" xfId="4189" xr:uid="{00000000-0005-0000-0000-0000DD100000}"/>
    <cellStyle name="표준 67" xfId="2497" xr:uid="{00000000-0005-0000-0000-0000DE100000}"/>
    <cellStyle name="표준 67 2" xfId="2498" xr:uid="{00000000-0005-0000-0000-0000DF100000}"/>
    <cellStyle name="표준 67 3" xfId="4190" xr:uid="{00000000-0005-0000-0000-0000E0100000}"/>
    <cellStyle name="표준 68" xfId="2499" xr:uid="{00000000-0005-0000-0000-0000E1100000}"/>
    <cellStyle name="표준 69" xfId="2500" xr:uid="{00000000-0005-0000-0000-0000E2100000}"/>
    <cellStyle name="표준 69 2" xfId="2501" xr:uid="{00000000-0005-0000-0000-0000E3100000}"/>
    <cellStyle name="표준 7" xfId="2502" xr:uid="{00000000-0005-0000-0000-0000E4100000}"/>
    <cellStyle name="표준 7 2" xfId="2503" xr:uid="{00000000-0005-0000-0000-0000E5100000}"/>
    <cellStyle name="표준 7 2 2" xfId="2504" xr:uid="{00000000-0005-0000-0000-0000E6100000}"/>
    <cellStyle name="표준 7 3" xfId="2505" xr:uid="{00000000-0005-0000-0000-0000E7100000}"/>
    <cellStyle name="표준 7 3 2" xfId="2506" xr:uid="{00000000-0005-0000-0000-0000E8100000}"/>
    <cellStyle name="표준 7 4" xfId="2507" xr:uid="{00000000-0005-0000-0000-0000E9100000}"/>
    <cellStyle name="표준 7 5" xfId="2508" xr:uid="{00000000-0005-0000-0000-0000EA100000}"/>
    <cellStyle name="표준 7 6" xfId="2509" xr:uid="{00000000-0005-0000-0000-0000EB100000}"/>
    <cellStyle name="표준 7 7" xfId="2510" xr:uid="{00000000-0005-0000-0000-0000EC100000}"/>
    <cellStyle name="표준 7_14-16.공공도서관" xfId="2511" xr:uid="{00000000-0005-0000-0000-0000ED100000}"/>
    <cellStyle name="표준 70" xfId="2512" xr:uid="{00000000-0005-0000-0000-0000EE100000}"/>
    <cellStyle name="표준 70 2" xfId="2513" xr:uid="{00000000-0005-0000-0000-0000EF100000}"/>
    <cellStyle name="표준 70 3" xfId="4191" xr:uid="{00000000-0005-0000-0000-0000F0100000}"/>
    <cellStyle name="표준 71" xfId="2514" xr:uid="{00000000-0005-0000-0000-0000F1100000}"/>
    <cellStyle name="표준 71 2" xfId="2515" xr:uid="{00000000-0005-0000-0000-0000F2100000}"/>
    <cellStyle name="표준 71 3" xfId="4192" xr:uid="{00000000-0005-0000-0000-0000F3100000}"/>
    <cellStyle name="표준 72" xfId="2516" xr:uid="{00000000-0005-0000-0000-0000F4100000}"/>
    <cellStyle name="표준 72 2" xfId="2517" xr:uid="{00000000-0005-0000-0000-0000F5100000}"/>
    <cellStyle name="표준 72 3" xfId="4193" xr:uid="{00000000-0005-0000-0000-0000F6100000}"/>
    <cellStyle name="표준 73" xfId="2518" xr:uid="{00000000-0005-0000-0000-0000F7100000}"/>
    <cellStyle name="표준 73 2" xfId="2519" xr:uid="{00000000-0005-0000-0000-0000F8100000}"/>
    <cellStyle name="표준 74" xfId="2520" xr:uid="{00000000-0005-0000-0000-0000F9100000}"/>
    <cellStyle name="표준 74 2" xfId="2521" xr:uid="{00000000-0005-0000-0000-0000FA100000}"/>
    <cellStyle name="표준 74 3" xfId="4194" xr:uid="{00000000-0005-0000-0000-0000FB100000}"/>
    <cellStyle name="표준 75" xfId="2522" xr:uid="{00000000-0005-0000-0000-0000FC100000}"/>
    <cellStyle name="표준 75 2" xfId="2523" xr:uid="{00000000-0005-0000-0000-0000FD100000}"/>
    <cellStyle name="표준 75 3" xfId="4195" xr:uid="{00000000-0005-0000-0000-0000FE100000}"/>
    <cellStyle name="표준 76" xfId="2524" xr:uid="{00000000-0005-0000-0000-0000FF100000}"/>
    <cellStyle name="표준 76 2" xfId="2525" xr:uid="{00000000-0005-0000-0000-000000110000}"/>
    <cellStyle name="표준 76 3" xfId="4196" xr:uid="{00000000-0005-0000-0000-000001110000}"/>
    <cellStyle name="표준 77" xfId="2526" xr:uid="{00000000-0005-0000-0000-000002110000}"/>
    <cellStyle name="표준 77 2" xfId="2527" xr:uid="{00000000-0005-0000-0000-000003110000}"/>
    <cellStyle name="표준 77 3" xfId="2528" xr:uid="{00000000-0005-0000-0000-000004110000}"/>
    <cellStyle name="표준 78" xfId="2529" xr:uid="{00000000-0005-0000-0000-000005110000}"/>
    <cellStyle name="표준 78 2" xfId="2530" xr:uid="{00000000-0005-0000-0000-000006110000}"/>
    <cellStyle name="표준 78 3" xfId="2531" xr:uid="{00000000-0005-0000-0000-000007110000}"/>
    <cellStyle name="표준 78 4" xfId="4197" xr:uid="{00000000-0005-0000-0000-000008110000}"/>
    <cellStyle name="표준 79" xfId="2532" xr:uid="{00000000-0005-0000-0000-000009110000}"/>
    <cellStyle name="표준 79 2" xfId="2533" xr:uid="{00000000-0005-0000-0000-00000A110000}"/>
    <cellStyle name="표준 79 3" xfId="2534" xr:uid="{00000000-0005-0000-0000-00000B110000}"/>
    <cellStyle name="표준 79 4" xfId="4198" xr:uid="{00000000-0005-0000-0000-00000C110000}"/>
    <cellStyle name="표준 8" xfId="2535" xr:uid="{00000000-0005-0000-0000-00000D110000}"/>
    <cellStyle name="표준 8 10" xfId="4199" xr:uid="{00000000-0005-0000-0000-00000E110000}"/>
    <cellStyle name="표준 8 2" xfId="2536" xr:uid="{00000000-0005-0000-0000-00000F110000}"/>
    <cellStyle name="표준 8 2 2" xfId="2537" xr:uid="{00000000-0005-0000-0000-000010110000}"/>
    <cellStyle name="표준 8 3" xfId="2538" xr:uid="{00000000-0005-0000-0000-000011110000}"/>
    <cellStyle name="표준 8 3 2" xfId="2539" xr:uid="{00000000-0005-0000-0000-000012110000}"/>
    <cellStyle name="표준 8 4" xfId="2540" xr:uid="{00000000-0005-0000-0000-000013110000}"/>
    <cellStyle name="표준 8 5" xfId="2541" xr:uid="{00000000-0005-0000-0000-000014110000}"/>
    <cellStyle name="표준 8 6" xfId="2542" xr:uid="{00000000-0005-0000-0000-000015110000}"/>
    <cellStyle name="표준 8 7" xfId="2543" xr:uid="{00000000-0005-0000-0000-000016110000}"/>
    <cellStyle name="표준 8 8" xfId="4200" xr:uid="{00000000-0005-0000-0000-000017110000}"/>
    <cellStyle name="표준 8 9" xfId="4201" xr:uid="{00000000-0005-0000-0000-000018110000}"/>
    <cellStyle name="표준 8_14-16.공공도서관" xfId="2544" xr:uid="{00000000-0005-0000-0000-000019110000}"/>
    <cellStyle name="표준 80" xfId="2545" xr:uid="{00000000-0005-0000-0000-00001A110000}"/>
    <cellStyle name="표준 80 2" xfId="2546" xr:uid="{00000000-0005-0000-0000-00001B110000}"/>
    <cellStyle name="표준 80 3" xfId="2547" xr:uid="{00000000-0005-0000-0000-00001C110000}"/>
    <cellStyle name="표준 80 4" xfId="4202" xr:uid="{00000000-0005-0000-0000-00001D110000}"/>
    <cellStyle name="표준 81" xfId="2548" xr:uid="{00000000-0005-0000-0000-00001E110000}"/>
    <cellStyle name="표준 81 2" xfId="2549" xr:uid="{00000000-0005-0000-0000-00001F110000}"/>
    <cellStyle name="표준 81 3" xfId="2550" xr:uid="{00000000-0005-0000-0000-000020110000}"/>
    <cellStyle name="표준 82" xfId="2551" xr:uid="{00000000-0005-0000-0000-000021110000}"/>
    <cellStyle name="표준 82 2" xfId="2552" xr:uid="{00000000-0005-0000-0000-000022110000}"/>
    <cellStyle name="표준 82 3" xfId="2553" xr:uid="{00000000-0005-0000-0000-000023110000}"/>
    <cellStyle name="표준 82 4" xfId="4203" xr:uid="{00000000-0005-0000-0000-000024110000}"/>
    <cellStyle name="표준 83" xfId="2554" xr:uid="{00000000-0005-0000-0000-000025110000}"/>
    <cellStyle name="표준 83 2" xfId="4204" xr:uid="{00000000-0005-0000-0000-000026110000}"/>
    <cellStyle name="표준 84" xfId="2555" xr:uid="{00000000-0005-0000-0000-000027110000}"/>
    <cellStyle name="표준 84 2" xfId="2556" xr:uid="{00000000-0005-0000-0000-000028110000}"/>
    <cellStyle name="표준 84 3" xfId="4205" xr:uid="{00000000-0005-0000-0000-000029110000}"/>
    <cellStyle name="표준 85" xfId="2557" xr:uid="{00000000-0005-0000-0000-00002A110000}"/>
    <cellStyle name="표준 85 2" xfId="2558" xr:uid="{00000000-0005-0000-0000-00002B110000}"/>
    <cellStyle name="표준 86" xfId="2559" xr:uid="{00000000-0005-0000-0000-00002C110000}"/>
    <cellStyle name="표준 86 2" xfId="2560" xr:uid="{00000000-0005-0000-0000-00002D110000}"/>
    <cellStyle name="표준 86 3" xfId="4206" xr:uid="{00000000-0005-0000-0000-00002E110000}"/>
    <cellStyle name="표준 87" xfId="2561" xr:uid="{00000000-0005-0000-0000-00002F110000}"/>
    <cellStyle name="표준 87 2" xfId="2562" xr:uid="{00000000-0005-0000-0000-000030110000}"/>
    <cellStyle name="표준 87 3" xfId="4207" xr:uid="{00000000-0005-0000-0000-000031110000}"/>
    <cellStyle name="표준 88" xfId="2563" xr:uid="{00000000-0005-0000-0000-000032110000}"/>
    <cellStyle name="표준 88 2" xfId="2564" xr:uid="{00000000-0005-0000-0000-000033110000}"/>
    <cellStyle name="표준 88 3" xfId="4208" xr:uid="{00000000-0005-0000-0000-000034110000}"/>
    <cellStyle name="표준 89" xfId="2565" xr:uid="{00000000-0005-0000-0000-000035110000}"/>
    <cellStyle name="표준 89 2" xfId="2566" xr:uid="{00000000-0005-0000-0000-000036110000}"/>
    <cellStyle name="표준 9" xfId="2567" xr:uid="{00000000-0005-0000-0000-000037110000}"/>
    <cellStyle name="표준 9 2" xfId="2568" xr:uid="{00000000-0005-0000-0000-000038110000}"/>
    <cellStyle name="표준 9 2 2" xfId="2569" xr:uid="{00000000-0005-0000-0000-000039110000}"/>
    <cellStyle name="표준 9 3" xfId="2570" xr:uid="{00000000-0005-0000-0000-00003A110000}"/>
    <cellStyle name="표준 9 3 2" xfId="2571" xr:uid="{00000000-0005-0000-0000-00003B110000}"/>
    <cellStyle name="표준 9 4" xfId="2572" xr:uid="{00000000-0005-0000-0000-00003C110000}"/>
    <cellStyle name="표준 9 4 2" xfId="2573" xr:uid="{00000000-0005-0000-0000-00003D110000}"/>
    <cellStyle name="표준 9 5" xfId="2574" xr:uid="{00000000-0005-0000-0000-00003E110000}"/>
    <cellStyle name="표준 9 5 2" xfId="2575" xr:uid="{00000000-0005-0000-0000-00003F110000}"/>
    <cellStyle name="표준 9 6" xfId="2576" xr:uid="{00000000-0005-0000-0000-000040110000}"/>
    <cellStyle name="표준 9 7" xfId="2577" xr:uid="{00000000-0005-0000-0000-000041110000}"/>
    <cellStyle name="표준 9_14-16.공공도서관" xfId="2578" xr:uid="{00000000-0005-0000-0000-000042110000}"/>
    <cellStyle name="표준 90" xfId="2579" xr:uid="{00000000-0005-0000-0000-000043110000}"/>
    <cellStyle name="표준 90 2" xfId="2580" xr:uid="{00000000-0005-0000-0000-000044110000}"/>
    <cellStyle name="표준 90 3" xfId="4209" xr:uid="{00000000-0005-0000-0000-000045110000}"/>
    <cellStyle name="표준 91" xfId="2581" xr:uid="{00000000-0005-0000-0000-000046110000}"/>
    <cellStyle name="표준 91 2" xfId="2582" xr:uid="{00000000-0005-0000-0000-000047110000}"/>
    <cellStyle name="표준 91 3" xfId="4210" xr:uid="{00000000-0005-0000-0000-000048110000}"/>
    <cellStyle name="표준 92" xfId="2583" xr:uid="{00000000-0005-0000-0000-000049110000}"/>
    <cellStyle name="표준 92 2" xfId="2584" xr:uid="{00000000-0005-0000-0000-00004A110000}"/>
    <cellStyle name="표준 92 3" xfId="4211" xr:uid="{00000000-0005-0000-0000-00004B110000}"/>
    <cellStyle name="표준 93" xfId="2585" xr:uid="{00000000-0005-0000-0000-00004C110000}"/>
    <cellStyle name="표준 93 2" xfId="2586" xr:uid="{00000000-0005-0000-0000-00004D110000}"/>
    <cellStyle name="표준 94" xfId="2587" xr:uid="{00000000-0005-0000-0000-00004E110000}"/>
    <cellStyle name="표준 94 2" xfId="2588" xr:uid="{00000000-0005-0000-0000-00004F110000}"/>
    <cellStyle name="표준 94 3" xfId="4212" xr:uid="{00000000-0005-0000-0000-000050110000}"/>
    <cellStyle name="표준 95" xfId="2589" xr:uid="{00000000-0005-0000-0000-000051110000}"/>
    <cellStyle name="표준 95 2" xfId="4213" xr:uid="{00000000-0005-0000-0000-000052110000}"/>
    <cellStyle name="표준 96" xfId="2590" xr:uid="{00000000-0005-0000-0000-000053110000}"/>
    <cellStyle name="표준 96 2" xfId="2591" xr:uid="{00000000-0005-0000-0000-000054110000}"/>
    <cellStyle name="표준 96 3" xfId="4214" xr:uid="{00000000-0005-0000-0000-000055110000}"/>
    <cellStyle name="표준 97" xfId="2592" xr:uid="{00000000-0005-0000-0000-000056110000}"/>
    <cellStyle name="표준 97 2" xfId="4215" xr:uid="{00000000-0005-0000-0000-000057110000}"/>
    <cellStyle name="표준 98" xfId="2593" xr:uid="{00000000-0005-0000-0000-000058110000}"/>
    <cellStyle name="표준 98 2" xfId="2594" xr:uid="{00000000-0005-0000-0000-000059110000}"/>
    <cellStyle name="표준 98 3" xfId="4216" xr:uid="{00000000-0005-0000-0000-00005A110000}"/>
    <cellStyle name="표준 99" xfId="2595" xr:uid="{00000000-0005-0000-0000-00005B110000}"/>
    <cellStyle name="표준 99 2" xfId="2596" xr:uid="{00000000-0005-0000-0000-00005C110000}"/>
    <cellStyle name="표준 99 3" xfId="4217" xr:uid="{00000000-0005-0000-0000-00005D110000}"/>
    <cellStyle name="표준_03-인구" xfId="4225" xr:uid="{00000000-0005-0000-0000-00005E110000}"/>
    <cellStyle name="표준_03-인구(시군)" xfId="4226" xr:uid="{00000000-0005-0000-0000-00005F110000}"/>
    <cellStyle name="표준_11-보건사회복지(시군)" xfId="4457" xr:uid="{00000000-0005-0000-0000-000060110000}"/>
    <cellStyle name="표준_12-보건사회복지" xfId="2608" xr:uid="{00000000-0005-0000-0000-000061110000}"/>
    <cellStyle name="표준_Book3" xfId="2618" xr:uid="{00000000-0005-0000-0000-000062110000}"/>
    <cellStyle name="표준_Sheet1 2" xfId="2619" xr:uid="{00000000-0005-0000-0000-000063110000}"/>
    <cellStyle name="표준_국민연금연구원" xfId="4222" xr:uid="{00000000-0005-0000-0000-000064110000}"/>
    <cellStyle name="표준_여성가족과" xfId="4456" xr:uid="{00000000-0005-0000-0000-000065110000}"/>
    <cellStyle name="하이퍼링크 2" xfId="2597" xr:uid="{00000000-0005-0000-0000-000066110000}"/>
    <cellStyle name="합산" xfId="2598" xr:uid="{00000000-0005-0000-0000-000067110000}"/>
    <cellStyle name="합산 2" xfId="2599" xr:uid="{00000000-0005-0000-0000-000068110000}"/>
    <cellStyle name="화폐기호" xfId="2600" xr:uid="{00000000-0005-0000-0000-000069110000}"/>
    <cellStyle name="화폐기호 2" xfId="2601" xr:uid="{00000000-0005-0000-0000-00006A110000}"/>
    <cellStyle name="화폐기호0" xfId="2602" xr:uid="{00000000-0005-0000-0000-00006B110000}"/>
    <cellStyle name="화폐기호0 2" xfId="2603" xr:uid="{00000000-0005-0000-0000-00006C110000}"/>
  </cellStyles>
  <dxfs count="0"/>
  <tableStyles count="0" defaultTableStyle="TableStyleMedium2" defaultPivotStyle="PivotStyleLight16"/>
  <colors>
    <mruColors>
      <color rgb="FF6181BD"/>
      <color rgb="FF4F81BD"/>
      <color rgb="FF6699FF"/>
      <color rgb="FF220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tat.gwd.go.kr/&#53685;&#44228;/&#53685;&#44228;&#50672;&#48372;/2012/8.7&#49688;&#51221;/&#49324;&#50629;&#52404;&#52572;&#51333;&#44208;&#44284;/1.%20&#51312;&#49324;&#44208;&#44284;%20&#53685;&#44228;&#54364;/&#51021;&#47732;&#46041;&#48324;%20&#49328;&#50629;&#45824;&#48516;&#47448;%20&#53685;&#44228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892;&#51109;\d\&#51116;&#44032;&#48373;&#51648;&#49884;&#49444;\&#51116;&#44032;&#49884;&#49444;(2004)\&#51116;&#44032;&#49884;&#49444;&#54788;&#54889;\&#49436;&#50872;&#49884;&#51116;&#44032;&#49884;&#49444;&#54788;&#54889;(04&#49688;&#49884;&#48320;&#44221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1"/>
      <sheetName val="Template_2"/>
      <sheetName val="Data"/>
      <sheetName val="11-9.선박등록"/>
      <sheetName val="11-10.여객선수송"/>
      <sheetName val="11-11.정기여객선수송"/>
      <sheetName val="11-12.정기여객선취항"/>
      <sheetName val="11-13.해운화물수송"/>
      <sheetName val="11-14.컨테이너수송"/>
      <sheetName val="11-15.항로표지"/>
      <sheetName val="11-16.관광사업체"/>
      <sheetName val="11-17.관광지방문객"/>
      <sheetName val="11-18.관광지지정(개황)"/>
      <sheetName val="11-19.해수욕장 이용"/>
      <sheetName val="11-20.관광호텔"/>
      <sheetName val="11-21.우편시설"/>
      <sheetName val="11-22.우편물취급"/>
      <sheetName val="11-23.우편요금수입"/>
      <sheetName val="14-26.청소년수련시설"/>
      <sheetName val="14-27.언론매체"/>
      <sheetName val="14-28.출판인쇄및기록물매체복제업"/>
      <sheetName val=" 견적서"/>
    </sheetNames>
    <sheetDataSet>
      <sheetData sheetId="0">
        <row r="3">
          <cell r="D3" t="str">
            <v>WD_JIP_03</v>
          </cell>
          <cell r="E3">
            <v>7</v>
          </cell>
          <cell r="H3" t="str">
            <v>10.134.2.139</v>
          </cell>
          <cell r="I3" t="str">
            <v>N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년현황"/>
      <sheetName val="구별현황(시설)"/>
      <sheetName val="구별현황(인원)"/>
      <sheetName val="주간보호"/>
      <sheetName val="단기보호"/>
      <sheetName val="봉사원파견"/>
      <sheetName val="주간치매"/>
      <sheetName val="주간병설"/>
      <sheetName val="단"/>
      <sheetName val="가"/>
      <sheetName val="봉사원파견 (2)"/>
    </sheetNames>
    <sheetDataSet>
      <sheetData sheetId="0"/>
      <sheetData sheetId="1"/>
      <sheetData sheetId="2"/>
      <sheetData sheetId="3" refreshError="1">
        <row r="6">
          <cell r="D6" t="str">
            <v>일반</v>
          </cell>
        </row>
        <row r="7">
          <cell r="D7" t="str">
            <v>일반</v>
          </cell>
        </row>
        <row r="8">
          <cell r="D8" t="str">
            <v>일반</v>
          </cell>
        </row>
        <row r="9">
          <cell r="D9" t="str">
            <v>일반</v>
          </cell>
        </row>
        <row r="10">
          <cell r="D10" t="str">
            <v>일반</v>
          </cell>
        </row>
        <row r="11">
          <cell r="D11" t="str">
            <v>일반</v>
          </cell>
        </row>
        <row r="12">
          <cell r="D12" t="str">
            <v>일반</v>
          </cell>
        </row>
        <row r="13">
          <cell r="D13" t="str">
            <v>일반</v>
          </cell>
        </row>
        <row r="14">
          <cell r="D14" t="str">
            <v>일반</v>
          </cell>
        </row>
        <row r="15">
          <cell r="D15" t="str">
            <v>일반</v>
          </cell>
        </row>
        <row r="16">
          <cell r="D16" t="str">
            <v>일반</v>
          </cell>
        </row>
        <row r="17">
          <cell r="D17" t="str">
            <v>일반</v>
          </cell>
        </row>
        <row r="18">
          <cell r="D18" t="str">
            <v>일반</v>
          </cell>
        </row>
        <row r="19">
          <cell r="D19" t="str">
            <v>일반</v>
          </cell>
        </row>
        <row r="20">
          <cell r="D20" t="str">
            <v>일반</v>
          </cell>
        </row>
        <row r="21">
          <cell r="D21" t="str">
            <v>일반</v>
          </cell>
        </row>
        <row r="22">
          <cell r="D22" t="str">
            <v>일반</v>
          </cell>
        </row>
        <row r="23">
          <cell r="D23" t="str">
            <v>일반</v>
          </cell>
        </row>
        <row r="24">
          <cell r="D24" t="str">
            <v>일반</v>
          </cell>
        </row>
        <row r="25">
          <cell r="D25" t="str">
            <v>일반</v>
          </cell>
        </row>
        <row r="26">
          <cell r="D26" t="str">
            <v>일반</v>
          </cell>
        </row>
        <row r="27">
          <cell r="D27" t="str">
            <v>일반</v>
          </cell>
        </row>
        <row r="28">
          <cell r="D28" t="str">
            <v>일반</v>
          </cell>
        </row>
        <row r="29">
          <cell r="D29" t="str">
            <v>일반</v>
          </cell>
        </row>
        <row r="30">
          <cell r="D30" t="str">
            <v>치매</v>
          </cell>
        </row>
        <row r="31">
          <cell r="D31" t="str">
            <v>치매</v>
          </cell>
        </row>
        <row r="32">
          <cell r="D32" t="str">
            <v>치매</v>
          </cell>
        </row>
        <row r="33">
          <cell r="D33" t="str">
            <v>치매</v>
          </cell>
        </row>
        <row r="34">
          <cell r="D34" t="str">
            <v>치매</v>
          </cell>
        </row>
        <row r="35">
          <cell r="D35" t="str">
            <v>치매</v>
          </cell>
        </row>
        <row r="36">
          <cell r="D36" t="str">
            <v>치매</v>
          </cell>
        </row>
        <row r="37">
          <cell r="D37" t="str">
            <v>치매</v>
          </cell>
        </row>
        <row r="38">
          <cell r="D38" t="str">
            <v>치매</v>
          </cell>
        </row>
        <row r="39">
          <cell r="D39" t="str">
            <v>치매</v>
          </cell>
        </row>
        <row r="40">
          <cell r="D40" t="str">
            <v>치매</v>
          </cell>
        </row>
        <row r="41">
          <cell r="D41" t="str">
            <v>치매</v>
          </cell>
        </row>
        <row r="42">
          <cell r="D42" t="str">
            <v>치매</v>
          </cell>
        </row>
        <row r="43">
          <cell r="D43" t="str">
            <v>치매</v>
          </cell>
        </row>
        <row r="44">
          <cell r="D44" t="str">
            <v>치매</v>
          </cell>
        </row>
        <row r="45">
          <cell r="D45" t="str">
            <v>치매</v>
          </cell>
        </row>
        <row r="46">
          <cell r="D46" t="str">
            <v>치매</v>
          </cell>
        </row>
        <row r="47">
          <cell r="D47" t="str">
            <v>치매</v>
          </cell>
        </row>
        <row r="48">
          <cell r="D48" t="str">
            <v>치매</v>
          </cell>
        </row>
        <row r="49">
          <cell r="D49" t="str">
            <v>치매</v>
          </cell>
        </row>
        <row r="50">
          <cell r="D50" t="str">
            <v>치매</v>
          </cell>
        </row>
        <row r="55">
          <cell r="D55" t="str">
            <v>치매</v>
          </cell>
        </row>
        <row r="56">
          <cell r="D56" t="str">
            <v>치매</v>
          </cell>
        </row>
        <row r="57">
          <cell r="D57" t="str">
            <v>치매</v>
          </cell>
        </row>
        <row r="58">
          <cell r="D58" t="str">
            <v>치매</v>
          </cell>
        </row>
        <row r="59">
          <cell r="D59" t="str">
            <v>치매</v>
          </cell>
        </row>
        <row r="60">
          <cell r="D60" t="str">
            <v>치매</v>
          </cell>
        </row>
        <row r="61">
          <cell r="D61" t="str">
            <v>치매</v>
          </cell>
        </row>
        <row r="62">
          <cell r="D62" t="str">
            <v>치매</v>
          </cell>
        </row>
        <row r="63">
          <cell r="D63" t="str">
            <v>치매</v>
          </cell>
        </row>
        <row r="64">
          <cell r="D64" t="str">
            <v>치매</v>
          </cell>
        </row>
        <row r="65">
          <cell r="D65" t="str">
            <v>치매</v>
          </cell>
        </row>
        <row r="66">
          <cell r="D66" t="str">
            <v>일반</v>
          </cell>
        </row>
        <row r="67">
          <cell r="D67" t="str">
            <v>일반</v>
          </cell>
        </row>
        <row r="68">
          <cell r="D68" t="str">
            <v>일반</v>
          </cell>
        </row>
        <row r="69">
          <cell r="D69" t="str">
            <v>일반</v>
          </cell>
        </row>
        <row r="70">
          <cell r="D70" t="str">
            <v>일반</v>
          </cell>
        </row>
        <row r="71">
          <cell r="D71" t="str">
            <v>일반</v>
          </cell>
        </row>
        <row r="72">
          <cell r="D72" t="str">
            <v>일반</v>
          </cell>
        </row>
        <row r="73">
          <cell r="D73" t="str">
            <v>일반</v>
          </cell>
        </row>
        <row r="74">
          <cell r="D74" t="str">
            <v>일반</v>
          </cell>
        </row>
        <row r="75">
          <cell r="D75" t="str">
            <v>일반</v>
          </cell>
        </row>
        <row r="76">
          <cell r="D76" t="str">
            <v>일반</v>
          </cell>
        </row>
        <row r="77">
          <cell r="D77" t="str">
            <v>일반</v>
          </cell>
        </row>
        <row r="78">
          <cell r="D78" t="str">
            <v>일반</v>
          </cell>
        </row>
        <row r="79">
          <cell r="D79" t="str">
            <v>일반</v>
          </cell>
        </row>
      </sheetData>
      <sheetData sheetId="4"/>
      <sheetData sheetId="5" refreshError="1">
        <row r="43">
          <cell r="B43" t="str">
            <v>관할구</v>
          </cell>
        </row>
        <row r="44">
          <cell r="B44" t="str">
            <v>영등포구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45"/>
  <sheetViews>
    <sheetView tabSelected="1" zoomScale="85" zoomScaleNormal="85" zoomScaleSheetLayoutView="100" workbookViewId="0">
      <selection activeCell="A2" sqref="A2:L2"/>
    </sheetView>
  </sheetViews>
  <sheetFormatPr defaultRowHeight="16.5"/>
  <cols>
    <col min="1" max="1" width="10.75" style="518" customWidth="1"/>
    <col min="2" max="2" width="9" style="518"/>
    <col min="3" max="3" width="12.25" style="518" customWidth="1"/>
    <col min="4" max="15" width="9" style="518"/>
    <col min="16" max="16" width="12.25" style="518" customWidth="1"/>
    <col min="17" max="17" width="11.5" style="518" customWidth="1"/>
    <col min="18" max="18" width="11.25" style="518" customWidth="1"/>
    <col min="19" max="19" width="13" style="518" customWidth="1"/>
    <col min="20" max="26" width="9" style="518"/>
    <col min="27" max="27" width="11.25" style="518" customWidth="1"/>
    <col min="28" max="16384" width="9" style="518"/>
  </cols>
  <sheetData>
    <row r="1" spans="1:32" s="592" customFormat="1" ht="26.25" customHeight="1">
      <c r="A1" s="592" t="s">
        <v>1604</v>
      </c>
      <c r="B1" s="16"/>
      <c r="C1" s="16"/>
      <c r="D1" s="16"/>
      <c r="E1" s="16"/>
      <c r="F1" s="16"/>
      <c r="G1" s="16"/>
      <c r="H1" s="16"/>
      <c r="I1" s="16"/>
      <c r="J1" s="16"/>
      <c r="K1" s="16" t="s">
        <v>837</v>
      </c>
      <c r="L1" s="16"/>
      <c r="N1" s="16" t="s">
        <v>1604</v>
      </c>
      <c r="O1" s="16"/>
      <c r="P1" s="16"/>
      <c r="Q1" s="16"/>
      <c r="R1" s="16"/>
      <c r="S1" s="16"/>
      <c r="T1" s="16"/>
      <c r="U1" s="16"/>
      <c r="X1" s="16" t="s">
        <v>818</v>
      </c>
      <c r="Z1" s="875"/>
    </row>
    <row r="2" spans="1:32" s="385" customFormat="1" ht="24.95" customHeight="1">
      <c r="A2" s="1323" t="s">
        <v>819</v>
      </c>
      <c r="B2" s="1323"/>
      <c r="C2" s="1323"/>
      <c r="D2" s="1323"/>
      <c r="E2" s="1323"/>
      <c r="F2" s="1323"/>
      <c r="G2" s="1323"/>
      <c r="H2" s="1323"/>
      <c r="I2" s="1323"/>
      <c r="J2" s="1323"/>
      <c r="K2" s="1323"/>
      <c r="L2" s="1323"/>
      <c r="N2" s="1323" t="s">
        <v>820</v>
      </c>
      <c r="O2" s="1323"/>
      <c r="P2" s="1323"/>
      <c r="Q2" s="1323"/>
      <c r="R2" s="1323"/>
      <c r="S2" s="1323"/>
      <c r="T2" s="1323"/>
      <c r="U2" s="1323"/>
      <c r="V2" s="1323"/>
      <c r="W2" s="1323"/>
      <c r="X2" s="1323"/>
      <c r="Y2" s="1323"/>
      <c r="Z2" s="1323"/>
      <c r="AA2" s="1323"/>
      <c r="AB2" s="17"/>
      <c r="AC2" s="17"/>
      <c r="AD2" s="17"/>
      <c r="AE2" s="386"/>
      <c r="AF2" s="386"/>
    </row>
    <row r="3" spans="1:32" s="18" customFormat="1" ht="24.95" customHeight="1">
      <c r="A3" s="1320" t="s">
        <v>1008</v>
      </c>
      <c r="B3" s="1320"/>
      <c r="C3" s="1320"/>
      <c r="D3" s="1320"/>
      <c r="E3" s="1320"/>
      <c r="F3" s="1320"/>
      <c r="G3" s="1320"/>
      <c r="H3" s="1320"/>
      <c r="I3" s="1320"/>
      <c r="J3" s="1320"/>
      <c r="K3" s="1320"/>
      <c r="L3" s="1320"/>
      <c r="N3" s="1320" t="s">
        <v>1009</v>
      </c>
      <c r="O3" s="1320"/>
      <c r="P3" s="1320"/>
      <c r="Q3" s="1320"/>
      <c r="R3" s="1320"/>
      <c r="S3" s="1320"/>
      <c r="T3" s="1320"/>
      <c r="U3" s="1320"/>
      <c r="V3" s="1320"/>
      <c r="W3" s="1320"/>
      <c r="X3" s="1320"/>
      <c r="Y3" s="1320"/>
      <c r="Z3" s="1320"/>
      <c r="AA3" s="1320"/>
    </row>
    <row r="4" spans="1:32" s="18" customFormat="1" ht="9.9499999999999993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N4" s="792"/>
      <c r="O4" s="792"/>
      <c r="P4" s="792"/>
      <c r="Q4" s="792"/>
      <c r="R4" s="792"/>
      <c r="S4" s="792"/>
      <c r="T4" s="792"/>
      <c r="U4" s="792"/>
      <c r="V4" s="792"/>
      <c r="W4" s="792"/>
      <c r="X4" s="792"/>
      <c r="Y4" s="792"/>
      <c r="Z4" s="872"/>
      <c r="AA4" s="792"/>
    </row>
    <row r="5" spans="1:32" s="6" customFormat="1" ht="15" customHeight="1" thickBot="1">
      <c r="A5" s="48" t="s">
        <v>587</v>
      </c>
      <c r="B5" s="593"/>
      <c r="D5" s="6" t="s">
        <v>2</v>
      </c>
      <c r="N5" s="6" t="s">
        <v>1605</v>
      </c>
      <c r="AA5" s="387" t="s">
        <v>1017</v>
      </c>
    </row>
    <row r="6" spans="1:32" s="7" customFormat="1" ht="15.6" customHeight="1">
      <c r="A6" s="588" t="s">
        <v>1459</v>
      </c>
      <c r="B6" s="514" t="s">
        <v>1460</v>
      </c>
      <c r="C6" s="515"/>
      <c r="D6" s="1317" t="s">
        <v>1320</v>
      </c>
      <c r="E6" s="1318"/>
      <c r="F6" s="1318"/>
      <c r="G6" s="1318"/>
      <c r="H6" s="1318"/>
      <c r="I6" s="1318"/>
      <c r="J6" s="1318"/>
      <c r="K6" s="1319"/>
      <c r="L6" s="1326" t="s">
        <v>1461</v>
      </c>
      <c r="M6" s="1327"/>
      <c r="N6" s="514" t="s">
        <v>1012</v>
      </c>
      <c r="O6" s="515"/>
      <c r="P6" s="1317" t="s">
        <v>1325</v>
      </c>
      <c r="Q6" s="1318"/>
      <c r="R6" s="1318"/>
      <c r="S6" s="1319"/>
      <c r="T6" s="413" t="s">
        <v>1253</v>
      </c>
      <c r="U6" s="515"/>
      <c r="V6" s="514" t="s">
        <v>588</v>
      </c>
      <c r="W6" s="515"/>
      <c r="X6" s="482" t="s">
        <v>590</v>
      </c>
      <c r="Y6" s="873" t="s">
        <v>591</v>
      </c>
      <c r="Z6" s="482" t="s">
        <v>589</v>
      </c>
      <c r="AA6" s="81" t="s">
        <v>1610</v>
      </c>
    </row>
    <row r="7" spans="1:32" s="7" customFormat="1" ht="15.6" customHeight="1">
      <c r="A7" s="601"/>
      <c r="B7" s="521"/>
      <c r="C7" s="522"/>
      <c r="D7" s="1330" t="s">
        <v>1316</v>
      </c>
      <c r="E7" s="1331"/>
      <c r="F7" s="523" t="s">
        <v>1319</v>
      </c>
      <c r="G7" s="524"/>
      <c r="H7" s="1332" t="s">
        <v>1462</v>
      </c>
      <c r="I7" s="1333"/>
      <c r="J7" s="1334" t="s">
        <v>1317</v>
      </c>
      <c r="K7" s="1331"/>
      <c r="L7" s="1328" t="s">
        <v>1010</v>
      </c>
      <c r="M7" s="1325"/>
      <c r="N7" s="507" t="s">
        <v>592</v>
      </c>
      <c r="O7" s="522"/>
      <c r="P7" s="1329" t="s">
        <v>1322</v>
      </c>
      <c r="Q7" s="1325"/>
      <c r="R7" s="525" t="s">
        <v>1323</v>
      </c>
      <c r="S7" s="522"/>
      <c r="T7" s="1324" t="s">
        <v>1013</v>
      </c>
      <c r="U7" s="1325"/>
      <c r="V7" s="507"/>
      <c r="W7" s="522"/>
      <c r="X7" s="505" t="s">
        <v>2</v>
      </c>
      <c r="Y7" s="876" t="s">
        <v>1254</v>
      </c>
      <c r="Z7" s="506" t="s">
        <v>593</v>
      </c>
      <c r="AA7" s="898" t="s">
        <v>1611</v>
      </c>
    </row>
    <row r="8" spans="1:32" s="7" customFormat="1" ht="15.6" customHeight="1">
      <c r="A8" s="601"/>
      <c r="B8" s="521" t="s">
        <v>26</v>
      </c>
      <c r="C8" s="522"/>
      <c r="D8" s="1321" t="s">
        <v>594</v>
      </c>
      <c r="E8" s="1322"/>
      <c r="F8" s="521" t="s">
        <v>1318</v>
      </c>
      <c r="G8" s="528"/>
      <c r="H8" s="521" t="s">
        <v>595</v>
      </c>
      <c r="I8" s="521"/>
      <c r="J8" s="1321" t="s">
        <v>596</v>
      </c>
      <c r="K8" s="1322"/>
      <c r="L8" s="1321" t="s">
        <v>597</v>
      </c>
      <c r="M8" s="1322"/>
      <c r="N8" s="507" t="s">
        <v>1011</v>
      </c>
      <c r="O8" s="522"/>
      <c r="P8" s="1321" t="s">
        <v>1324</v>
      </c>
      <c r="Q8" s="1322"/>
      <c r="R8" s="507" t="s">
        <v>1321</v>
      </c>
      <c r="S8" s="522"/>
      <c r="T8" s="521" t="s">
        <v>1255</v>
      </c>
      <c r="U8" s="522"/>
      <c r="V8" s="507" t="s">
        <v>598</v>
      </c>
      <c r="W8" s="522"/>
      <c r="X8" s="504" t="s">
        <v>2</v>
      </c>
      <c r="Y8" s="509" t="s">
        <v>603</v>
      </c>
      <c r="Z8" s="874" t="s">
        <v>599</v>
      </c>
      <c r="AA8" s="91" t="s">
        <v>1612</v>
      </c>
    </row>
    <row r="9" spans="1:32" s="7" customFormat="1" ht="15.6" customHeight="1">
      <c r="A9" s="601"/>
      <c r="B9" s="597" t="s">
        <v>600</v>
      </c>
      <c r="C9" s="597" t="s">
        <v>601</v>
      </c>
      <c r="D9" s="597" t="s">
        <v>600</v>
      </c>
      <c r="E9" s="597" t="s">
        <v>601</v>
      </c>
      <c r="F9" s="591" t="s">
        <v>600</v>
      </c>
      <c r="G9" s="590" t="s">
        <v>601</v>
      </c>
      <c r="H9" s="597" t="s">
        <v>600</v>
      </c>
      <c r="I9" s="597" t="s">
        <v>601</v>
      </c>
      <c r="J9" s="597" t="s">
        <v>600</v>
      </c>
      <c r="K9" s="597" t="s">
        <v>601</v>
      </c>
      <c r="L9" s="591" t="s">
        <v>600</v>
      </c>
      <c r="M9" s="597" t="s">
        <v>601</v>
      </c>
      <c r="N9" s="597" t="s">
        <v>602</v>
      </c>
      <c r="O9" s="597" t="s">
        <v>601</v>
      </c>
      <c r="P9" s="591" t="s">
        <v>600</v>
      </c>
      <c r="Q9" s="597" t="s">
        <v>601</v>
      </c>
      <c r="R9" s="597" t="s">
        <v>600</v>
      </c>
      <c r="S9" s="597" t="s">
        <v>601</v>
      </c>
      <c r="T9" s="591" t="s">
        <v>600</v>
      </c>
      <c r="U9" s="597" t="s">
        <v>601</v>
      </c>
      <c r="V9" s="597" t="s">
        <v>600</v>
      </c>
      <c r="W9" s="597" t="s">
        <v>601</v>
      </c>
      <c r="X9" s="509" t="s">
        <v>1014</v>
      </c>
      <c r="Y9" s="509" t="s">
        <v>1015</v>
      </c>
      <c r="Z9" s="874" t="s">
        <v>604</v>
      </c>
      <c r="AA9" s="91" t="s">
        <v>1613</v>
      </c>
    </row>
    <row r="10" spans="1:32" s="7" customFormat="1" ht="15.6" customHeight="1">
      <c r="A10" s="516" t="s">
        <v>576</v>
      </c>
      <c r="B10" s="484" t="s">
        <v>605</v>
      </c>
      <c r="C10" s="484" t="s">
        <v>606</v>
      </c>
      <c r="D10" s="484" t="s">
        <v>607</v>
      </c>
      <c r="E10" s="484" t="s">
        <v>608</v>
      </c>
      <c r="F10" s="484" t="s">
        <v>607</v>
      </c>
      <c r="G10" s="484" t="s">
        <v>608</v>
      </c>
      <c r="H10" s="484" t="s">
        <v>607</v>
      </c>
      <c r="I10" s="484" t="s">
        <v>608</v>
      </c>
      <c r="J10" s="484" t="s">
        <v>607</v>
      </c>
      <c r="K10" s="484" t="s">
        <v>608</v>
      </c>
      <c r="L10" s="585" t="s">
        <v>609</v>
      </c>
      <c r="M10" s="484" t="s">
        <v>608</v>
      </c>
      <c r="N10" s="484" t="s">
        <v>607</v>
      </c>
      <c r="O10" s="484" t="s">
        <v>608</v>
      </c>
      <c r="P10" s="585" t="s">
        <v>607</v>
      </c>
      <c r="Q10" s="484" t="s">
        <v>608</v>
      </c>
      <c r="R10" s="484" t="s">
        <v>607</v>
      </c>
      <c r="S10" s="484" t="s">
        <v>608</v>
      </c>
      <c r="T10" s="585" t="s">
        <v>607</v>
      </c>
      <c r="U10" s="484" t="s">
        <v>608</v>
      </c>
      <c r="V10" s="484" t="s">
        <v>607</v>
      </c>
      <c r="W10" s="484" t="s">
        <v>608</v>
      </c>
      <c r="X10" s="484" t="s">
        <v>610</v>
      </c>
      <c r="Y10" s="484" t="s">
        <v>611</v>
      </c>
      <c r="Z10" s="871" t="s">
        <v>1016</v>
      </c>
      <c r="AA10" s="384" t="s">
        <v>1614</v>
      </c>
    </row>
    <row r="11" spans="1:32">
      <c r="A11" s="15">
        <v>2019</v>
      </c>
      <c r="B11" s="530">
        <v>327</v>
      </c>
      <c r="C11" s="303">
        <v>3812</v>
      </c>
      <c r="D11" s="303">
        <v>2</v>
      </c>
      <c r="E11" s="303">
        <v>1045</v>
      </c>
      <c r="F11" s="303">
        <v>6</v>
      </c>
      <c r="G11" s="303">
        <v>884</v>
      </c>
      <c r="H11" s="303">
        <v>3</v>
      </c>
      <c r="I11" s="303">
        <v>473</v>
      </c>
      <c r="J11" s="303">
        <v>161</v>
      </c>
      <c r="K11" s="303">
        <v>353</v>
      </c>
      <c r="L11" s="303">
        <v>5</v>
      </c>
      <c r="M11" s="303">
        <v>1057</v>
      </c>
      <c r="N11" s="303">
        <v>81</v>
      </c>
      <c r="O11" s="303">
        <v>0</v>
      </c>
      <c r="P11" s="303">
        <v>0</v>
      </c>
      <c r="Q11" s="303">
        <v>0</v>
      </c>
      <c r="R11" s="303">
        <v>66</v>
      </c>
      <c r="S11" s="303">
        <v>0</v>
      </c>
      <c r="T11" s="303">
        <v>0</v>
      </c>
      <c r="U11" s="303">
        <v>0</v>
      </c>
      <c r="V11" s="303">
        <v>3</v>
      </c>
      <c r="W11" s="303">
        <v>0</v>
      </c>
      <c r="X11" s="303">
        <v>1</v>
      </c>
      <c r="Y11" s="303">
        <v>10</v>
      </c>
      <c r="Z11" s="303">
        <v>13</v>
      </c>
      <c r="AA11" s="899">
        <v>0</v>
      </c>
    </row>
    <row r="12" spans="1:32">
      <c r="A12" s="15">
        <v>2020</v>
      </c>
      <c r="B12" s="303">
        <v>336</v>
      </c>
      <c r="C12" s="303">
        <v>3960</v>
      </c>
      <c r="D12" s="303">
        <v>2</v>
      </c>
      <c r="E12" s="303">
        <v>1045</v>
      </c>
      <c r="F12" s="303">
        <v>7</v>
      </c>
      <c r="G12" s="303">
        <v>1050</v>
      </c>
      <c r="H12" s="303">
        <v>3</v>
      </c>
      <c r="I12" s="303">
        <v>473</v>
      </c>
      <c r="J12" s="303">
        <v>162</v>
      </c>
      <c r="K12" s="303">
        <v>335</v>
      </c>
      <c r="L12" s="303">
        <v>5</v>
      </c>
      <c r="M12" s="303">
        <v>1057</v>
      </c>
      <c r="N12" s="303">
        <v>85</v>
      </c>
      <c r="O12" s="303">
        <v>0</v>
      </c>
      <c r="P12" s="303">
        <v>0</v>
      </c>
      <c r="Q12" s="303">
        <v>0</v>
      </c>
      <c r="R12" s="303">
        <v>69</v>
      </c>
      <c r="S12" s="303">
        <v>0</v>
      </c>
      <c r="T12" s="303">
        <v>0</v>
      </c>
      <c r="U12" s="303">
        <v>0</v>
      </c>
      <c r="V12" s="303">
        <v>3</v>
      </c>
      <c r="W12" s="303">
        <v>0</v>
      </c>
      <c r="X12" s="303">
        <v>1</v>
      </c>
      <c r="Y12" s="303">
        <v>10</v>
      </c>
      <c r="Z12" s="303">
        <v>13</v>
      </c>
      <c r="AA12" s="899">
        <v>0</v>
      </c>
    </row>
    <row r="13" spans="1:32">
      <c r="A13" s="15">
        <v>2021</v>
      </c>
      <c r="B13" s="303">
        <v>343</v>
      </c>
      <c r="C13" s="303">
        <v>4074</v>
      </c>
      <c r="D13" s="303">
        <v>2</v>
      </c>
      <c r="E13" s="303">
        <v>1010</v>
      </c>
      <c r="F13" s="303">
        <v>8</v>
      </c>
      <c r="G13" s="303">
        <v>1136</v>
      </c>
      <c r="H13" s="303">
        <v>3</v>
      </c>
      <c r="I13" s="303">
        <v>481</v>
      </c>
      <c r="J13" s="303">
        <v>166</v>
      </c>
      <c r="K13" s="303">
        <v>350</v>
      </c>
      <c r="L13" s="303">
        <v>5</v>
      </c>
      <c r="M13" s="303">
        <v>1034</v>
      </c>
      <c r="N13" s="303">
        <v>89</v>
      </c>
      <c r="O13" s="303">
        <v>0</v>
      </c>
      <c r="P13" s="303">
        <v>1</v>
      </c>
      <c r="Q13" s="303">
        <v>43</v>
      </c>
      <c r="R13" s="303">
        <v>68</v>
      </c>
      <c r="S13" s="303">
        <v>20</v>
      </c>
      <c r="T13" s="303">
        <v>0</v>
      </c>
      <c r="U13" s="303">
        <v>0</v>
      </c>
      <c r="V13" s="303">
        <v>1</v>
      </c>
      <c r="W13" s="303">
        <v>0</v>
      </c>
      <c r="X13" s="303">
        <v>1</v>
      </c>
      <c r="Y13" s="303">
        <v>10</v>
      </c>
      <c r="Z13" s="303">
        <v>13</v>
      </c>
      <c r="AA13" s="899">
        <v>0</v>
      </c>
    </row>
    <row r="14" spans="1:32">
      <c r="A14" s="15">
        <v>2022</v>
      </c>
      <c r="B14" s="303">
        <v>351</v>
      </c>
      <c r="C14" s="303">
        <v>3958</v>
      </c>
      <c r="D14" s="303">
        <v>2</v>
      </c>
      <c r="E14" s="303">
        <v>1024</v>
      </c>
      <c r="F14" s="303">
        <v>8</v>
      </c>
      <c r="G14" s="303">
        <v>1159</v>
      </c>
      <c r="H14" s="303">
        <v>5</v>
      </c>
      <c r="I14" s="303">
        <v>491</v>
      </c>
      <c r="J14" s="303">
        <v>174</v>
      </c>
      <c r="K14" s="303">
        <v>356</v>
      </c>
      <c r="L14" s="303">
        <v>5</v>
      </c>
      <c r="M14" s="303">
        <v>847</v>
      </c>
      <c r="N14" s="303">
        <v>84</v>
      </c>
      <c r="O14" s="303">
        <v>0</v>
      </c>
      <c r="P14" s="303">
        <v>1</v>
      </c>
      <c r="Q14" s="303">
        <v>43</v>
      </c>
      <c r="R14" s="303">
        <v>70</v>
      </c>
      <c r="S14" s="303">
        <v>38</v>
      </c>
      <c r="T14" s="303">
        <v>0</v>
      </c>
      <c r="U14" s="303">
        <v>0</v>
      </c>
      <c r="V14" s="303">
        <v>2</v>
      </c>
      <c r="W14" s="303">
        <v>0</v>
      </c>
      <c r="X14" s="303">
        <v>1</v>
      </c>
      <c r="Y14" s="303">
        <v>10</v>
      </c>
      <c r="Z14" s="303">
        <v>13</v>
      </c>
      <c r="AA14" s="899">
        <v>1</v>
      </c>
    </row>
    <row r="15" spans="1:32">
      <c r="A15" s="15">
        <v>2023</v>
      </c>
      <c r="B15" s="303">
        <v>356</v>
      </c>
      <c r="C15" s="303">
        <v>3798</v>
      </c>
      <c r="D15" s="303">
        <v>2</v>
      </c>
      <c r="E15" s="303">
        <v>1038</v>
      </c>
      <c r="F15" s="303">
        <v>8</v>
      </c>
      <c r="G15" s="303">
        <v>1086</v>
      </c>
      <c r="H15" s="303">
        <v>3</v>
      </c>
      <c r="I15" s="303">
        <v>441</v>
      </c>
      <c r="J15" s="303">
        <v>176</v>
      </c>
      <c r="K15" s="303">
        <v>328</v>
      </c>
      <c r="L15" s="303">
        <v>5</v>
      </c>
      <c r="M15" s="303">
        <v>824</v>
      </c>
      <c r="N15" s="303">
        <v>91</v>
      </c>
      <c r="O15" s="303">
        <v>0</v>
      </c>
      <c r="P15" s="303">
        <v>1</v>
      </c>
      <c r="Q15" s="303">
        <v>43</v>
      </c>
      <c r="R15" s="303">
        <v>68</v>
      </c>
      <c r="S15" s="303">
        <v>38</v>
      </c>
      <c r="T15" s="303">
        <v>0</v>
      </c>
      <c r="U15" s="303">
        <v>0</v>
      </c>
      <c r="V15" s="303">
        <v>2</v>
      </c>
      <c r="W15" s="303">
        <v>0</v>
      </c>
      <c r="X15" s="303">
        <v>1</v>
      </c>
      <c r="Y15" s="303">
        <v>10</v>
      </c>
      <c r="Z15" s="303">
        <v>13</v>
      </c>
      <c r="AA15" s="899">
        <v>1</v>
      </c>
    </row>
    <row r="16" spans="1:32" s="520" customFormat="1">
      <c r="A16" s="511">
        <v>2024</v>
      </c>
      <c r="B16" s="832">
        <f>SUM(D16,F16,H16,J16,L16,N16,P16,R16,T16,V16)</f>
        <v>362</v>
      </c>
      <c r="C16" s="832">
        <f>SUM(E16,G16,I16,K16,M16,O16,Q16,S16,U16,W16)</f>
        <v>3861</v>
      </c>
      <c r="D16" s="832">
        <f t="shared" ref="D16:AA16" si="0">SUM(D17:D41)</f>
        <v>2</v>
      </c>
      <c r="E16" s="832">
        <f t="shared" si="0"/>
        <v>1038</v>
      </c>
      <c r="F16" s="832">
        <f t="shared" ref="F16:G16" si="1">SUM(F17:F41)</f>
        <v>8</v>
      </c>
      <c r="G16" s="832">
        <f t="shared" si="1"/>
        <v>1086</v>
      </c>
      <c r="H16" s="832">
        <f t="shared" si="0"/>
        <v>3</v>
      </c>
      <c r="I16" s="832">
        <f t="shared" si="0"/>
        <v>441</v>
      </c>
      <c r="J16" s="832">
        <f t="shared" si="0"/>
        <v>184</v>
      </c>
      <c r="K16" s="832">
        <f t="shared" si="0"/>
        <v>336</v>
      </c>
      <c r="L16" s="832">
        <f t="shared" si="0"/>
        <v>5</v>
      </c>
      <c r="M16" s="832">
        <f t="shared" si="0"/>
        <v>897</v>
      </c>
      <c r="N16" s="832">
        <f t="shared" si="0"/>
        <v>91</v>
      </c>
      <c r="O16" s="832">
        <f t="shared" si="0"/>
        <v>0</v>
      </c>
      <c r="P16" s="832">
        <f t="shared" si="0"/>
        <v>1</v>
      </c>
      <c r="Q16" s="832">
        <f t="shared" si="0"/>
        <v>43</v>
      </c>
      <c r="R16" s="832">
        <f t="shared" si="0"/>
        <v>65</v>
      </c>
      <c r="S16" s="832">
        <f t="shared" si="0"/>
        <v>20</v>
      </c>
      <c r="T16" s="832">
        <f t="shared" si="0"/>
        <v>0</v>
      </c>
      <c r="U16" s="832">
        <f t="shared" si="0"/>
        <v>0</v>
      </c>
      <c r="V16" s="832">
        <f t="shared" si="0"/>
        <v>3</v>
      </c>
      <c r="W16" s="832">
        <f t="shared" si="0"/>
        <v>0</v>
      </c>
      <c r="X16" s="832">
        <f t="shared" si="0"/>
        <v>1</v>
      </c>
      <c r="Y16" s="832">
        <f t="shared" si="0"/>
        <v>10</v>
      </c>
      <c r="Z16" s="832">
        <f>SUM(Z17:Z41)</f>
        <v>13</v>
      </c>
      <c r="AA16" s="900">
        <f t="shared" si="0"/>
        <v>1</v>
      </c>
    </row>
    <row r="17" spans="1:27" s="520" customFormat="1">
      <c r="A17" s="14" t="s">
        <v>793</v>
      </c>
      <c r="B17" s="831">
        <f t="shared" ref="B17:B41" si="2">SUM(D17,F17,H17,J17,L17,N17,P17,R17,T17,V17)</f>
        <v>0</v>
      </c>
      <c r="C17" s="831">
        <f t="shared" ref="C17:C41" si="3">SUM(E17,G17,I17,K17,M17,O17,Q17,S17,U17,W17)</f>
        <v>0</v>
      </c>
      <c r="D17" s="303">
        <v>0</v>
      </c>
      <c r="E17" s="303">
        <v>0</v>
      </c>
      <c r="F17" s="303">
        <v>0</v>
      </c>
      <c r="G17" s="303">
        <v>0</v>
      </c>
      <c r="H17" s="303">
        <v>0</v>
      </c>
      <c r="I17" s="303">
        <v>0</v>
      </c>
      <c r="J17" s="303">
        <v>0</v>
      </c>
      <c r="K17" s="303">
        <v>0</v>
      </c>
      <c r="L17" s="303">
        <v>0</v>
      </c>
      <c r="M17" s="303">
        <v>0</v>
      </c>
      <c r="N17" s="303">
        <v>0</v>
      </c>
      <c r="O17" s="303">
        <v>0</v>
      </c>
      <c r="P17" s="303">
        <v>0</v>
      </c>
      <c r="Q17" s="303">
        <v>0</v>
      </c>
      <c r="R17" s="303">
        <v>0</v>
      </c>
      <c r="S17" s="303">
        <v>0</v>
      </c>
      <c r="T17" s="303">
        <v>0</v>
      </c>
      <c r="U17" s="303">
        <v>0</v>
      </c>
      <c r="V17" s="303">
        <v>0</v>
      </c>
      <c r="W17" s="303">
        <v>0</v>
      </c>
      <c r="X17" s="303">
        <v>0</v>
      </c>
      <c r="Y17" s="303">
        <v>1</v>
      </c>
      <c r="Z17" s="303">
        <v>2</v>
      </c>
      <c r="AA17" s="899">
        <v>0</v>
      </c>
    </row>
    <row r="18" spans="1:27" s="520" customFormat="1">
      <c r="A18" s="14" t="s">
        <v>794</v>
      </c>
      <c r="B18" s="831">
        <f t="shared" si="2"/>
        <v>8</v>
      </c>
      <c r="C18" s="831">
        <f t="shared" si="3"/>
        <v>465</v>
      </c>
      <c r="D18" s="303">
        <v>0</v>
      </c>
      <c r="E18" s="303">
        <v>0</v>
      </c>
      <c r="F18" s="303">
        <v>2</v>
      </c>
      <c r="G18" s="303">
        <v>465</v>
      </c>
      <c r="H18" s="303">
        <v>0</v>
      </c>
      <c r="I18" s="303">
        <v>0</v>
      </c>
      <c r="J18" s="303">
        <v>3</v>
      </c>
      <c r="K18" s="303">
        <v>0</v>
      </c>
      <c r="L18" s="303">
        <v>0</v>
      </c>
      <c r="M18" s="303">
        <v>0</v>
      </c>
      <c r="N18" s="303">
        <v>1</v>
      </c>
      <c r="O18" s="303">
        <v>0</v>
      </c>
      <c r="P18" s="303">
        <v>0</v>
      </c>
      <c r="Q18" s="303">
        <v>0</v>
      </c>
      <c r="R18" s="303">
        <v>2</v>
      </c>
      <c r="S18" s="303">
        <v>0</v>
      </c>
      <c r="T18" s="303">
        <v>0</v>
      </c>
      <c r="U18" s="303">
        <v>0</v>
      </c>
      <c r="V18" s="303">
        <v>0</v>
      </c>
      <c r="W18" s="303">
        <v>0</v>
      </c>
      <c r="X18" s="303">
        <v>0</v>
      </c>
      <c r="Y18" s="303">
        <v>1</v>
      </c>
      <c r="Z18" s="303">
        <v>1</v>
      </c>
      <c r="AA18" s="899">
        <v>0</v>
      </c>
    </row>
    <row r="19" spans="1:27" s="520" customFormat="1">
      <c r="A19" s="14" t="s">
        <v>795</v>
      </c>
      <c r="B19" s="831">
        <f t="shared" si="2"/>
        <v>2</v>
      </c>
      <c r="C19" s="831">
        <f t="shared" si="3"/>
        <v>387</v>
      </c>
      <c r="D19" s="303">
        <v>0</v>
      </c>
      <c r="E19" s="303">
        <v>0</v>
      </c>
      <c r="F19" s="303">
        <v>0</v>
      </c>
      <c r="G19" s="303">
        <v>0</v>
      </c>
      <c r="H19" s="303">
        <v>0</v>
      </c>
      <c r="I19" s="303">
        <v>0</v>
      </c>
      <c r="J19" s="303">
        <v>0</v>
      </c>
      <c r="K19" s="303">
        <v>0</v>
      </c>
      <c r="L19" s="303">
        <v>2</v>
      </c>
      <c r="M19" s="303">
        <v>387</v>
      </c>
      <c r="N19" s="303">
        <v>0</v>
      </c>
      <c r="O19" s="303">
        <v>0</v>
      </c>
      <c r="P19" s="303">
        <v>0</v>
      </c>
      <c r="Q19" s="303">
        <v>0</v>
      </c>
      <c r="R19" s="303">
        <v>0</v>
      </c>
      <c r="S19" s="303">
        <v>0</v>
      </c>
      <c r="T19" s="303">
        <v>0</v>
      </c>
      <c r="U19" s="303">
        <v>0</v>
      </c>
      <c r="V19" s="303">
        <v>0</v>
      </c>
      <c r="W19" s="303">
        <v>0</v>
      </c>
      <c r="X19" s="303">
        <v>0</v>
      </c>
      <c r="Y19" s="303">
        <v>1</v>
      </c>
      <c r="Z19" s="303">
        <v>1</v>
      </c>
      <c r="AA19" s="899">
        <v>0</v>
      </c>
    </row>
    <row r="20" spans="1:27" s="520" customFormat="1">
      <c r="A20" s="14" t="s">
        <v>796</v>
      </c>
      <c r="B20" s="831">
        <f t="shared" si="2"/>
        <v>0</v>
      </c>
      <c r="C20" s="831">
        <f t="shared" si="3"/>
        <v>0</v>
      </c>
      <c r="D20" s="303">
        <v>0</v>
      </c>
      <c r="E20" s="303">
        <v>0</v>
      </c>
      <c r="F20" s="303">
        <v>0</v>
      </c>
      <c r="G20" s="303">
        <v>0</v>
      </c>
      <c r="H20" s="303">
        <v>0</v>
      </c>
      <c r="I20" s="303">
        <v>0</v>
      </c>
      <c r="J20" s="303">
        <v>0</v>
      </c>
      <c r="K20" s="303">
        <v>0</v>
      </c>
      <c r="L20" s="303">
        <v>0</v>
      </c>
      <c r="M20" s="303">
        <v>0</v>
      </c>
      <c r="N20" s="303">
        <v>0</v>
      </c>
      <c r="O20" s="303">
        <v>0</v>
      </c>
      <c r="P20" s="303">
        <v>0</v>
      </c>
      <c r="Q20" s="303">
        <v>0</v>
      </c>
      <c r="R20" s="303">
        <v>0</v>
      </c>
      <c r="S20" s="303">
        <v>0</v>
      </c>
      <c r="T20" s="303">
        <v>0</v>
      </c>
      <c r="U20" s="303">
        <v>0</v>
      </c>
      <c r="V20" s="303">
        <v>0</v>
      </c>
      <c r="W20" s="303">
        <v>0</v>
      </c>
      <c r="X20" s="303">
        <v>0</v>
      </c>
      <c r="Y20" s="303">
        <v>1</v>
      </c>
      <c r="Z20" s="303">
        <v>0</v>
      </c>
      <c r="AA20" s="899">
        <v>0</v>
      </c>
    </row>
    <row r="21" spans="1:27" s="520" customFormat="1">
      <c r="A21" s="14" t="s">
        <v>797</v>
      </c>
      <c r="B21" s="831">
        <f t="shared" si="2"/>
        <v>13</v>
      </c>
      <c r="C21" s="831">
        <f t="shared" si="3"/>
        <v>42</v>
      </c>
      <c r="D21" s="303">
        <v>0</v>
      </c>
      <c r="E21" s="303">
        <v>0</v>
      </c>
      <c r="F21" s="303">
        <v>0</v>
      </c>
      <c r="G21" s="303">
        <v>0</v>
      </c>
      <c r="H21" s="303">
        <v>0</v>
      </c>
      <c r="I21" s="303">
        <v>0</v>
      </c>
      <c r="J21" s="303">
        <v>7</v>
      </c>
      <c r="K21" s="303">
        <v>32</v>
      </c>
      <c r="L21" s="303">
        <v>0</v>
      </c>
      <c r="M21" s="303">
        <v>0</v>
      </c>
      <c r="N21" s="303">
        <v>2</v>
      </c>
      <c r="O21" s="303">
        <v>0</v>
      </c>
      <c r="P21" s="303">
        <v>0</v>
      </c>
      <c r="Q21" s="303">
        <v>0</v>
      </c>
      <c r="R21" s="303">
        <v>2</v>
      </c>
      <c r="S21" s="303">
        <v>10</v>
      </c>
      <c r="T21" s="303">
        <v>0</v>
      </c>
      <c r="U21" s="303">
        <v>0</v>
      </c>
      <c r="V21" s="303">
        <v>2</v>
      </c>
      <c r="W21" s="303">
        <v>0</v>
      </c>
      <c r="X21" s="303">
        <v>0</v>
      </c>
      <c r="Y21" s="303">
        <v>1</v>
      </c>
      <c r="Z21" s="303">
        <v>0</v>
      </c>
      <c r="AA21" s="899">
        <v>0</v>
      </c>
    </row>
    <row r="22" spans="1:27" s="520" customFormat="1">
      <c r="A22" s="14" t="s">
        <v>798</v>
      </c>
      <c r="B22" s="831">
        <f t="shared" si="2"/>
        <v>1</v>
      </c>
      <c r="C22" s="831">
        <f t="shared" si="3"/>
        <v>54</v>
      </c>
      <c r="D22" s="303">
        <v>0</v>
      </c>
      <c r="E22" s="303">
        <v>0</v>
      </c>
      <c r="F22" s="303">
        <v>1</v>
      </c>
      <c r="G22" s="303">
        <v>54</v>
      </c>
      <c r="H22" s="303">
        <v>0</v>
      </c>
      <c r="I22" s="303">
        <v>0</v>
      </c>
      <c r="J22" s="303">
        <v>0</v>
      </c>
      <c r="K22" s="303">
        <v>0</v>
      </c>
      <c r="L22" s="303">
        <v>0</v>
      </c>
      <c r="M22" s="303">
        <v>0</v>
      </c>
      <c r="N22" s="303">
        <v>0</v>
      </c>
      <c r="O22" s="303">
        <v>0</v>
      </c>
      <c r="P22" s="303">
        <v>0</v>
      </c>
      <c r="Q22" s="303">
        <v>0</v>
      </c>
      <c r="R22" s="303">
        <v>0</v>
      </c>
      <c r="S22" s="303">
        <v>0</v>
      </c>
      <c r="T22" s="303">
        <v>0</v>
      </c>
      <c r="U22" s="303">
        <v>0</v>
      </c>
      <c r="V22" s="303">
        <v>0</v>
      </c>
      <c r="W22" s="303">
        <v>0</v>
      </c>
      <c r="X22" s="303">
        <v>0</v>
      </c>
      <c r="Y22" s="303">
        <v>1</v>
      </c>
      <c r="Z22" s="303">
        <v>1</v>
      </c>
      <c r="AA22" s="899">
        <v>0</v>
      </c>
    </row>
    <row r="23" spans="1:27" s="520" customFormat="1">
      <c r="A23" s="14" t="s">
        <v>799</v>
      </c>
      <c r="B23" s="831">
        <f t="shared" si="2"/>
        <v>2</v>
      </c>
      <c r="C23" s="831">
        <f t="shared" si="3"/>
        <v>0</v>
      </c>
      <c r="D23" s="303">
        <v>0</v>
      </c>
      <c r="E23" s="303">
        <v>0</v>
      </c>
      <c r="F23" s="303">
        <v>0</v>
      </c>
      <c r="G23" s="303">
        <v>0</v>
      </c>
      <c r="H23" s="303">
        <v>0</v>
      </c>
      <c r="I23" s="303">
        <v>0</v>
      </c>
      <c r="J23" s="303">
        <v>1</v>
      </c>
      <c r="K23" s="303">
        <v>0</v>
      </c>
      <c r="L23" s="303">
        <v>0</v>
      </c>
      <c r="M23" s="303">
        <v>0</v>
      </c>
      <c r="N23" s="303">
        <v>0</v>
      </c>
      <c r="O23" s="303">
        <v>0</v>
      </c>
      <c r="P23" s="303">
        <v>0</v>
      </c>
      <c r="Q23" s="303">
        <v>0</v>
      </c>
      <c r="R23" s="303">
        <v>1</v>
      </c>
      <c r="S23" s="303">
        <v>0</v>
      </c>
      <c r="T23" s="303">
        <v>0</v>
      </c>
      <c r="U23" s="303">
        <v>0</v>
      </c>
      <c r="V23" s="303">
        <v>0</v>
      </c>
      <c r="W23" s="303">
        <v>0</v>
      </c>
      <c r="X23" s="303">
        <v>0</v>
      </c>
      <c r="Y23" s="303">
        <v>1</v>
      </c>
      <c r="Z23" s="303">
        <v>2</v>
      </c>
      <c r="AA23" s="899">
        <v>0</v>
      </c>
    </row>
    <row r="24" spans="1:27" s="520" customFormat="1">
      <c r="A24" s="14" t="s">
        <v>800</v>
      </c>
      <c r="B24" s="831">
        <f t="shared" si="2"/>
        <v>2</v>
      </c>
      <c r="C24" s="831">
        <f t="shared" si="3"/>
        <v>361</v>
      </c>
      <c r="D24" s="303">
        <v>0</v>
      </c>
      <c r="E24" s="303">
        <v>0</v>
      </c>
      <c r="F24" s="303">
        <v>1</v>
      </c>
      <c r="G24" s="303">
        <v>64</v>
      </c>
      <c r="H24" s="303">
        <v>0</v>
      </c>
      <c r="I24" s="303">
        <v>0</v>
      </c>
      <c r="J24" s="303">
        <v>0</v>
      </c>
      <c r="K24" s="303">
        <v>0</v>
      </c>
      <c r="L24" s="303">
        <v>1</v>
      </c>
      <c r="M24" s="303">
        <v>297</v>
      </c>
      <c r="N24" s="303">
        <v>0</v>
      </c>
      <c r="O24" s="303">
        <v>0</v>
      </c>
      <c r="P24" s="303">
        <v>0</v>
      </c>
      <c r="Q24" s="303">
        <v>0</v>
      </c>
      <c r="R24" s="303">
        <v>0</v>
      </c>
      <c r="S24" s="303">
        <v>0</v>
      </c>
      <c r="T24" s="303">
        <v>0</v>
      </c>
      <c r="U24" s="303">
        <v>0</v>
      </c>
      <c r="V24" s="303">
        <v>0</v>
      </c>
      <c r="W24" s="303">
        <v>0</v>
      </c>
      <c r="X24" s="303">
        <v>0</v>
      </c>
      <c r="Y24" s="303">
        <v>1</v>
      </c>
      <c r="Z24" s="303">
        <v>3</v>
      </c>
      <c r="AA24" s="899">
        <v>0</v>
      </c>
    </row>
    <row r="25" spans="1:27" s="520" customFormat="1">
      <c r="A25" s="14" t="s">
        <v>801</v>
      </c>
      <c r="B25" s="831">
        <f t="shared" si="2"/>
        <v>0</v>
      </c>
      <c r="C25" s="831">
        <f t="shared" si="3"/>
        <v>0</v>
      </c>
      <c r="D25" s="303">
        <v>0</v>
      </c>
      <c r="E25" s="303">
        <v>0</v>
      </c>
      <c r="F25" s="303">
        <v>0</v>
      </c>
      <c r="G25" s="303">
        <v>0</v>
      </c>
      <c r="H25" s="303">
        <v>0</v>
      </c>
      <c r="I25" s="303">
        <v>0</v>
      </c>
      <c r="J25" s="303">
        <v>0</v>
      </c>
      <c r="K25" s="303">
        <v>0</v>
      </c>
      <c r="L25" s="303">
        <v>0</v>
      </c>
      <c r="M25" s="303">
        <v>0</v>
      </c>
      <c r="N25" s="303">
        <v>0</v>
      </c>
      <c r="O25" s="303">
        <v>0</v>
      </c>
      <c r="P25" s="303">
        <v>0</v>
      </c>
      <c r="Q25" s="303">
        <v>0</v>
      </c>
      <c r="R25" s="303">
        <v>0</v>
      </c>
      <c r="S25" s="303">
        <v>0</v>
      </c>
      <c r="T25" s="303">
        <v>0</v>
      </c>
      <c r="U25" s="303">
        <v>0</v>
      </c>
      <c r="V25" s="303">
        <v>0</v>
      </c>
      <c r="W25" s="303">
        <v>0</v>
      </c>
      <c r="X25" s="303">
        <v>0</v>
      </c>
      <c r="Y25" s="303">
        <v>1</v>
      </c>
      <c r="Z25" s="303">
        <v>2</v>
      </c>
      <c r="AA25" s="899">
        <v>0</v>
      </c>
    </row>
    <row r="26" spans="1:27" s="520" customFormat="1">
      <c r="A26" s="14" t="s">
        <v>802</v>
      </c>
      <c r="B26" s="831">
        <f t="shared" si="2"/>
        <v>0</v>
      </c>
      <c r="C26" s="831">
        <f t="shared" si="3"/>
        <v>0</v>
      </c>
      <c r="D26" s="303">
        <v>0</v>
      </c>
      <c r="E26" s="303">
        <v>0</v>
      </c>
      <c r="F26" s="303">
        <v>0</v>
      </c>
      <c r="G26" s="303">
        <v>0</v>
      </c>
      <c r="H26" s="303">
        <v>0</v>
      </c>
      <c r="I26" s="303">
        <v>0</v>
      </c>
      <c r="J26" s="303">
        <v>0</v>
      </c>
      <c r="K26" s="303">
        <v>0</v>
      </c>
      <c r="L26" s="303">
        <v>0</v>
      </c>
      <c r="M26" s="303">
        <v>0</v>
      </c>
      <c r="N26" s="303">
        <v>0</v>
      </c>
      <c r="O26" s="303">
        <v>0</v>
      </c>
      <c r="P26" s="303">
        <v>0</v>
      </c>
      <c r="Q26" s="303">
        <v>0</v>
      </c>
      <c r="R26" s="303">
        <v>0</v>
      </c>
      <c r="S26" s="303">
        <v>0</v>
      </c>
      <c r="T26" s="303">
        <v>0</v>
      </c>
      <c r="U26" s="303">
        <v>0</v>
      </c>
      <c r="V26" s="303">
        <v>0</v>
      </c>
      <c r="W26" s="303">
        <v>0</v>
      </c>
      <c r="X26" s="303">
        <v>0</v>
      </c>
      <c r="Y26" s="303">
        <v>1</v>
      </c>
      <c r="Z26" s="303">
        <v>1</v>
      </c>
      <c r="AA26" s="899">
        <v>0</v>
      </c>
    </row>
    <row r="27" spans="1:27" s="520" customFormat="1">
      <c r="A27" s="14" t="s">
        <v>803</v>
      </c>
      <c r="B27" s="831">
        <f t="shared" si="2"/>
        <v>18</v>
      </c>
      <c r="C27" s="831">
        <f t="shared" si="3"/>
        <v>169</v>
      </c>
      <c r="D27" s="303">
        <v>0</v>
      </c>
      <c r="E27" s="303">
        <v>0</v>
      </c>
      <c r="F27" s="303">
        <v>0</v>
      </c>
      <c r="G27" s="303">
        <v>0</v>
      </c>
      <c r="H27" s="303">
        <v>1</v>
      </c>
      <c r="I27" s="303">
        <v>141</v>
      </c>
      <c r="J27" s="303">
        <v>9</v>
      </c>
      <c r="K27" s="303">
        <v>28</v>
      </c>
      <c r="L27" s="303">
        <v>0</v>
      </c>
      <c r="M27" s="303">
        <v>0</v>
      </c>
      <c r="N27" s="303">
        <v>2</v>
      </c>
      <c r="O27" s="303">
        <v>0</v>
      </c>
      <c r="P27" s="303">
        <v>0</v>
      </c>
      <c r="Q27" s="303">
        <v>0</v>
      </c>
      <c r="R27" s="303">
        <v>5</v>
      </c>
      <c r="S27" s="303">
        <v>0</v>
      </c>
      <c r="T27" s="303">
        <v>0</v>
      </c>
      <c r="U27" s="303">
        <v>0</v>
      </c>
      <c r="V27" s="303">
        <v>1</v>
      </c>
      <c r="W27" s="303">
        <v>0</v>
      </c>
      <c r="X27" s="303">
        <v>0</v>
      </c>
      <c r="Y27" s="303">
        <v>0</v>
      </c>
      <c r="Z27" s="303">
        <v>0</v>
      </c>
      <c r="AA27" s="899">
        <v>0</v>
      </c>
    </row>
    <row r="28" spans="1:27" s="520" customFormat="1">
      <c r="A28" s="14" t="s">
        <v>804</v>
      </c>
      <c r="B28" s="831">
        <f t="shared" si="2"/>
        <v>1</v>
      </c>
      <c r="C28" s="831">
        <f t="shared" si="3"/>
        <v>406</v>
      </c>
      <c r="D28" s="303">
        <v>1</v>
      </c>
      <c r="E28" s="303">
        <v>406</v>
      </c>
      <c r="F28" s="303">
        <v>0</v>
      </c>
      <c r="G28" s="303">
        <v>0</v>
      </c>
      <c r="H28" s="303">
        <v>0</v>
      </c>
      <c r="I28" s="303">
        <v>0</v>
      </c>
      <c r="J28" s="303">
        <v>0</v>
      </c>
      <c r="K28" s="303">
        <v>0</v>
      </c>
      <c r="L28" s="303">
        <v>0</v>
      </c>
      <c r="M28" s="303">
        <v>0</v>
      </c>
      <c r="N28" s="303">
        <v>0</v>
      </c>
      <c r="O28" s="303">
        <v>0</v>
      </c>
      <c r="P28" s="303">
        <v>0</v>
      </c>
      <c r="Q28" s="303">
        <v>0</v>
      </c>
      <c r="R28" s="303">
        <v>0</v>
      </c>
      <c r="S28" s="303">
        <v>0</v>
      </c>
      <c r="T28" s="303">
        <v>0</v>
      </c>
      <c r="U28" s="303">
        <v>0</v>
      </c>
      <c r="V28" s="303">
        <v>0</v>
      </c>
      <c r="W28" s="303">
        <v>0</v>
      </c>
      <c r="X28" s="303">
        <v>0</v>
      </c>
      <c r="Y28" s="303">
        <v>0</v>
      </c>
      <c r="Z28" s="303">
        <v>0</v>
      </c>
      <c r="AA28" s="899">
        <v>0</v>
      </c>
    </row>
    <row r="29" spans="1:27" s="520" customFormat="1">
      <c r="A29" s="14" t="s">
        <v>805</v>
      </c>
      <c r="B29" s="831">
        <f t="shared" si="2"/>
        <v>37</v>
      </c>
      <c r="C29" s="831">
        <f t="shared" si="3"/>
        <v>18</v>
      </c>
      <c r="D29" s="303">
        <v>0</v>
      </c>
      <c r="E29" s="303">
        <v>0</v>
      </c>
      <c r="F29" s="303">
        <v>0</v>
      </c>
      <c r="G29" s="303">
        <v>0</v>
      </c>
      <c r="H29" s="303">
        <v>0</v>
      </c>
      <c r="I29" s="303">
        <v>0</v>
      </c>
      <c r="J29" s="303">
        <v>18</v>
      </c>
      <c r="K29" s="303">
        <v>8</v>
      </c>
      <c r="L29" s="303">
        <v>0</v>
      </c>
      <c r="M29" s="303">
        <v>0</v>
      </c>
      <c r="N29" s="303">
        <v>12</v>
      </c>
      <c r="O29" s="303">
        <v>0</v>
      </c>
      <c r="P29" s="303">
        <v>0</v>
      </c>
      <c r="Q29" s="303">
        <v>0</v>
      </c>
      <c r="R29" s="303">
        <v>7</v>
      </c>
      <c r="S29" s="303">
        <v>10</v>
      </c>
      <c r="T29" s="303">
        <v>0</v>
      </c>
      <c r="U29" s="303">
        <v>0</v>
      </c>
      <c r="V29" s="303">
        <v>0</v>
      </c>
      <c r="W29" s="303">
        <v>0</v>
      </c>
      <c r="X29" s="303">
        <v>0</v>
      </c>
      <c r="Y29" s="303">
        <v>0</v>
      </c>
      <c r="Z29" s="303">
        <v>0</v>
      </c>
      <c r="AA29" s="899">
        <v>0</v>
      </c>
    </row>
    <row r="30" spans="1:27" s="520" customFormat="1">
      <c r="A30" s="14" t="s">
        <v>806</v>
      </c>
      <c r="B30" s="831">
        <f t="shared" si="2"/>
        <v>36</v>
      </c>
      <c r="C30" s="831">
        <f t="shared" si="3"/>
        <v>77</v>
      </c>
      <c r="D30" s="303">
        <v>0</v>
      </c>
      <c r="E30" s="303">
        <v>0</v>
      </c>
      <c r="F30" s="303">
        <v>1</v>
      </c>
      <c r="G30" s="303">
        <v>44</v>
      </c>
      <c r="H30" s="303">
        <v>0</v>
      </c>
      <c r="I30" s="303">
        <v>0</v>
      </c>
      <c r="J30" s="303">
        <v>23</v>
      </c>
      <c r="K30" s="303">
        <v>33</v>
      </c>
      <c r="L30" s="303">
        <v>0</v>
      </c>
      <c r="M30" s="303">
        <v>0</v>
      </c>
      <c r="N30" s="303">
        <v>9</v>
      </c>
      <c r="O30" s="303">
        <v>0</v>
      </c>
      <c r="P30" s="303">
        <v>0</v>
      </c>
      <c r="Q30" s="303">
        <v>0</v>
      </c>
      <c r="R30" s="303">
        <v>3</v>
      </c>
      <c r="S30" s="303">
        <v>0</v>
      </c>
      <c r="T30" s="303">
        <v>0</v>
      </c>
      <c r="U30" s="303">
        <v>0</v>
      </c>
      <c r="V30" s="303">
        <v>0</v>
      </c>
      <c r="W30" s="303">
        <v>0</v>
      </c>
      <c r="X30" s="303">
        <v>1</v>
      </c>
      <c r="Y30" s="303">
        <v>0</v>
      </c>
      <c r="Z30" s="303">
        <v>0</v>
      </c>
      <c r="AA30" s="899">
        <v>0</v>
      </c>
    </row>
    <row r="31" spans="1:27" s="520" customFormat="1">
      <c r="A31" s="14" t="s">
        <v>807</v>
      </c>
      <c r="B31" s="831">
        <f t="shared" si="2"/>
        <v>0</v>
      </c>
      <c r="C31" s="831">
        <f t="shared" si="3"/>
        <v>0</v>
      </c>
      <c r="D31" s="303">
        <v>0</v>
      </c>
      <c r="E31" s="303">
        <v>0</v>
      </c>
      <c r="F31" s="303">
        <v>0</v>
      </c>
      <c r="G31" s="303">
        <v>0</v>
      </c>
      <c r="H31" s="303">
        <v>0</v>
      </c>
      <c r="I31" s="303">
        <v>0</v>
      </c>
      <c r="J31" s="303">
        <v>0</v>
      </c>
      <c r="K31" s="303">
        <v>0</v>
      </c>
      <c r="L31" s="303">
        <v>0</v>
      </c>
      <c r="M31" s="303">
        <v>0</v>
      </c>
      <c r="N31" s="303">
        <v>0</v>
      </c>
      <c r="O31" s="303">
        <v>0</v>
      </c>
      <c r="P31" s="303">
        <v>0</v>
      </c>
      <c r="Q31" s="303">
        <v>0</v>
      </c>
      <c r="R31" s="303">
        <v>0</v>
      </c>
      <c r="S31" s="303">
        <v>0</v>
      </c>
      <c r="T31" s="303">
        <v>0</v>
      </c>
      <c r="U31" s="303">
        <v>0</v>
      </c>
      <c r="V31" s="303">
        <v>0</v>
      </c>
      <c r="W31" s="303">
        <v>0</v>
      </c>
      <c r="X31" s="303">
        <v>0</v>
      </c>
      <c r="Y31" s="303">
        <v>0</v>
      </c>
      <c r="Z31" s="303">
        <v>0</v>
      </c>
      <c r="AA31" s="899">
        <v>0</v>
      </c>
    </row>
    <row r="32" spans="1:27" s="520" customFormat="1">
      <c r="A32" s="14" t="s">
        <v>808</v>
      </c>
      <c r="B32" s="831">
        <f t="shared" si="2"/>
        <v>10</v>
      </c>
      <c r="C32" s="831">
        <f t="shared" si="3"/>
        <v>29</v>
      </c>
      <c r="D32" s="303">
        <v>0</v>
      </c>
      <c r="E32" s="303">
        <v>0</v>
      </c>
      <c r="F32" s="303">
        <v>0</v>
      </c>
      <c r="G32" s="303">
        <v>0</v>
      </c>
      <c r="H32" s="303">
        <v>0</v>
      </c>
      <c r="I32" s="303">
        <v>0</v>
      </c>
      <c r="J32" s="303">
        <v>5</v>
      </c>
      <c r="K32" s="303">
        <v>29</v>
      </c>
      <c r="L32" s="303">
        <v>0</v>
      </c>
      <c r="M32" s="303">
        <v>0</v>
      </c>
      <c r="N32" s="303">
        <v>4</v>
      </c>
      <c r="O32" s="303">
        <v>0</v>
      </c>
      <c r="P32" s="303">
        <v>0</v>
      </c>
      <c r="Q32" s="303">
        <v>0</v>
      </c>
      <c r="R32" s="303">
        <v>1</v>
      </c>
      <c r="S32" s="303">
        <v>0</v>
      </c>
      <c r="T32" s="303">
        <v>0</v>
      </c>
      <c r="U32" s="303">
        <v>0</v>
      </c>
      <c r="V32" s="303">
        <v>0</v>
      </c>
      <c r="W32" s="303">
        <v>0</v>
      </c>
      <c r="X32" s="303">
        <v>0</v>
      </c>
      <c r="Y32" s="303">
        <v>0</v>
      </c>
      <c r="Z32" s="303">
        <v>0</v>
      </c>
      <c r="AA32" s="899">
        <v>0</v>
      </c>
    </row>
    <row r="33" spans="1:27" s="520" customFormat="1">
      <c r="A33" s="14" t="s">
        <v>548</v>
      </c>
      <c r="B33" s="831">
        <f t="shared" si="2"/>
        <v>7</v>
      </c>
      <c r="C33" s="831">
        <f t="shared" si="3"/>
        <v>0</v>
      </c>
      <c r="D33" s="303">
        <v>0</v>
      </c>
      <c r="E33" s="303">
        <v>0</v>
      </c>
      <c r="F33" s="303">
        <v>0</v>
      </c>
      <c r="G33" s="303">
        <v>0</v>
      </c>
      <c r="H33" s="303">
        <v>0</v>
      </c>
      <c r="I33" s="303">
        <v>0</v>
      </c>
      <c r="J33" s="303">
        <v>3</v>
      </c>
      <c r="K33" s="303">
        <v>0</v>
      </c>
      <c r="L33" s="303">
        <v>0</v>
      </c>
      <c r="M33" s="303">
        <v>0</v>
      </c>
      <c r="N33" s="303">
        <v>1</v>
      </c>
      <c r="O33" s="303">
        <v>0</v>
      </c>
      <c r="P33" s="303">
        <v>0</v>
      </c>
      <c r="Q33" s="303">
        <v>0</v>
      </c>
      <c r="R33" s="303">
        <v>3</v>
      </c>
      <c r="S33" s="303">
        <v>0</v>
      </c>
      <c r="T33" s="303">
        <v>0</v>
      </c>
      <c r="U33" s="303">
        <v>0</v>
      </c>
      <c r="V33" s="303">
        <v>0</v>
      </c>
      <c r="W33" s="303">
        <v>0</v>
      </c>
      <c r="X33" s="303">
        <v>0</v>
      </c>
      <c r="Y33" s="303">
        <v>0</v>
      </c>
      <c r="Z33" s="303">
        <v>0</v>
      </c>
      <c r="AA33" s="899">
        <v>0</v>
      </c>
    </row>
    <row r="34" spans="1:27" s="520" customFormat="1">
      <c r="A34" s="14" t="s">
        <v>549</v>
      </c>
      <c r="B34" s="831">
        <f t="shared" si="2"/>
        <v>30</v>
      </c>
      <c r="C34" s="831">
        <f t="shared" si="3"/>
        <v>31</v>
      </c>
      <c r="D34" s="303">
        <v>0</v>
      </c>
      <c r="E34" s="303">
        <v>0</v>
      </c>
      <c r="F34" s="303">
        <v>0</v>
      </c>
      <c r="G34" s="303">
        <v>0</v>
      </c>
      <c r="H34" s="303">
        <v>0</v>
      </c>
      <c r="I34" s="303">
        <v>0</v>
      </c>
      <c r="J34" s="303">
        <v>16</v>
      </c>
      <c r="K34" s="303">
        <v>31</v>
      </c>
      <c r="L34" s="303">
        <v>0</v>
      </c>
      <c r="M34" s="303">
        <v>0</v>
      </c>
      <c r="N34" s="303">
        <v>9</v>
      </c>
      <c r="O34" s="303">
        <v>0</v>
      </c>
      <c r="P34" s="303">
        <v>0</v>
      </c>
      <c r="Q34" s="303">
        <v>0</v>
      </c>
      <c r="R34" s="303">
        <v>5</v>
      </c>
      <c r="S34" s="303">
        <v>0</v>
      </c>
      <c r="T34" s="303">
        <v>0</v>
      </c>
      <c r="U34" s="303">
        <v>0</v>
      </c>
      <c r="V34" s="303">
        <v>0</v>
      </c>
      <c r="W34" s="303">
        <v>0</v>
      </c>
      <c r="X34" s="303">
        <v>0</v>
      </c>
      <c r="Y34" s="303">
        <v>0</v>
      </c>
      <c r="Z34" s="303">
        <v>0</v>
      </c>
      <c r="AA34" s="899">
        <v>0</v>
      </c>
    </row>
    <row r="35" spans="1:27" s="520" customFormat="1">
      <c r="A35" s="14" t="s">
        <v>809</v>
      </c>
      <c r="B35" s="831">
        <f t="shared" si="2"/>
        <v>9</v>
      </c>
      <c r="C35" s="831">
        <f t="shared" si="3"/>
        <v>160</v>
      </c>
      <c r="D35" s="303">
        <v>0</v>
      </c>
      <c r="E35" s="303">
        <v>0</v>
      </c>
      <c r="F35" s="303">
        <v>0</v>
      </c>
      <c r="G35" s="303">
        <v>0</v>
      </c>
      <c r="H35" s="303">
        <v>0</v>
      </c>
      <c r="I35" s="303">
        <v>0</v>
      </c>
      <c r="J35" s="303">
        <v>6</v>
      </c>
      <c r="K35" s="303">
        <v>32</v>
      </c>
      <c r="L35" s="303">
        <v>1</v>
      </c>
      <c r="M35" s="303">
        <v>128</v>
      </c>
      <c r="N35" s="303">
        <v>0</v>
      </c>
      <c r="O35" s="303">
        <v>0</v>
      </c>
      <c r="P35" s="303">
        <v>0</v>
      </c>
      <c r="Q35" s="303">
        <v>0</v>
      </c>
      <c r="R35" s="303">
        <v>2</v>
      </c>
      <c r="S35" s="303">
        <v>0</v>
      </c>
      <c r="T35" s="303">
        <v>0</v>
      </c>
      <c r="U35" s="303">
        <v>0</v>
      </c>
      <c r="V35" s="303">
        <v>0</v>
      </c>
      <c r="W35" s="303">
        <v>0</v>
      </c>
      <c r="X35" s="303">
        <v>0</v>
      </c>
      <c r="Y35" s="303">
        <v>0</v>
      </c>
      <c r="Z35" s="303">
        <v>0</v>
      </c>
      <c r="AA35" s="899">
        <v>0</v>
      </c>
    </row>
    <row r="36" spans="1:27" s="520" customFormat="1">
      <c r="A36" s="14" t="s">
        <v>551</v>
      </c>
      <c r="B36" s="831">
        <f t="shared" si="2"/>
        <v>5</v>
      </c>
      <c r="C36" s="831">
        <f t="shared" si="3"/>
        <v>88</v>
      </c>
      <c r="D36" s="303">
        <v>0</v>
      </c>
      <c r="E36" s="303">
        <v>0</v>
      </c>
      <c r="F36" s="303">
        <v>0</v>
      </c>
      <c r="G36" s="303">
        <v>0</v>
      </c>
      <c r="H36" s="303">
        <v>0</v>
      </c>
      <c r="I36" s="303">
        <v>0</v>
      </c>
      <c r="J36" s="303">
        <v>2</v>
      </c>
      <c r="K36" s="303">
        <v>3</v>
      </c>
      <c r="L36" s="303">
        <v>1</v>
      </c>
      <c r="M36" s="303">
        <v>85</v>
      </c>
      <c r="N36" s="303">
        <v>1</v>
      </c>
      <c r="O36" s="303">
        <v>0</v>
      </c>
      <c r="P36" s="303">
        <v>0</v>
      </c>
      <c r="Q36" s="303">
        <v>0</v>
      </c>
      <c r="R36" s="303">
        <v>1</v>
      </c>
      <c r="S36" s="303">
        <v>0</v>
      </c>
      <c r="T36" s="303">
        <v>0</v>
      </c>
      <c r="U36" s="303">
        <v>0</v>
      </c>
      <c r="V36" s="303">
        <v>0</v>
      </c>
      <c r="W36" s="303">
        <v>0</v>
      </c>
      <c r="X36" s="303">
        <v>0</v>
      </c>
      <c r="Y36" s="303">
        <v>0</v>
      </c>
      <c r="Z36" s="303">
        <v>0</v>
      </c>
      <c r="AA36" s="899">
        <v>0</v>
      </c>
    </row>
    <row r="37" spans="1:27" s="520" customFormat="1">
      <c r="A37" s="14" t="s">
        <v>552</v>
      </c>
      <c r="B37" s="831">
        <f t="shared" si="2"/>
        <v>8</v>
      </c>
      <c r="C37" s="831">
        <f t="shared" si="3"/>
        <v>680</v>
      </c>
      <c r="D37" s="303">
        <v>1</v>
      </c>
      <c r="E37" s="303">
        <v>632</v>
      </c>
      <c r="F37" s="303">
        <v>0</v>
      </c>
      <c r="G37" s="303">
        <v>0</v>
      </c>
      <c r="H37" s="303">
        <v>0</v>
      </c>
      <c r="I37" s="303">
        <v>0</v>
      </c>
      <c r="J37" s="303">
        <v>2</v>
      </c>
      <c r="K37" s="303">
        <v>5</v>
      </c>
      <c r="L37" s="303">
        <v>0</v>
      </c>
      <c r="M37" s="303">
        <v>0</v>
      </c>
      <c r="N37" s="303">
        <v>2</v>
      </c>
      <c r="O37" s="303">
        <v>0</v>
      </c>
      <c r="P37" s="303">
        <v>1</v>
      </c>
      <c r="Q37" s="303">
        <v>43</v>
      </c>
      <c r="R37" s="303">
        <v>2</v>
      </c>
      <c r="S37" s="303">
        <v>0</v>
      </c>
      <c r="T37" s="303">
        <v>0</v>
      </c>
      <c r="U37" s="303">
        <v>0</v>
      </c>
      <c r="V37" s="303">
        <v>0</v>
      </c>
      <c r="W37" s="303">
        <v>0</v>
      </c>
      <c r="X37" s="303">
        <v>0</v>
      </c>
      <c r="Y37" s="303">
        <v>0</v>
      </c>
      <c r="Z37" s="303">
        <v>0</v>
      </c>
      <c r="AA37" s="899">
        <v>0</v>
      </c>
    </row>
    <row r="38" spans="1:27" s="520" customFormat="1">
      <c r="A38" s="14" t="s">
        <v>810</v>
      </c>
      <c r="B38" s="831">
        <f t="shared" si="2"/>
        <v>65</v>
      </c>
      <c r="C38" s="831">
        <f t="shared" si="3"/>
        <v>206</v>
      </c>
      <c r="D38" s="303">
        <v>0</v>
      </c>
      <c r="E38" s="303">
        <v>0</v>
      </c>
      <c r="F38" s="303">
        <v>1</v>
      </c>
      <c r="G38" s="303">
        <v>162</v>
      </c>
      <c r="H38" s="303">
        <v>0</v>
      </c>
      <c r="I38" s="303">
        <v>0</v>
      </c>
      <c r="J38" s="303">
        <v>32</v>
      </c>
      <c r="K38" s="303">
        <v>44</v>
      </c>
      <c r="L38" s="303">
        <v>0</v>
      </c>
      <c r="M38" s="303">
        <v>0</v>
      </c>
      <c r="N38" s="303">
        <v>18</v>
      </c>
      <c r="O38" s="303">
        <v>0</v>
      </c>
      <c r="P38" s="303">
        <v>0</v>
      </c>
      <c r="Q38" s="303">
        <v>0</v>
      </c>
      <c r="R38" s="303">
        <v>14</v>
      </c>
      <c r="S38" s="303">
        <v>0</v>
      </c>
      <c r="T38" s="303">
        <v>0</v>
      </c>
      <c r="U38" s="303">
        <v>0</v>
      </c>
      <c r="V38" s="303">
        <v>0</v>
      </c>
      <c r="W38" s="303">
        <v>0</v>
      </c>
      <c r="X38" s="303">
        <v>0</v>
      </c>
      <c r="Y38" s="303">
        <v>0</v>
      </c>
      <c r="Z38" s="303">
        <v>0</v>
      </c>
      <c r="AA38" s="899">
        <v>0</v>
      </c>
    </row>
    <row r="39" spans="1:27" s="520" customFormat="1">
      <c r="A39" s="14" t="s">
        <v>811</v>
      </c>
      <c r="B39" s="831">
        <f t="shared" si="2"/>
        <v>47</v>
      </c>
      <c r="C39" s="831">
        <f t="shared" si="3"/>
        <v>200</v>
      </c>
      <c r="D39" s="303">
        <v>0</v>
      </c>
      <c r="E39" s="303">
        <v>0</v>
      </c>
      <c r="F39" s="303">
        <v>1</v>
      </c>
      <c r="G39" s="303">
        <v>142</v>
      </c>
      <c r="H39" s="303">
        <v>0</v>
      </c>
      <c r="I39" s="303">
        <v>0</v>
      </c>
      <c r="J39" s="303">
        <v>21</v>
      </c>
      <c r="K39" s="303">
        <v>58</v>
      </c>
      <c r="L39" s="303">
        <v>0</v>
      </c>
      <c r="M39" s="303">
        <v>0</v>
      </c>
      <c r="N39" s="303">
        <v>16</v>
      </c>
      <c r="O39" s="303">
        <v>0</v>
      </c>
      <c r="P39" s="303">
        <v>0</v>
      </c>
      <c r="Q39" s="303">
        <v>0</v>
      </c>
      <c r="R39" s="303">
        <v>9</v>
      </c>
      <c r="S39" s="303">
        <v>0</v>
      </c>
      <c r="T39" s="303">
        <v>0</v>
      </c>
      <c r="U39" s="303">
        <v>0</v>
      </c>
      <c r="V39" s="303">
        <v>0</v>
      </c>
      <c r="W39" s="303">
        <v>0</v>
      </c>
      <c r="X39" s="303">
        <v>0</v>
      </c>
      <c r="Y39" s="303">
        <v>0</v>
      </c>
      <c r="Z39" s="303">
        <v>0</v>
      </c>
      <c r="AA39" s="899">
        <v>0</v>
      </c>
    </row>
    <row r="40" spans="1:27" s="520" customFormat="1">
      <c r="A40" s="14" t="s">
        <v>812</v>
      </c>
      <c r="B40" s="831">
        <f t="shared" si="2"/>
        <v>42</v>
      </c>
      <c r="C40" s="831">
        <f t="shared" si="3"/>
        <v>188</v>
      </c>
      <c r="D40" s="303">
        <v>0</v>
      </c>
      <c r="E40" s="303">
        <v>0</v>
      </c>
      <c r="F40" s="303">
        <v>1</v>
      </c>
      <c r="G40" s="303">
        <v>155</v>
      </c>
      <c r="H40" s="303">
        <v>0</v>
      </c>
      <c r="I40" s="303">
        <v>0</v>
      </c>
      <c r="J40" s="303">
        <v>27</v>
      </c>
      <c r="K40" s="303">
        <v>33</v>
      </c>
      <c r="L40" s="303">
        <v>0</v>
      </c>
      <c r="M40" s="303">
        <v>0</v>
      </c>
      <c r="N40" s="303">
        <v>9</v>
      </c>
      <c r="O40" s="303">
        <v>0</v>
      </c>
      <c r="P40" s="303">
        <v>0</v>
      </c>
      <c r="Q40" s="303">
        <v>0</v>
      </c>
      <c r="R40" s="303">
        <v>5</v>
      </c>
      <c r="S40" s="303">
        <v>0</v>
      </c>
      <c r="T40" s="303">
        <v>0</v>
      </c>
      <c r="U40" s="303">
        <v>0</v>
      </c>
      <c r="V40" s="303">
        <v>0</v>
      </c>
      <c r="W40" s="303">
        <v>0</v>
      </c>
      <c r="X40" s="303">
        <v>0</v>
      </c>
      <c r="Y40" s="303">
        <v>0</v>
      </c>
      <c r="Z40" s="303">
        <v>0</v>
      </c>
      <c r="AA40" s="899">
        <v>0</v>
      </c>
    </row>
    <row r="41" spans="1:27" s="520" customFormat="1" ht="17.25" thickBot="1">
      <c r="A41" s="500" t="s">
        <v>813</v>
      </c>
      <c r="B41" s="833">
        <f t="shared" si="2"/>
        <v>19</v>
      </c>
      <c r="C41" s="834">
        <f t="shared" si="3"/>
        <v>300</v>
      </c>
      <c r="D41" s="892">
        <v>0</v>
      </c>
      <c r="E41" s="892">
        <v>0</v>
      </c>
      <c r="F41" s="892">
        <v>0</v>
      </c>
      <c r="G41" s="892">
        <v>0</v>
      </c>
      <c r="H41" s="892">
        <v>2</v>
      </c>
      <c r="I41" s="892">
        <v>300</v>
      </c>
      <c r="J41" s="892">
        <v>9</v>
      </c>
      <c r="K41" s="892">
        <v>0</v>
      </c>
      <c r="L41" s="892">
        <v>0</v>
      </c>
      <c r="M41" s="892">
        <v>0</v>
      </c>
      <c r="N41" s="892">
        <v>5</v>
      </c>
      <c r="O41" s="892">
        <v>0</v>
      </c>
      <c r="P41" s="892">
        <v>0</v>
      </c>
      <c r="Q41" s="892">
        <v>0</v>
      </c>
      <c r="R41" s="892">
        <v>3</v>
      </c>
      <c r="S41" s="892">
        <v>0</v>
      </c>
      <c r="T41" s="892">
        <v>0</v>
      </c>
      <c r="U41" s="892">
        <v>0</v>
      </c>
      <c r="V41" s="892">
        <v>0</v>
      </c>
      <c r="W41" s="892">
        <v>0</v>
      </c>
      <c r="X41" s="892">
        <v>0</v>
      </c>
      <c r="Y41" s="892">
        <v>0</v>
      </c>
      <c r="Z41" s="892">
        <v>0</v>
      </c>
      <c r="AA41" s="901">
        <v>1</v>
      </c>
    </row>
    <row r="42" spans="1:27">
      <c r="A42" s="594" t="s">
        <v>1764</v>
      </c>
    </row>
    <row r="43" spans="1:27">
      <c r="A43" s="532" t="s">
        <v>1765</v>
      </c>
    </row>
    <row r="44" spans="1:27">
      <c r="A44" s="532" t="s">
        <v>1789</v>
      </c>
    </row>
    <row r="45" spans="1:27">
      <c r="A45" s="532" t="s">
        <v>1766</v>
      </c>
    </row>
  </sheetData>
  <mergeCells count="17">
    <mergeCell ref="J7:K7"/>
    <mergeCell ref="D6:K6"/>
    <mergeCell ref="P6:S6"/>
    <mergeCell ref="N3:AA3"/>
    <mergeCell ref="D8:E8"/>
    <mergeCell ref="A2:L2"/>
    <mergeCell ref="N2:AA2"/>
    <mergeCell ref="T7:U7"/>
    <mergeCell ref="J8:K8"/>
    <mergeCell ref="L8:M8"/>
    <mergeCell ref="P8:Q8"/>
    <mergeCell ref="A3:L3"/>
    <mergeCell ref="L6:M6"/>
    <mergeCell ref="L7:M7"/>
    <mergeCell ref="P7:Q7"/>
    <mergeCell ref="D7:E7"/>
    <mergeCell ref="H7:I7"/>
  </mergeCells>
  <phoneticPr fontId="3" type="noConversion"/>
  <pageMargins left="0.7" right="0.7" top="0.75" bottom="0.75" header="0.3" footer="0.3"/>
  <pageSetup paperSize="9" scale="57" orientation="portrait" verticalDpi="0" r:id="rId1"/>
  <colBreaks count="1" manualBreakCount="1">
    <brk id="13" max="4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P41"/>
  <sheetViews>
    <sheetView view="pageBreakPreview" zoomScaleNormal="100" zoomScaleSheetLayoutView="100" workbookViewId="0">
      <selection activeCell="P32" sqref="P32"/>
    </sheetView>
  </sheetViews>
  <sheetFormatPr defaultRowHeight="16.5"/>
  <cols>
    <col min="1" max="1" width="15.25" style="518" bestFit="1" customWidth="1"/>
    <col min="2" max="2" width="9" style="518"/>
    <col min="3" max="3" width="8.625" style="518" bestFit="1" customWidth="1"/>
    <col min="4" max="4" width="11.375" style="518" bestFit="1" customWidth="1"/>
    <col min="5" max="5" width="11.25" style="518" bestFit="1" customWidth="1"/>
    <col min="6" max="6" width="9" style="518" bestFit="1" customWidth="1"/>
    <col min="7" max="9" width="10.375" style="518" bestFit="1" customWidth="1"/>
    <col min="10" max="10" width="11.375" style="518" bestFit="1" customWidth="1"/>
    <col min="11" max="11" width="11.25" style="518" bestFit="1" customWidth="1"/>
    <col min="12" max="16384" width="9" style="518"/>
  </cols>
  <sheetData>
    <row r="1" spans="1:16" s="592" customFormat="1" ht="24.95" customHeight="1">
      <c r="A1" s="1336" t="s">
        <v>1493</v>
      </c>
      <c r="B1" s="1336"/>
      <c r="C1" s="1336"/>
      <c r="D1" s="1336"/>
      <c r="E1" s="1336"/>
      <c r="F1" s="1336"/>
      <c r="H1" s="16"/>
      <c r="I1" s="16"/>
      <c r="J1" s="16"/>
      <c r="K1" s="592" t="s">
        <v>824</v>
      </c>
      <c r="M1" s="16"/>
      <c r="N1" s="16"/>
      <c r="O1" s="16"/>
      <c r="P1" s="16"/>
    </row>
    <row r="2" spans="1:16" s="385" customFormat="1" ht="24.95" customHeight="1">
      <c r="A2" s="1335" t="s">
        <v>821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  <c r="L2" s="19"/>
      <c r="M2" s="19"/>
    </row>
    <row r="3" spans="1:16" s="385" customFormat="1" ht="24.95" customHeight="1">
      <c r="A3" s="1320" t="s">
        <v>1018</v>
      </c>
      <c r="B3" s="1320"/>
      <c r="C3" s="1320"/>
      <c r="D3" s="1320"/>
      <c r="E3" s="1320"/>
      <c r="F3" s="1320"/>
      <c r="G3" s="1320"/>
      <c r="H3" s="1320"/>
      <c r="I3" s="1320"/>
      <c r="J3" s="1320"/>
      <c r="K3" s="1320"/>
      <c r="L3" s="586"/>
      <c r="M3" s="586"/>
    </row>
    <row r="4" spans="1:16" s="385" customFormat="1" ht="9.9499999999999993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</row>
    <row r="5" spans="1:16" s="6" customFormat="1" ht="15" customHeight="1" thickBot="1">
      <c r="A5" s="513" t="s">
        <v>0</v>
      </c>
      <c r="B5" s="513"/>
      <c r="K5" s="387" t="s">
        <v>1021</v>
      </c>
    </row>
    <row r="6" spans="1:16" s="7" customFormat="1" ht="30" customHeight="1">
      <c r="A6" s="588" t="s">
        <v>3</v>
      </c>
      <c r="B6" s="587" t="s">
        <v>612</v>
      </c>
      <c r="C6" s="902" t="s">
        <v>1623</v>
      </c>
      <c r="D6" s="83" t="s">
        <v>613</v>
      </c>
      <c r="E6" s="80" t="s">
        <v>614</v>
      </c>
      <c r="F6" s="903" t="s">
        <v>1624</v>
      </c>
      <c r="G6" s="81" t="s">
        <v>615</v>
      </c>
      <c r="H6" s="82" t="s">
        <v>616</v>
      </c>
      <c r="I6" s="83" t="s">
        <v>53</v>
      </c>
      <c r="J6" s="83" t="s">
        <v>617</v>
      </c>
      <c r="K6" s="904" t="s">
        <v>1617</v>
      </c>
      <c r="L6" s="84"/>
    </row>
    <row r="7" spans="1:16" s="7" customFormat="1" ht="16.5" customHeight="1">
      <c r="A7" s="601"/>
      <c r="B7" s="589"/>
      <c r="C7" s="381"/>
      <c r="D7" s="91"/>
      <c r="E7" s="374" t="s">
        <v>618</v>
      </c>
      <c r="F7" s="91"/>
      <c r="G7" s="370"/>
      <c r="H7" s="307"/>
      <c r="I7" s="91"/>
      <c r="J7" s="91" t="s">
        <v>61</v>
      </c>
      <c r="K7" s="91" t="s">
        <v>1618</v>
      </c>
      <c r="L7" s="84"/>
    </row>
    <row r="8" spans="1:16" s="7" customFormat="1" ht="16.5" customHeight="1">
      <c r="A8" s="516" t="s">
        <v>576</v>
      </c>
      <c r="B8" s="877" t="s">
        <v>29</v>
      </c>
      <c r="C8" s="384" t="s">
        <v>1615</v>
      </c>
      <c r="D8" s="384" t="s">
        <v>619</v>
      </c>
      <c r="E8" s="894" t="s">
        <v>620</v>
      </c>
      <c r="F8" s="384" t="s">
        <v>621</v>
      </c>
      <c r="G8" s="896" t="s">
        <v>622</v>
      </c>
      <c r="H8" s="895" t="s">
        <v>52</v>
      </c>
      <c r="I8" s="384" t="s">
        <v>623</v>
      </c>
      <c r="J8" s="384" t="s">
        <v>624</v>
      </c>
      <c r="K8" s="384" t="s">
        <v>1616</v>
      </c>
      <c r="L8" s="84"/>
    </row>
    <row r="9" spans="1:16">
      <c r="A9" s="15">
        <v>2019</v>
      </c>
      <c r="B9" s="519">
        <v>4571</v>
      </c>
      <c r="C9" s="301">
        <v>743</v>
      </c>
      <c r="D9" s="301">
        <v>117</v>
      </c>
      <c r="E9" s="301">
        <v>93</v>
      </c>
      <c r="F9" s="301">
        <v>39</v>
      </c>
      <c r="G9" s="301">
        <v>0</v>
      </c>
      <c r="H9" s="301">
        <v>1561</v>
      </c>
      <c r="I9" s="301">
        <v>1202</v>
      </c>
      <c r="J9" s="301">
        <v>783</v>
      </c>
      <c r="K9" s="301">
        <v>33</v>
      </c>
    </row>
    <row r="10" spans="1:16">
      <c r="A10" s="15">
        <v>2020</v>
      </c>
      <c r="B10" s="519">
        <v>4725</v>
      </c>
      <c r="C10" s="301">
        <v>769</v>
      </c>
      <c r="D10" s="301">
        <v>125</v>
      </c>
      <c r="E10" s="301">
        <v>95</v>
      </c>
      <c r="F10" s="301">
        <v>40</v>
      </c>
      <c r="G10" s="301">
        <v>0</v>
      </c>
      <c r="H10" s="301">
        <v>1603</v>
      </c>
      <c r="I10" s="301">
        <v>1238</v>
      </c>
      <c r="J10" s="301">
        <v>817</v>
      </c>
      <c r="K10" s="301">
        <v>38</v>
      </c>
    </row>
    <row r="11" spans="1:16">
      <c r="A11" s="15">
        <v>2021</v>
      </c>
      <c r="B11" s="519">
        <v>4801</v>
      </c>
      <c r="C11" s="301">
        <v>753</v>
      </c>
      <c r="D11" s="301">
        <v>123</v>
      </c>
      <c r="E11" s="301">
        <v>104</v>
      </c>
      <c r="F11" s="301">
        <v>35</v>
      </c>
      <c r="G11" s="301">
        <v>0</v>
      </c>
      <c r="H11" s="301">
        <v>1638</v>
      </c>
      <c r="I11" s="301">
        <v>1235</v>
      </c>
      <c r="J11" s="301">
        <v>875</v>
      </c>
      <c r="K11" s="301">
        <v>38</v>
      </c>
    </row>
    <row r="12" spans="1:16">
      <c r="A12" s="15">
        <v>2022</v>
      </c>
      <c r="B12" s="519">
        <v>4958</v>
      </c>
      <c r="C12" s="301">
        <v>762</v>
      </c>
      <c r="D12" s="301">
        <v>120</v>
      </c>
      <c r="E12" s="301">
        <v>101</v>
      </c>
      <c r="F12" s="301">
        <v>34</v>
      </c>
      <c r="G12" s="301">
        <v>0</v>
      </c>
      <c r="H12" s="301">
        <v>1801</v>
      </c>
      <c r="I12" s="301">
        <v>1241</v>
      </c>
      <c r="J12" s="301">
        <v>865</v>
      </c>
      <c r="K12" s="301">
        <v>34</v>
      </c>
    </row>
    <row r="13" spans="1:16">
      <c r="A13" s="15">
        <v>2023</v>
      </c>
      <c r="B13" s="519">
        <v>4938</v>
      </c>
      <c r="C13" s="301">
        <v>746</v>
      </c>
      <c r="D13" s="301">
        <v>106</v>
      </c>
      <c r="E13" s="301">
        <v>109</v>
      </c>
      <c r="F13" s="301">
        <v>35</v>
      </c>
      <c r="G13" s="301">
        <v>0</v>
      </c>
      <c r="H13" s="301">
        <v>1805</v>
      </c>
      <c r="I13" s="301">
        <v>1213</v>
      </c>
      <c r="J13" s="301">
        <v>890</v>
      </c>
      <c r="K13" s="301">
        <v>34</v>
      </c>
    </row>
    <row r="14" spans="1:16" s="520" customFormat="1">
      <c r="A14" s="511">
        <v>2024</v>
      </c>
      <c r="B14" s="835">
        <f>SUM(B15:B39)</f>
        <v>4326</v>
      </c>
      <c r="C14" s="836">
        <f t="shared" ref="C14:K14" si="0">SUM(C15:C39)</f>
        <v>754</v>
      </c>
      <c r="D14" s="836">
        <f t="shared" si="0"/>
        <v>132</v>
      </c>
      <c r="E14" s="836">
        <f t="shared" si="0"/>
        <v>73</v>
      </c>
      <c r="F14" s="836">
        <f t="shared" si="0"/>
        <v>39</v>
      </c>
      <c r="G14" s="836">
        <f t="shared" si="0"/>
        <v>0</v>
      </c>
      <c r="H14" s="836">
        <f t="shared" si="0"/>
        <v>1490</v>
      </c>
      <c r="I14" s="836">
        <f t="shared" si="0"/>
        <v>1094</v>
      </c>
      <c r="J14" s="836">
        <f t="shared" si="0"/>
        <v>704</v>
      </c>
      <c r="K14" s="836">
        <f t="shared" si="0"/>
        <v>40</v>
      </c>
    </row>
    <row r="15" spans="1:16" s="520" customFormat="1">
      <c r="A15" s="14" t="s">
        <v>793</v>
      </c>
      <c r="B15" s="837">
        <f t="shared" ref="B15:B24" si="1">SUM(C15:K15)</f>
        <v>8</v>
      </c>
      <c r="C15" s="303">
        <v>3</v>
      </c>
      <c r="D15" s="303">
        <v>0</v>
      </c>
      <c r="E15" s="303">
        <v>0</v>
      </c>
      <c r="F15" s="303">
        <v>0</v>
      </c>
      <c r="G15" s="303">
        <v>0</v>
      </c>
      <c r="H15" s="303">
        <v>2</v>
      </c>
      <c r="I15" s="303">
        <v>3</v>
      </c>
      <c r="J15" s="303">
        <v>0</v>
      </c>
      <c r="K15" s="303">
        <v>0</v>
      </c>
    </row>
    <row r="16" spans="1:16" s="520" customFormat="1">
      <c r="A16" s="14" t="s">
        <v>794</v>
      </c>
      <c r="B16" s="837">
        <f t="shared" si="1"/>
        <v>163</v>
      </c>
      <c r="C16" s="303">
        <v>10</v>
      </c>
      <c r="D16" s="303">
        <v>2</v>
      </c>
      <c r="E16" s="303">
        <v>7</v>
      </c>
      <c r="F16" s="303">
        <v>2</v>
      </c>
      <c r="G16" s="303">
        <v>0</v>
      </c>
      <c r="H16" s="303">
        <v>57</v>
      </c>
      <c r="I16" s="303">
        <v>67</v>
      </c>
      <c r="J16" s="303">
        <v>17</v>
      </c>
      <c r="K16" s="303">
        <v>1</v>
      </c>
    </row>
    <row r="17" spans="1:11" s="520" customFormat="1">
      <c r="A17" s="14" t="s">
        <v>795</v>
      </c>
      <c r="B17" s="837">
        <f t="shared" si="1"/>
        <v>253</v>
      </c>
      <c r="C17" s="303">
        <v>13</v>
      </c>
      <c r="D17" s="303">
        <v>0</v>
      </c>
      <c r="E17" s="303">
        <v>0</v>
      </c>
      <c r="F17" s="303">
        <v>6</v>
      </c>
      <c r="G17" s="303"/>
      <c r="H17" s="303">
        <v>129</v>
      </c>
      <c r="I17" s="303">
        <v>91</v>
      </c>
      <c r="J17" s="303">
        <v>12</v>
      </c>
      <c r="K17" s="303">
        <v>2</v>
      </c>
    </row>
    <row r="18" spans="1:11" s="520" customFormat="1">
      <c r="A18" s="14" t="s">
        <v>796</v>
      </c>
      <c r="B18" s="837">
        <f t="shared" si="1"/>
        <v>2</v>
      </c>
      <c r="C18" s="303">
        <v>2</v>
      </c>
      <c r="D18" s="303">
        <v>0</v>
      </c>
      <c r="E18" s="303">
        <v>0</v>
      </c>
      <c r="F18" s="303">
        <v>0</v>
      </c>
      <c r="G18" s="303">
        <v>0</v>
      </c>
      <c r="H18" s="303">
        <v>0</v>
      </c>
      <c r="I18" s="303">
        <v>0</v>
      </c>
      <c r="J18" s="303">
        <v>0</v>
      </c>
      <c r="K18" s="303">
        <v>0</v>
      </c>
    </row>
    <row r="19" spans="1:11" s="520" customFormat="1">
      <c r="A19" s="14" t="s">
        <v>797</v>
      </c>
      <c r="B19" s="837">
        <f t="shared" si="1"/>
        <v>87</v>
      </c>
      <c r="C19" s="303">
        <v>10</v>
      </c>
      <c r="D19" s="303">
        <v>3</v>
      </c>
      <c r="E19" s="303">
        <v>7</v>
      </c>
      <c r="F19" s="303">
        <v>0</v>
      </c>
      <c r="G19" s="303">
        <v>0</v>
      </c>
      <c r="H19" s="303">
        <v>13</v>
      </c>
      <c r="I19" s="303">
        <v>40</v>
      </c>
      <c r="J19" s="303">
        <v>14</v>
      </c>
      <c r="K19" s="303">
        <v>0</v>
      </c>
    </row>
    <row r="20" spans="1:11" s="520" customFormat="1">
      <c r="A20" s="14" t="s">
        <v>798</v>
      </c>
      <c r="B20" s="837">
        <f t="shared" si="1"/>
        <v>5</v>
      </c>
      <c r="C20" s="303">
        <v>2</v>
      </c>
      <c r="D20" s="303">
        <v>0</v>
      </c>
      <c r="E20" s="303">
        <v>0</v>
      </c>
      <c r="F20" s="303">
        <v>0</v>
      </c>
      <c r="G20" s="303">
        <v>0</v>
      </c>
      <c r="H20" s="303">
        <v>3</v>
      </c>
      <c r="I20" s="303">
        <v>0</v>
      </c>
      <c r="J20" s="303">
        <v>0</v>
      </c>
      <c r="K20" s="303">
        <v>0</v>
      </c>
    </row>
    <row r="21" spans="1:11" s="520" customFormat="1">
      <c r="A21" s="14" t="s">
        <v>799</v>
      </c>
      <c r="B21" s="837">
        <f t="shared" si="1"/>
        <v>8</v>
      </c>
      <c r="C21" s="303">
        <v>2</v>
      </c>
      <c r="D21" s="303">
        <v>0</v>
      </c>
      <c r="E21" s="303">
        <v>1</v>
      </c>
      <c r="F21" s="303">
        <v>0</v>
      </c>
      <c r="G21" s="303">
        <v>0</v>
      </c>
      <c r="H21" s="303">
        <v>2</v>
      </c>
      <c r="I21" s="303">
        <v>3</v>
      </c>
      <c r="J21" s="303">
        <v>0</v>
      </c>
      <c r="K21" s="303">
        <v>0</v>
      </c>
    </row>
    <row r="22" spans="1:11" s="520" customFormat="1">
      <c r="A22" s="14" t="s">
        <v>800</v>
      </c>
      <c r="B22" s="837">
        <f t="shared" si="1"/>
        <v>100</v>
      </c>
      <c r="C22" s="303">
        <v>20</v>
      </c>
      <c r="D22" s="303">
        <v>0</v>
      </c>
      <c r="E22" s="303">
        <v>1</v>
      </c>
      <c r="F22" s="303">
        <v>2</v>
      </c>
      <c r="G22" s="303">
        <v>0</v>
      </c>
      <c r="H22" s="303">
        <v>49</v>
      </c>
      <c r="I22" s="303">
        <v>20</v>
      </c>
      <c r="J22" s="303">
        <v>8</v>
      </c>
      <c r="K22" s="303">
        <v>0</v>
      </c>
    </row>
    <row r="23" spans="1:11" s="520" customFormat="1">
      <c r="A23" s="14" t="s">
        <v>801</v>
      </c>
      <c r="B23" s="837">
        <f t="shared" si="1"/>
        <v>5</v>
      </c>
      <c r="C23" s="303">
        <v>1</v>
      </c>
      <c r="D23" s="303">
        <v>0</v>
      </c>
      <c r="E23" s="303">
        <v>0</v>
      </c>
      <c r="F23" s="303">
        <v>0</v>
      </c>
      <c r="G23" s="303">
        <v>0</v>
      </c>
      <c r="H23" s="303">
        <v>2</v>
      </c>
      <c r="I23" s="303">
        <v>2</v>
      </c>
      <c r="J23" s="303">
        <v>0</v>
      </c>
      <c r="K23" s="303">
        <v>0</v>
      </c>
    </row>
    <row r="24" spans="1:11" s="520" customFormat="1">
      <c r="A24" s="14" t="s">
        <v>802</v>
      </c>
      <c r="B24" s="837">
        <f t="shared" si="1"/>
        <v>5</v>
      </c>
      <c r="C24" s="303">
        <v>2</v>
      </c>
      <c r="D24" s="303">
        <v>0</v>
      </c>
      <c r="E24" s="303">
        <v>0</v>
      </c>
      <c r="F24" s="303">
        <v>0</v>
      </c>
      <c r="G24" s="303">
        <v>0</v>
      </c>
      <c r="H24" s="303">
        <v>2</v>
      </c>
      <c r="I24" s="303">
        <v>1</v>
      </c>
      <c r="J24" s="303">
        <v>0</v>
      </c>
      <c r="K24" s="303">
        <v>0</v>
      </c>
    </row>
    <row r="25" spans="1:11" s="520" customFormat="1">
      <c r="A25" s="14" t="s">
        <v>803</v>
      </c>
      <c r="B25" s="837">
        <f t="shared" ref="B25" si="2">SUM(C25:K25)</f>
        <v>162</v>
      </c>
      <c r="C25" s="303">
        <v>24</v>
      </c>
      <c r="D25" s="303">
        <v>3</v>
      </c>
      <c r="E25" s="303">
        <v>1</v>
      </c>
      <c r="F25" s="303">
        <v>1</v>
      </c>
      <c r="G25" s="303">
        <v>0</v>
      </c>
      <c r="H25" s="303">
        <v>33</v>
      </c>
      <c r="I25" s="303">
        <v>71</v>
      </c>
      <c r="J25" s="303">
        <v>27</v>
      </c>
      <c r="K25" s="303">
        <v>2</v>
      </c>
    </row>
    <row r="26" spans="1:11" s="520" customFormat="1">
      <c r="A26" s="14" t="s">
        <v>804</v>
      </c>
      <c r="B26" s="837">
        <f t="shared" ref="B26:B39" si="3">SUM(C26:K26)</f>
        <v>626</v>
      </c>
      <c r="C26" s="303">
        <v>162</v>
      </c>
      <c r="D26" s="303">
        <v>2</v>
      </c>
      <c r="E26" s="303">
        <v>0</v>
      </c>
      <c r="F26" s="303">
        <v>12</v>
      </c>
      <c r="G26" s="303">
        <v>0</v>
      </c>
      <c r="H26" s="303">
        <v>349</v>
      </c>
      <c r="I26" s="303">
        <v>19</v>
      </c>
      <c r="J26" s="303">
        <v>63</v>
      </c>
      <c r="K26" s="303">
        <v>19</v>
      </c>
    </row>
    <row r="27" spans="1:11" s="520" customFormat="1">
      <c r="A27" s="14" t="s">
        <v>814</v>
      </c>
      <c r="B27" s="837">
        <f t="shared" si="3"/>
        <v>133</v>
      </c>
      <c r="C27" s="303">
        <v>17</v>
      </c>
      <c r="D27" s="303">
        <v>10</v>
      </c>
      <c r="E27" s="303">
        <v>10</v>
      </c>
      <c r="F27" s="303">
        <v>0</v>
      </c>
      <c r="G27" s="303">
        <v>0</v>
      </c>
      <c r="H27" s="303">
        <v>1</v>
      </c>
      <c r="I27" s="303">
        <v>69</v>
      </c>
      <c r="J27" s="303">
        <v>26</v>
      </c>
      <c r="K27" s="303">
        <v>0</v>
      </c>
    </row>
    <row r="28" spans="1:11" s="520" customFormat="1">
      <c r="A28" s="14" t="s">
        <v>806</v>
      </c>
      <c r="B28" s="837">
        <f t="shared" si="3"/>
        <v>175</v>
      </c>
      <c r="C28" s="303">
        <v>31</v>
      </c>
      <c r="D28" s="303">
        <v>17</v>
      </c>
      <c r="E28" s="303">
        <v>4</v>
      </c>
      <c r="F28" s="303">
        <v>0</v>
      </c>
      <c r="G28" s="303">
        <v>0</v>
      </c>
      <c r="H28" s="303">
        <v>11</v>
      </c>
      <c r="I28" s="303">
        <v>62</v>
      </c>
      <c r="J28" s="303">
        <v>48</v>
      </c>
      <c r="K28" s="303">
        <v>2</v>
      </c>
    </row>
    <row r="29" spans="1:11" s="520" customFormat="1">
      <c r="A29" s="14" t="s">
        <v>807</v>
      </c>
      <c r="B29" s="837">
        <f t="shared" si="3"/>
        <v>0</v>
      </c>
      <c r="C29" s="303">
        <v>0</v>
      </c>
      <c r="D29" s="303">
        <v>0</v>
      </c>
      <c r="E29" s="303">
        <v>0</v>
      </c>
      <c r="F29" s="303">
        <v>0</v>
      </c>
      <c r="G29" s="303">
        <v>0</v>
      </c>
      <c r="H29" s="303">
        <v>0</v>
      </c>
      <c r="I29" s="303">
        <v>0</v>
      </c>
      <c r="J29" s="303">
        <v>0</v>
      </c>
      <c r="K29" s="303">
        <v>0</v>
      </c>
    </row>
    <row r="30" spans="1:11" s="520" customFormat="1">
      <c r="A30" s="14" t="s">
        <v>808</v>
      </c>
      <c r="B30" s="837">
        <f t="shared" si="3"/>
        <v>56</v>
      </c>
      <c r="C30" s="303">
        <v>9</v>
      </c>
      <c r="D30" s="303">
        <v>5</v>
      </c>
      <c r="E30" s="303">
        <v>2</v>
      </c>
      <c r="F30" s="303">
        <v>0</v>
      </c>
      <c r="G30" s="303">
        <v>0</v>
      </c>
      <c r="H30" s="303">
        <v>2</v>
      </c>
      <c r="I30" s="303">
        <v>20</v>
      </c>
      <c r="J30" s="303">
        <v>18</v>
      </c>
      <c r="K30" s="303">
        <v>0</v>
      </c>
    </row>
    <row r="31" spans="1:11" s="520" customFormat="1">
      <c r="A31" s="14" t="s">
        <v>548</v>
      </c>
      <c r="B31" s="837">
        <f t="shared" si="3"/>
        <v>19</v>
      </c>
      <c r="C31" s="303">
        <v>3</v>
      </c>
      <c r="D31" s="303">
        <v>2</v>
      </c>
      <c r="E31" s="303">
        <v>0</v>
      </c>
      <c r="F31" s="303">
        <v>0</v>
      </c>
      <c r="G31" s="303">
        <v>0</v>
      </c>
      <c r="H31" s="303">
        <v>1</v>
      </c>
      <c r="I31" s="303">
        <v>8</v>
      </c>
      <c r="J31" s="303">
        <v>5</v>
      </c>
      <c r="K31" s="303">
        <v>0</v>
      </c>
    </row>
    <row r="32" spans="1:11" s="520" customFormat="1">
      <c r="A32" s="14" t="s">
        <v>549</v>
      </c>
      <c r="B32" s="837">
        <f t="shared" si="3"/>
        <v>76</v>
      </c>
      <c r="C32" s="303">
        <v>11</v>
      </c>
      <c r="D32" s="303">
        <v>4</v>
      </c>
      <c r="E32" s="303">
        <v>3</v>
      </c>
      <c r="F32" s="303">
        <v>0</v>
      </c>
      <c r="G32" s="303">
        <v>0</v>
      </c>
      <c r="H32" s="303">
        <v>4</v>
      </c>
      <c r="I32" s="303">
        <v>32</v>
      </c>
      <c r="J32" s="303">
        <v>22</v>
      </c>
      <c r="K32" s="303">
        <v>0</v>
      </c>
    </row>
    <row r="33" spans="1:11" s="520" customFormat="1">
      <c r="A33" s="14" t="s">
        <v>809</v>
      </c>
      <c r="B33" s="837">
        <f t="shared" si="3"/>
        <v>133</v>
      </c>
      <c r="C33" s="303">
        <v>21</v>
      </c>
      <c r="D33" s="303">
        <v>5</v>
      </c>
      <c r="E33" s="303">
        <v>2</v>
      </c>
      <c r="F33" s="303">
        <v>0</v>
      </c>
      <c r="G33" s="303">
        <v>0</v>
      </c>
      <c r="H33" s="303">
        <v>28</v>
      </c>
      <c r="I33" s="303">
        <v>32</v>
      </c>
      <c r="J33" s="303">
        <v>44</v>
      </c>
      <c r="K33" s="303">
        <v>1</v>
      </c>
    </row>
    <row r="34" spans="1:11" s="520" customFormat="1">
      <c r="A34" s="14" t="s">
        <v>551</v>
      </c>
      <c r="B34" s="837">
        <f t="shared" si="3"/>
        <v>43</v>
      </c>
      <c r="C34" s="303">
        <v>8</v>
      </c>
      <c r="D34" s="303">
        <v>0</v>
      </c>
      <c r="E34" s="303">
        <v>1</v>
      </c>
      <c r="F34" s="303">
        <v>0</v>
      </c>
      <c r="G34" s="303">
        <v>0</v>
      </c>
      <c r="H34" s="303">
        <v>14</v>
      </c>
      <c r="I34" s="303">
        <v>18</v>
      </c>
      <c r="J34" s="303">
        <v>1</v>
      </c>
      <c r="K34" s="303">
        <v>1</v>
      </c>
    </row>
    <row r="35" spans="1:11" s="520" customFormat="1">
      <c r="A35" s="14" t="s">
        <v>552</v>
      </c>
      <c r="B35" s="837">
        <f t="shared" si="3"/>
        <v>1018</v>
      </c>
      <c r="C35" s="303">
        <v>233</v>
      </c>
      <c r="D35" s="303">
        <v>1</v>
      </c>
      <c r="E35" s="303">
        <v>0</v>
      </c>
      <c r="F35" s="303">
        <v>14</v>
      </c>
      <c r="G35" s="303">
        <v>0</v>
      </c>
      <c r="H35" s="303">
        <v>585</v>
      </c>
      <c r="I35" s="303">
        <v>86</v>
      </c>
      <c r="J35" s="303">
        <v>95</v>
      </c>
      <c r="K35" s="303">
        <v>4</v>
      </c>
    </row>
    <row r="36" spans="1:11" s="520" customFormat="1">
      <c r="A36" s="14" t="s">
        <v>810</v>
      </c>
      <c r="B36" s="837">
        <f t="shared" si="3"/>
        <v>396</v>
      </c>
      <c r="C36" s="303">
        <v>41</v>
      </c>
      <c r="D36" s="303">
        <v>27</v>
      </c>
      <c r="E36" s="303">
        <v>12</v>
      </c>
      <c r="F36" s="303">
        <v>0</v>
      </c>
      <c r="G36" s="303">
        <v>0</v>
      </c>
      <c r="H36" s="303">
        <v>44</v>
      </c>
      <c r="I36" s="303">
        <v>164</v>
      </c>
      <c r="J36" s="303">
        <v>106</v>
      </c>
      <c r="K36" s="303">
        <v>2</v>
      </c>
    </row>
    <row r="37" spans="1:11" s="520" customFormat="1">
      <c r="A37" s="14" t="s">
        <v>811</v>
      </c>
      <c r="B37" s="837">
        <f t="shared" si="3"/>
        <v>311</v>
      </c>
      <c r="C37" s="303">
        <v>40</v>
      </c>
      <c r="D37" s="303">
        <v>15</v>
      </c>
      <c r="E37" s="303">
        <v>9</v>
      </c>
      <c r="F37" s="303">
        <v>1</v>
      </c>
      <c r="G37" s="303">
        <v>0</v>
      </c>
      <c r="H37" s="303">
        <v>52</v>
      </c>
      <c r="I37" s="303">
        <v>134</v>
      </c>
      <c r="J37" s="303">
        <v>58</v>
      </c>
      <c r="K37" s="303">
        <v>2</v>
      </c>
    </row>
    <row r="38" spans="1:11" s="520" customFormat="1">
      <c r="A38" s="14" t="s">
        <v>812</v>
      </c>
      <c r="B38" s="837">
        <f t="shared" si="3"/>
        <v>322</v>
      </c>
      <c r="C38" s="303">
        <v>46</v>
      </c>
      <c r="D38" s="303">
        <v>23</v>
      </c>
      <c r="E38" s="303">
        <v>10</v>
      </c>
      <c r="F38" s="303">
        <v>0</v>
      </c>
      <c r="G38" s="303">
        <v>0</v>
      </c>
      <c r="H38" s="303">
        <v>38</v>
      </c>
      <c r="I38" s="303">
        <v>120</v>
      </c>
      <c r="J38" s="303">
        <v>83</v>
      </c>
      <c r="K38" s="303">
        <v>2</v>
      </c>
    </row>
    <row r="39" spans="1:11" s="520" customFormat="1" ht="17.25" thickBot="1">
      <c r="A39" s="500" t="s">
        <v>813</v>
      </c>
      <c r="B39" s="838">
        <f t="shared" si="3"/>
        <v>220</v>
      </c>
      <c r="C39" s="892">
        <v>43</v>
      </c>
      <c r="D39" s="892">
        <v>13</v>
      </c>
      <c r="E39" s="892">
        <v>3</v>
      </c>
      <c r="F39" s="892">
        <v>1</v>
      </c>
      <c r="G39" s="892">
        <v>0</v>
      </c>
      <c r="H39" s="892">
        <v>69</v>
      </c>
      <c r="I39" s="892">
        <v>32</v>
      </c>
      <c r="J39" s="892">
        <v>57</v>
      </c>
      <c r="K39" s="892">
        <v>2</v>
      </c>
    </row>
    <row r="40" spans="1:11">
      <c r="A40" s="594" t="s">
        <v>1787</v>
      </c>
    </row>
    <row r="41" spans="1:11">
      <c r="A41" s="594" t="s">
        <v>1775</v>
      </c>
    </row>
  </sheetData>
  <mergeCells count="3">
    <mergeCell ref="A3:K3"/>
    <mergeCell ref="A2:K2"/>
    <mergeCell ref="A1:F1"/>
  </mergeCells>
  <phoneticPr fontId="3" type="noConversion"/>
  <pageMargins left="0.7" right="0.7" top="0.75" bottom="0.75" header="0.3" footer="0.3"/>
  <pageSetup paperSize="9" scale="6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81BD"/>
    <outlinePr summaryBelow="0" summaryRight="0"/>
  </sheetPr>
  <dimension ref="A1:AD125"/>
  <sheetViews>
    <sheetView view="pageBreakPreview" zoomScaleNormal="100" zoomScaleSheetLayoutView="100" workbookViewId="0">
      <selection activeCell="I29" sqref="I29"/>
    </sheetView>
  </sheetViews>
  <sheetFormatPr defaultColWidth="9" defaultRowHeight="28.5" customHeight="1"/>
  <cols>
    <col min="1" max="1" width="7.5" style="98" customWidth="1"/>
    <col min="2" max="2" width="6.625" style="98" customWidth="1"/>
    <col min="3" max="3" width="7.375" style="98" customWidth="1"/>
    <col min="4" max="11" width="9.875" style="98" customWidth="1"/>
    <col min="12" max="12" width="8.625" style="98" customWidth="1"/>
    <col min="13" max="13" width="7.125" style="98" customWidth="1"/>
    <col min="14" max="14" width="8.125" style="98" customWidth="1"/>
    <col min="15" max="20" width="9.875" style="98" customWidth="1"/>
    <col min="21" max="21" width="10.5" style="98" customWidth="1"/>
    <col min="22" max="22" width="7.5" style="98" customWidth="1"/>
    <col min="23" max="25" width="9.875" style="98" customWidth="1"/>
    <col min="26" max="27" width="6.125" style="98" customWidth="1"/>
    <col min="28" max="28" width="6.5" style="98" customWidth="1"/>
    <col min="29" max="29" width="5.375" style="98" customWidth="1"/>
    <col min="30" max="16384" width="9" style="98"/>
  </cols>
  <sheetData>
    <row r="1" spans="1:30" s="1190" customFormat="1" ht="24.95" customHeight="1">
      <c r="A1" s="1337" t="s">
        <v>1803</v>
      </c>
      <c r="B1" s="1337"/>
      <c r="C1" s="1337"/>
      <c r="D1" s="1337"/>
      <c r="E1" s="1337"/>
      <c r="F1" s="1337"/>
      <c r="G1" s="1337"/>
      <c r="H1" s="1337"/>
      <c r="I1" s="1337"/>
      <c r="J1" s="1337"/>
      <c r="K1" s="1337"/>
      <c r="L1" s="1337"/>
      <c r="M1" s="1337"/>
      <c r="N1" s="1337"/>
      <c r="O1" s="1337"/>
      <c r="P1" s="1337"/>
      <c r="R1" s="20"/>
      <c r="S1" s="20"/>
      <c r="T1" s="20"/>
      <c r="U1" s="20"/>
      <c r="V1" s="20"/>
      <c r="X1" s="20" t="s">
        <v>1574</v>
      </c>
      <c r="Y1" s="20"/>
      <c r="Z1" s="20"/>
      <c r="AA1" s="20"/>
      <c r="AB1" s="20"/>
      <c r="AC1" s="20"/>
      <c r="AD1" s="20"/>
    </row>
    <row r="2" spans="1:30" s="75" customFormat="1" ht="24.95" customHeight="1">
      <c r="A2" s="1338" t="s">
        <v>822</v>
      </c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1338"/>
      <c r="S2" s="1338"/>
      <c r="T2" s="1338"/>
      <c r="U2" s="1338"/>
      <c r="V2" s="1338"/>
      <c r="W2" s="1338"/>
      <c r="X2" s="1338"/>
      <c r="Y2" s="1338"/>
      <c r="Z2" s="1219"/>
      <c r="AA2" s="1219"/>
      <c r="AB2" s="1219"/>
      <c r="AC2" s="1219"/>
      <c r="AD2" s="1219"/>
    </row>
    <row r="3" spans="1:30" s="75" customFormat="1" ht="24.95" customHeight="1">
      <c r="A3" s="1339" t="s">
        <v>1020</v>
      </c>
      <c r="B3" s="1339"/>
      <c r="C3" s="1339"/>
      <c r="D3" s="1339"/>
      <c r="E3" s="1339"/>
      <c r="F3" s="1339"/>
      <c r="G3" s="1339"/>
      <c r="H3" s="1339"/>
      <c r="I3" s="1339"/>
      <c r="J3" s="1339"/>
      <c r="K3" s="1339"/>
      <c r="L3" s="1339"/>
      <c r="M3" s="1339"/>
      <c r="N3" s="1339"/>
      <c r="O3" s="1339"/>
      <c r="P3" s="1339"/>
      <c r="Q3" s="1339"/>
      <c r="R3" s="1339"/>
      <c r="S3" s="1339"/>
      <c r="T3" s="1339"/>
      <c r="U3" s="1339"/>
      <c r="V3" s="1339"/>
      <c r="W3" s="1339"/>
      <c r="X3" s="1339"/>
      <c r="Y3" s="1339"/>
      <c r="Z3" s="1220"/>
      <c r="AA3" s="1220"/>
      <c r="AB3" s="1220"/>
      <c r="AC3" s="1220"/>
      <c r="AD3" s="1220"/>
    </row>
    <row r="4" spans="1:30" s="75" customFormat="1" ht="9.9499999999999993" customHeight="1">
      <c r="A4" s="1192"/>
      <c r="B4" s="1192"/>
      <c r="C4" s="1192"/>
      <c r="D4" s="1192"/>
      <c r="E4" s="1192"/>
      <c r="F4" s="1192"/>
      <c r="G4" s="1192"/>
      <c r="H4" s="1192"/>
      <c r="I4" s="1192"/>
      <c r="J4" s="1192"/>
      <c r="K4" s="1192"/>
      <c r="L4" s="1192"/>
      <c r="M4" s="1192"/>
      <c r="N4" s="1192"/>
      <c r="O4" s="1192"/>
      <c r="P4" s="1192"/>
      <c r="Q4" s="1192"/>
      <c r="R4" s="1192"/>
      <c r="S4" s="1192"/>
      <c r="T4" s="1192"/>
      <c r="U4" s="1192"/>
      <c r="V4" s="1192"/>
      <c r="W4" s="1192"/>
      <c r="X4" s="1192"/>
      <c r="Y4" s="1192"/>
      <c r="Z4" s="1220"/>
      <c r="AA4" s="1220"/>
      <c r="AB4" s="1220"/>
      <c r="AC4" s="1220"/>
      <c r="AD4" s="1220"/>
    </row>
    <row r="5" spans="1:30" s="78" customFormat="1" ht="15" customHeight="1" thickBot="1">
      <c r="A5" s="77" t="s">
        <v>0</v>
      </c>
      <c r="B5" s="28"/>
      <c r="C5" s="28"/>
      <c r="D5" s="28"/>
      <c r="X5" s="79"/>
      <c r="Y5" s="79" t="s">
        <v>1019</v>
      </c>
      <c r="AC5" s="79"/>
    </row>
    <row r="6" spans="1:30" s="78" customFormat="1" ht="39.950000000000003" customHeight="1">
      <c r="A6" s="1364" t="s">
        <v>1685</v>
      </c>
      <c r="B6" s="1351" t="s">
        <v>1686</v>
      </c>
      <c r="C6" s="1353" t="s">
        <v>1687</v>
      </c>
      <c r="D6" s="1353"/>
      <c r="E6" s="1350" t="s">
        <v>1688</v>
      </c>
      <c r="F6" s="1350"/>
      <c r="G6" s="1350"/>
      <c r="H6" s="1350" t="s">
        <v>1689</v>
      </c>
      <c r="I6" s="1350"/>
      <c r="J6" s="1350" t="s">
        <v>1690</v>
      </c>
      <c r="K6" s="1350"/>
      <c r="L6" s="1350" t="s">
        <v>1691</v>
      </c>
      <c r="M6" s="1350" t="s">
        <v>1692</v>
      </c>
      <c r="N6" s="1350" t="s">
        <v>1693</v>
      </c>
      <c r="O6" s="1342" t="s">
        <v>1694</v>
      </c>
      <c r="P6" s="1345" t="s">
        <v>1695</v>
      </c>
      <c r="Q6" s="1346"/>
      <c r="R6" s="1346"/>
      <c r="S6" s="1346"/>
      <c r="T6" s="1346"/>
      <c r="U6" s="1347"/>
      <c r="V6" s="1350" t="s">
        <v>1804</v>
      </c>
      <c r="W6" s="1350" t="s">
        <v>1805</v>
      </c>
      <c r="X6" s="1350" t="s">
        <v>1806</v>
      </c>
      <c r="Y6" s="1345" t="s">
        <v>1807</v>
      </c>
      <c r="AC6" s="79"/>
    </row>
    <row r="7" spans="1:30" s="78" customFormat="1" ht="24.95" customHeight="1">
      <c r="A7" s="1365"/>
      <c r="B7" s="1352"/>
      <c r="C7" s="1340" t="s">
        <v>1696</v>
      </c>
      <c r="D7" s="1340" t="s">
        <v>1697</v>
      </c>
      <c r="E7" s="1340" t="s">
        <v>1698</v>
      </c>
      <c r="F7" s="1340" t="s">
        <v>1699</v>
      </c>
      <c r="G7" s="1340" t="s">
        <v>1700</v>
      </c>
      <c r="H7" s="1340" t="s">
        <v>1701</v>
      </c>
      <c r="I7" s="1340" t="s">
        <v>1702</v>
      </c>
      <c r="J7" s="1340" t="s">
        <v>1703</v>
      </c>
      <c r="K7" s="1340" t="s">
        <v>1704</v>
      </c>
      <c r="L7" s="1349"/>
      <c r="M7" s="1349"/>
      <c r="N7" s="1349"/>
      <c r="O7" s="1343"/>
      <c r="P7" s="1349" t="s">
        <v>1705</v>
      </c>
      <c r="Q7" s="1360" t="s">
        <v>1706</v>
      </c>
      <c r="R7" s="1360" t="s">
        <v>1707</v>
      </c>
      <c r="S7" s="1349" t="s">
        <v>1708</v>
      </c>
      <c r="T7" s="1363" t="s">
        <v>1625</v>
      </c>
      <c r="U7" s="1348" t="s">
        <v>1671</v>
      </c>
      <c r="V7" s="1349"/>
      <c r="W7" s="1349"/>
      <c r="X7" s="1349"/>
      <c r="Y7" s="1356"/>
      <c r="AC7" s="79"/>
    </row>
    <row r="8" spans="1:30" s="78" customFormat="1" ht="24.95" customHeight="1">
      <c r="A8" s="1365"/>
      <c r="B8" s="1352"/>
      <c r="C8" s="1341"/>
      <c r="D8" s="1341"/>
      <c r="E8" s="1341"/>
      <c r="F8" s="1341"/>
      <c r="G8" s="1340"/>
      <c r="H8" s="1341"/>
      <c r="I8" s="1340"/>
      <c r="J8" s="1341"/>
      <c r="K8" s="1340"/>
      <c r="L8" s="1349"/>
      <c r="M8" s="1349"/>
      <c r="N8" s="1349"/>
      <c r="O8" s="1343"/>
      <c r="P8" s="1349"/>
      <c r="Q8" s="1360"/>
      <c r="R8" s="1360"/>
      <c r="S8" s="1349"/>
      <c r="T8" s="1343"/>
      <c r="U8" s="1349"/>
      <c r="V8" s="1349"/>
      <c r="W8" s="1349"/>
      <c r="X8" s="1349"/>
      <c r="Y8" s="1356"/>
      <c r="AC8" s="79"/>
    </row>
    <row r="9" spans="1:30" s="78" customFormat="1" ht="24.95" customHeight="1">
      <c r="A9" s="1365"/>
      <c r="B9" s="1352"/>
      <c r="C9" s="1341"/>
      <c r="D9" s="1341"/>
      <c r="E9" s="1341"/>
      <c r="F9" s="1341"/>
      <c r="G9" s="1340"/>
      <c r="H9" s="1341"/>
      <c r="I9" s="1340"/>
      <c r="J9" s="1341"/>
      <c r="K9" s="1340"/>
      <c r="L9" s="1349"/>
      <c r="M9" s="1349"/>
      <c r="N9" s="1349"/>
      <c r="O9" s="1343"/>
      <c r="P9" s="1349"/>
      <c r="Q9" s="1360"/>
      <c r="R9" s="1360"/>
      <c r="S9" s="1349"/>
      <c r="T9" s="1343"/>
      <c r="U9" s="1349"/>
      <c r="V9" s="1349"/>
      <c r="W9" s="1349"/>
      <c r="X9" s="1349"/>
      <c r="Y9" s="1356"/>
      <c r="AC9" s="79"/>
    </row>
    <row r="10" spans="1:30" s="78" customFormat="1" ht="24.95" customHeight="1">
      <c r="A10" s="1365"/>
      <c r="B10" s="1352"/>
      <c r="C10" s="1341"/>
      <c r="D10" s="1341"/>
      <c r="E10" s="1341"/>
      <c r="F10" s="1341"/>
      <c r="G10" s="1340"/>
      <c r="H10" s="1341"/>
      <c r="I10" s="1340"/>
      <c r="J10" s="1341"/>
      <c r="K10" s="1340"/>
      <c r="L10" s="1349"/>
      <c r="M10" s="1349"/>
      <c r="N10" s="1349"/>
      <c r="O10" s="1344"/>
      <c r="P10" s="1349"/>
      <c r="Q10" s="1360"/>
      <c r="R10" s="1360"/>
      <c r="S10" s="1349"/>
      <c r="T10" s="1344"/>
      <c r="U10" s="1349"/>
      <c r="V10" s="1349"/>
      <c r="W10" s="1349"/>
      <c r="X10" s="1349"/>
      <c r="Y10" s="1356"/>
      <c r="AC10" s="79"/>
    </row>
    <row r="11" spans="1:30" s="78" customFormat="1" ht="24.95" customHeight="1">
      <c r="A11" s="1041">
        <v>2020</v>
      </c>
      <c r="B11" s="1058">
        <f t="shared" ref="B11:B14" si="0">SUM(C11:Y11)</f>
        <v>140</v>
      </c>
      <c r="C11" s="1042">
        <v>0</v>
      </c>
      <c r="D11" s="982">
        <v>1</v>
      </c>
      <c r="E11" s="982">
        <v>0</v>
      </c>
      <c r="F11" s="982">
        <v>1</v>
      </c>
      <c r="G11" s="981">
        <v>1</v>
      </c>
      <c r="H11" s="982">
        <v>0</v>
      </c>
      <c r="I11" s="981">
        <v>2</v>
      </c>
      <c r="J11" s="982">
        <v>0</v>
      </c>
      <c r="K11" s="981">
        <v>2</v>
      </c>
      <c r="L11" s="981">
        <v>0</v>
      </c>
      <c r="M11" s="981">
        <v>68</v>
      </c>
      <c r="N11" s="981">
        <v>11</v>
      </c>
      <c r="O11" s="981">
        <v>0</v>
      </c>
      <c r="P11" s="981">
        <v>3</v>
      </c>
      <c r="Q11" s="1043">
        <v>2</v>
      </c>
      <c r="R11" s="1043">
        <v>10</v>
      </c>
      <c r="S11" s="981">
        <v>5</v>
      </c>
      <c r="T11" s="982">
        <v>0</v>
      </c>
      <c r="U11" s="978">
        <v>0</v>
      </c>
      <c r="V11" s="981">
        <v>14</v>
      </c>
      <c r="W11" s="981">
        <v>1</v>
      </c>
      <c r="X11" s="981">
        <v>6</v>
      </c>
      <c r="Y11" s="981">
        <v>13</v>
      </c>
      <c r="AC11" s="79"/>
    </row>
    <row r="12" spans="1:30" s="78" customFormat="1" ht="24.95" customHeight="1">
      <c r="A12" s="1044">
        <v>2021</v>
      </c>
      <c r="B12" s="1058">
        <f t="shared" si="0"/>
        <v>137</v>
      </c>
      <c r="C12" s="1045">
        <v>0</v>
      </c>
      <c r="D12" s="984">
        <v>1</v>
      </c>
      <c r="E12" s="984">
        <v>1</v>
      </c>
      <c r="F12" s="984" t="s">
        <v>792</v>
      </c>
      <c r="G12" s="983">
        <v>1</v>
      </c>
      <c r="H12" s="984" t="s">
        <v>792</v>
      </c>
      <c r="I12" s="983">
        <v>3</v>
      </c>
      <c r="J12" s="984" t="s">
        <v>792</v>
      </c>
      <c r="K12" s="983">
        <v>2</v>
      </c>
      <c r="L12" s="983">
        <v>0</v>
      </c>
      <c r="M12" s="983">
        <v>44</v>
      </c>
      <c r="N12" s="983">
        <v>13</v>
      </c>
      <c r="O12" s="983">
        <v>4</v>
      </c>
      <c r="P12" s="983">
        <v>3</v>
      </c>
      <c r="Q12" s="1046">
        <v>3</v>
      </c>
      <c r="R12" s="1046">
        <v>11</v>
      </c>
      <c r="S12" s="983">
        <v>6</v>
      </c>
      <c r="T12" s="983">
        <v>4</v>
      </c>
      <c r="U12" s="979">
        <v>0</v>
      </c>
      <c r="V12" s="983">
        <v>14</v>
      </c>
      <c r="W12" s="983">
        <v>1</v>
      </c>
      <c r="X12" s="983">
        <v>14</v>
      </c>
      <c r="Y12" s="983">
        <v>12</v>
      </c>
      <c r="AC12" s="79"/>
    </row>
    <row r="13" spans="1:30" s="78" customFormat="1" ht="24.95" customHeight="1">
      <c r="A13" s="1044">
        <v>2022</v>
      </c>
      <c r="B13" s="1058">
        <f t="shared" si="0"/>
        <v>127</v>
      </c>
      <c r="C13" s="1045">
        <v>0</v>
      </c>
      <c r="D13" s="984">
        <v>1</v>
      </c>
      <c r="E13" s="984">
        <v>1</v>
      </c>
      <c r="F13" s="984" t="s">
        <v>792</v>
      </c>
      <c r="G13" s="983">
        <v>1</v>
      </c>
      <c r="H13" s="984">
        <v>0</v>
      </c>
      <c r="I13" s="983">
        <v>3</v>
      </c>
      <c r="J13" s="984">
        <v>0</v>
      </c>
      <c r="K13" s="984">
        <v>0</v>
      </c>
      <c r="L13" s="983">
        <v>0</v>
      </c>
      <c r="M13" s="983">
        <v>23</v>
      </c>
      <c r="N13" s="983">
        <v>15</v>
      </c>
      <c r="O13" s="983">
        <v>3</v>
      </c>
      <c r="P13" s="983">
        <v>3</v>
      </c>
      <c r="Q13" s="1046">
        <v>3</v>
      </c>
      <c r="R13" s="1046">
        <v>11</v>
      </c>
      <c r="S13" s="983">
        <v>7</v>
      </c>
      <c r="T13" s="983">
        <v>3</v>
      </c>
      <c r="U13" s="979">
        <v>2</v>
      </c>
      <c r="V13" s="983">
        <v>9</v>
      </c>
      <c r="W13" s="983">
        <v>2</v>
      </c>
      <c r="X13" s="983">
        <v>13</v>
      </c>
      <c r="Y13" s="983">
        <v>27</v>
      </c>
      <c r="AC13" s="79"/>
    </row>
    <row r="14" spans="1:30" s="1051" customFormat="1" ht="24.95" customHeight="1">
      <c r="A14" s="1053">
        <v>2023</v>
      </c>
      <c r="B14" s="1058">
        <f t="shared" si="0"/>
        <v>144</v>
      </c>
      <c r="C14" s="1059">
        <v>0</v>
      </c>
      <c r="D14" s="1054">
        <v>0</v>
      </c>
      <c r="E14" s="1054">
        <v>1</v>
      </c>
      <c r="F14" s="1054">
        <v>0</v>
      </c>
      <c r="G14" s="1055">
        <v>0</v>
      </c>
      <c r="H14" s="1054">
        <v>0</v>
      </c>
      <c r="I14" s="1055">
        <v>3</v>
      </c>
      <c r="J14" s="1054">
        <v>0</v>
      </c>
      <c r="K14" s="1054">
        <v>0</v>
      </c>
      <c r="L14" s="1055">
        <v>0</v>
      </c>
      <c r="M14" s="1055">
        <v>53</v>
      </c>
      <c r="N14" s="1055">
        <v>16</v>
      </c>
      <c r="O14" s="1055">
        <v>1</v>
      </c>
      <c r="P14" s="1055">
        <v>4</v>
      </c>
      <c r="Q14" s="1056">
        <v>3</v>
      </c>
      <c r="R14" s="1056">
        <v>13</v>
      </c>
      <c r="S14" s="1055">
        <v>4</v>
      </c>
      <c r="T14" s="1055">
        <v>1</v>
      </c>
      <c r="U14" s="1057">
        <v>1</v>
      </c>
      <c r="V14" s="1055">
        <v>9</v>
      </c>
      <c r="W14" s="1055">
        <v>3</v>
      </c>
      <c r="X14" s="1055">
        <v>14</v>
      </c>
      <c r="Y14" s="1055">
        <v>18</v>
      </c>
      <c r="AC14" s="1052"/>
    </row>
    <row r="15" spans="1:30" s="1051" customFormat="1" ht="24.95" customHeight="1" thickBot="1">
      <c r="A15" s="1047">
        <v>2024</v>
      </c>
      <c r="B15" s="1034">
        <f>SUM(C15:Y15)</f>
        <v>149</v>
      </c>
      <c r="C15" s="1048">
        <v>0</v>
      </c>
      <c r="D15" s="1048">
        <v>1</v>
      </c>
      <c r="E15" s="1048">
        <v>1</v>
      </c>
      <c r="F15" s="1048">
        <v>0</v>
      </c>
      <c r="G15" s="1049">
        <v>0</v>
      </c>
      <c r="H15" s="1048">
        <v>0</v>
      </c>
      <c r="I15" s="1049">
        <v>2</v>
      </c>
      <c r="J15" s="1048">
        <v>0</v>
      </c>
      <c r="K15" s="1048">
        <v>0</v>
      </c>
      <c r="L15" s="1049">
        <v>0</v>
      </c>
      <c r="M15" s="1049">
        <v>50</v>
      </c>
      <c r="N15" s="1049">
        <v>15</v>
      </c>
      <c r="O15" s="1049">
        <v>1</v>
      </c>
      <c r="P15" s="1049">
        <v>4</v>
      </c>
      <c r="Q15" s="1050">
        <v>4</v>
      </c>
      <c r="R15" s="1050">
        <v>9</v>
      </c>
      <c r="S15" s="1049">
        <v>6</v>
      </c>
      <c r="T15" s="1049">
        <v>5</v>
      </c>
      <c r="U15" s="1033">
        <v>3</v>
      </c>
      <c r="V15" s="1049">
        <v>7</v>
      </c>
      <c r="W15" s="1049">
        <v>3</v>
      </c>
      <c r="X15" s="1049">
        <v>21</v>
      </c>
      <c r="Y15" s="1049">
        <v>17</v>
      </c>
      <c r="AC15" s="1052"/>
    </row>
    <row r="16" spans="1:30" s="179" customFormat="1" ht="15" customHeight="1">
      <c r="A16" s="1362" t="s">
        <v>1729</v>
      </c>
      <c r="B16" s="1362"/>
      <c r="C16" s="1362"/>
      <c r="D16" s="1362"/>
      <c r="E16" s="1362"/>
      <c r="F16" s="1081"/>
      <c r="G16" s="1081"/>
      <c r="H16" s="1081"/>
      <c r="I16" s="1081"/>
      <c r="J16" s="1081"/>
      <c r="K16" s="1357"/>
      <c r="L16" s="1357"/>
      <c r="M16" s="1357"/>
      <c r="N16" s="1357"/>
      <c r="O16" s="1221"/>
      <c r="P16" s="97"/>
      <c r="Q16" s="1081"/>
      <c r="R16" s="1081"/>
      <c r="S16" s="1081"/>
      <c r="T16" s="1081"/>
      <c r="U16" s="1081"/>
      <c r="V16" s="1081"/>
      <c r="W16" s="1081"/>
      <c r="X16" s="1081"/>
      <c r="Y16" s="1081"/>
      <c r="Z16" s="1081"/>
      <c r="AA16" s="1222"/>
      <c r="AB16" s="1358"/>
      <c r="AC16" s="1359"/>
    </row>
    <row r="17" spans="1:29" s="179" customFormat="1" ht="15" customHeight="1">
      <c r="A17" s="1362" t="s">
        <v>1655</v>
      </c>
      <c r="B17" s="1362"/>
      <c r="C17" s="1362"/>
      <c r="D17" s="1362"/>
      <c r="E17" s="1362"/>
      <c r="F17" s="1081"/>
      <c r="G17" s="1081"/>
      <c r="H17" s="1081"/>
      <c r="I17" s="1081"/>
      <c r="J17" s="1081"/>
      <c r="K17" s="1221"/>
      <c r="L17" s="1221"/>
      <c r="M17" s="1221"/>
      <c r="N17" s="1221"/>
      <c r="O17" s="1221"/>
      <c r="P17" s="97"/>
      <c r="Q17" s="1081"/>
      <c r="R17" s="1081"/>
      <c r="S17" s="1081"/>
      <c r="T17" s="1081"/>
      <c r="U17" s="1081"/>
      <c r="V17" s="1081"/>
      <c r="W17" s="1081"/>
      <c r="X17" s="1081"/>
      <c r="Y17" s="1081"/>
      <c r="Z17" s="1081"/>
      <c r="AA17" s="1222"/>
      <c r="AB17" s="1223"/>
      <c r="AC17" s="1224"/>
    </row>
    <row r="18" spans="1:29" s="27" customFormat="1" ht="12" customHeight="1">
      <c r="A18" s="1361" t="s">
        <v>1808</v>
      </c>
      <c r="B18" s="1361"/>
      <c r="C18" s="1361"/>
      <c r="D18" s="1361"/>
      <c r="E18" s="1361"/>
      <c r="F18" s="1361"/>
      <c r="G18" s="1361"/>
      <c r="H18" s="1361"/>
      <c r="I18" s="1361"/>
      <c r="J18" s="1361"/>
      <c r="K18" s="1361"/>
      <c r="L18" s="1361"/>
      <c r="M18" s="1361"/>
      <c r="N18" s="1361"/>
      <c r="O18" s="1361"/>
      <c r="P18" s="1361"/>
      <c r="Q18" s="1225"/>
      <c r="R18" s="1225"/>
      <c r="S18" s="1225"/>
      <c r="T18" s="1225"/>
      <c r="U18" s="1225"/>
      <c r="V18" s="1225"/>
      <c r="W18" s="1225"/>
      <c r="X18" s="1225"/>
      <c r="Y18" s="1225"/>
      <c r="Z18" s="1225"/>
      <c r="AA18" s="1225"/>
      <c r="AB18" s="1354"/>
      <c r="AC18" s="1355"/>
    </row>
    <row r="19" spans="1:29" ht="12">
      <c r="AB19" s="1227"/>
      <c r="AC19" s="1227"/>
    </row>
    <row r="20" spans="1:29" ht="12"/>
    <row r="21" spans="1:29" ht="12"/>
    <row r="22" spans="1:29" ht="12"/>
    <row r="23" spans="1:29" ht="12"/>
    <row r="24" spans="1:29" ht="12"/>
    <row r="25" spans="1:29" ht="12"/>
    <row r="26" spans="1:29" ht="12"/>
    <row r="27" spans="1:29" ht="12"/>
    <row r="28" spans="1:29" ht="12"/>
    <row r="29" spans="1:29" ht="12"/>
    <row r="30" spans="1:29" ht="12"/>
    <row r="31" spans="1:29" ht="12"/>
    <row r="32" spans="1:29" ht="12"/>
    <row r="33" ht="12"/>
    <row r="34" ht="12"/>
    <row r="35" ht="12"/>
    <row r="36" ht="12"/>
    <row r="37" ht="12"/>
    <row r="38" ht="12"/>
    <row r="39" ht="12"/>
    <row r="40" ht="12"/>
    <row r="41" ht="12"/>
    <row r="42" ht="12"/>
    <row r="43" ht="12"/>
    <row r="44" ht="12"/>
    <row r="45" ht="12"/>
    <row r="46" ht="12"/>
    <row r="47" ht="12"/>
    <row r="48" ht="12"/>
    <row r="49" ht="12"/>
    <row r="50" ht="12"/>
    <row r="51" ht="12"/>
    <row r="52" ht="12"/>
    <row r="53" ht="12"/>
    <row r="54" ht="12"/>
    <row r="55" ht="12"/>
    <row r="56" ht="12"/>
    <row r="57" ht="12"/>
    <row r="58" ht="12"/>
    <row r="59" ht="12"/>
    <row r="60" ht="12"/>
    <row r="61" ht="12"/>
    <row r="62" ht="12"/>
    <row r="63" ht="12"/>
    <row r="64" ht="12"/>
    <row r="65" ht="12"/>
    <row r="66" ht="12"/>
    <row r="67" ht="12"/>
    <row r="68" ht="12"/>
    <row r="69" ht="12"/>
    <row r="70" ht="12"/>
    <row r="71" ht="12"/>
    <row r="72" ht="12"/>
    <row r="73" ht="12"/>
    <row r="74" ht="12"/>
    <row r="75" ht="12"/>
    <row r="76" ht="12"/>
    <row r="77" ht="12"/>
    <row r="78" ht="12"/>
    <row r="79" ht="12"/>
    <row r="80" ht="12"/>
    <row r="81" ht="12"/>
    <row r="82" ht="12"/>
    <row r="83" ht="12"/>
    <row r="84" ht="12"/>
    <row r="85" ht="12"/>
    <row r="86" ht="12"/>
    <row r="87" ht="12"/>
    <row r="88" ht="12"/>
    <row r="89" ht="12"/>
    <row r="90" ht="12"/>
    <row r="91" ht="12"/>
    <row r="92" ht="12"/>
    <row r="93" ht="12"/>
    <row r="94" ht="12"/>
    <row r="95" ht="12"/>
    <row r="96" ht="12"/>
    <row r="97" ht="12"/>
    <row r="98" ht="12"/>
    <row r="99" ht="12"/>
    <row r="100" ht="12"/>
    <row r="101" ht="12"/>
    <row r="102" ht="12"/>
    <row r="103" ht="12"/>
    <row r="104" ht="12"/>
    <row r="105" ht="12"/>
    <row r="106" ht="12"/>
    <row r="107" ht="12"/>
    <row r="108" ht="12"/>
    <row r="109" ht="12"/>
    <row r="110" ht="12"/>
    <row r="111" ht="12"/>
    <row r="112" ht="12"/>
    <row r="113" ht="12"/>
    <row r="114" ht="12"/>
    <row r="115" ht="12"/>
    <row r="116" ht="12"/>
    <row r="117" ht="12"/>
    <row r="118" ht="12"/>
    <row r="119" ht="12"/>
    <row r="120" ht="12"/>
    <row r="121" ht="12"/>
    <row r="122" ht="12"/>
    <row r="123" ht="12"/>
    <row r="124" ht="12"/>
    <row r="125" ht="12"/>
  </sheetData>
  <sheetProtection selectLockedCells="1"/>
  <mergeCells count="39">
    <mergeCell ref="T7:T10"/>
    <mergeCell ref="A6:A10"/>
    <mergeCell ref="C7:C10"/>
    <mergeCell ref="E6:G6"/>
    <mergeCell ref="F7:F10"/>
    <mergeCell ref="G7:G10"/>
    <mergeCell ref="E7:E10"/>
    <mergeCell ref="AB18:AC18"/>
    <mergeCell ref="L6:L10"/>
    <mergeCell ref="M6:M10"/>
    <mergeCell ref="V6:V10"/>
    <mergeCell ref="W6:W10"/>
    <mergeCell ref="X6:X10"/>
    <mergeCell ref="Y6:Y10"/>
    <mergeCell ref="K16:N16"/>
    <mergeCell ref="AB16:AC16"/>
    <mergeCell ref="S7:S10"/>
    <mergeCell ref="Q7:Q10"/>
    <mergeCell ref="R7:R10"/>
    <mergeCell ref="N6:N10"/>
    <mergeCell ref="A18:P18"/>
    <mergeCell ref="A16:E16"/>
    <mergeCell ref="A17:E17"/>
    <mergeCell ref="A1:P1"/>
    <mergeCell ref="A2:Y2"/>
    <mergeCell ref="A3:Y3"/>
    <mergeCell ref="H7:H10"/>
    <mergeCell ref="O6:O10"/>
    <mergeCell ref="P6:U6"/>
    <mergeCell ref="U7:U10"/>
    <mergeCell ref="J6:K6"/>
    <mergeCell ref="J7:J10"/>
    <mergeCell ref="P7:P10"/>
    <mergeCell ref="I7:I10"/>
    <mergeCell ref="K7:K10"/>
    <mergeCell ref="B6:B10"/>
    <mergeCell ref="C6:D6"/>
    <mergeCell ref="D7:D10"/>
    <mergeCell ref="H6:I6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54" pageOrder="overThenDown" orientation="landscape" blackAndWhite="1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181BD"/>
    <outlinePr summaryBelow="0" summaryRight="0"/>
  </sheetPr>
  <dimension ref="A1:W21"/>
  <sheetViews>
    <sheetView view="pageBreakPreview" zoomScaleNormal="100" zoomScaleSheetLayoutView="100" workbookViewId="0">
      <selection activeCell="Q31" sqref="Q31:R31"/>
    </sheetView>
  </sheetViews>
  <sheetFormatPr defaultColWidth="9" defaultRowHeight="12" outlineLevelRow="1"/>
  <cols>
    <col min="1" max="1" width="10.125" style="98" customWidth="1"/>
    <col min="2" max="2" width="5.25" style="98" customWidth="1"/>
    <col min="3" max="3" width="7" style="98" customWidth="1"/>
    <col min="4" max="4" width="8.125" style="98" customWidth="1"/>
    <col min="5" max="5" width="7.5" style="98" customWidth="1"/>
    <col min="6" max="6" width="6.625" style="98" customWidth="1"/>
    <col min="7" max="8" width="7.5" style="98" customWidth="1"/>
    <col min="9" max="9" width="9.375" style="98" customWidth="1"/>
    <col min="10" max="10" width="6.625" style="98" customWidth="1"/>
    <col min="11" max="11" width="7" style="98" customWidth="1"/>
    <col min="12" max="13" width="7.75" style="98" customWidth="1"/>
    <col min="14" max="15" width="8.75" style="98" customWidth="1"/>
    <col min="16" max="16" width="9.875" style="98" customWidth="1"/>
    <col min="17" max="18" width="9" style="98" customWidth="1"/>
    <col min="19" max="19" width="10.25" style="98" customWidth="1"/>
    <col min="20" max="20" width="6.875" style="98" customWidth="1"/>
    <col min="21" max="16384" width="9" style="98"/>
  </cols>
  <sheetData>
    <row r="1" spans="1:23" s="1190" customFormat="1" ht="24.95" customHeight="1">
      <c r="A1" s="1337" t="s">
        <v>1809</v>
      </c>
      <c r="B1" s="1337"/>
      <c r="C1" s="1337"/>
      <c r="D1" s="1337"/>
      <c r="E1" s="1337"/>
      <c r="F1" s="1337"/>
      <c r="G1" s="1337"/>
      <c r="H1" s="1337"/>
      <c r="I1" s="1337"/>
      <c r="J1" s="1337"/>
      <c r="K1" s="1337"/>
      <c r="L1" s="1337"/>
      <c r="M1" s="1189"/>
      <c r="N1" s="20"/>
      <c r="O1" s="20"/>
      <c r="Q1" s="20"/>
      <c r="R1" s="20"/>
      <c r="S1" s="20"/>
      <c r="T1" s="20"/>
      <c r="U1" s="20"/>
      <c r="V1" s="20" t="s">
        <v>1575</v>
      </c>
    </row>
    <row r="2" spans="1:23" s="75" customFormat="1" ht="24.95" customHeight="1">
      <c r="A2" s="1338" t="s">
        <v>1024</v>
      </c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1338"/>
      <c r="S2" s="1338"/>
      <c r="T2" s="1338"/>
      <c r="U2" s="1338"/>
      <c r="V2" s="1338"/>
      <c r="W2" s="1338"/>
    </row>
    <row r="3" spans="1:23" s="76" customFormat="1" ht="24.95" customHeight="1">
      <c r="A3" s="1369" t="s">
        <v>1022</v>
      </c>
      <c r="B3" s="1369"/>
      <c r="C3" s="1369"/>
      <c r="D3" s="1369"/>
      <c r="E3" s="1369"/>
      <c r="F3" s="1369"/>
      <c r="G3" s="1369"/>
      <c r="H3" s="1369"/>
      <c r="I3" s="1369"/>
      <c r="J3" s="1369"/>
      <c r="K3" s="1369"/>
      <c r="L3" s="1369"/>
      <c r="M3" s="1369"/>
      <c r="N3" s="1369"/>
      <c r="O3" s="1369"/>
      <c r="P3" s="1369"/>
      <c r="Q3" s="1369"/>
      <c r="R3" s="1369"/>
      <c r="S3" s="1369"/>
      <c r="T3" s="1369"/>
      <c r="U3" s="1369"/>
      <c r="V3" s="1369"/>
      <c r="W3" s="1369"/>
    </row>
    <row r="4" spans="1:23" s="76" customFormat="1" ht="9.9499999999999993" customHeight="1">
      <c r="A4" s="1193"/>
      <c r="B4" s="1193"/>
      <c r="C4" s="1193"/>
      <c r="D4" s="1193"/>
      <c r="E4" s="1193"/>
      <c r="F4" s="1193"/>
      <c r="G4" s="1193"/>
      <c r="H4" s="1193"/>
      <c r="I4" s="1193"/>
      <c r="J4" s="1193"/>
      <c r="K4" s="1193"/>
      <c r="L4" s="1193"/>
      <c r="M4" s="1193"/>
      <c r="N4" s="1193"/>
      <c r="O4" s="1193"/>
      <c r="P4" s="1193"/>
      <c r="Q4" s="1193"/>
      <c r="R4" s="1193"/>
      <c r="S4" s="1193"/>
      <c r="T4" s="1193"/>
      <c r="U4" s="1193"/>
      <c r="V4" s="1193"/>
      <c r="W4" s="1193"/>
    </row>
    <row r="5" spans="1:23" s="78" customFormat="1" ht="15" customHeight="1" thickBot="1">
      <c r="A5" s="77" t="s">
        <v>0</v>
      </c>
      <c r="B5" s="28"/>
      <c r="C5" s="28"/>
      <c r="E5" s="78" t="s">
        <v>2</v>
      </c>
      <c r="T5" s="79"/>
      <c r="W5" s="79" t="s">
        <v>1021</v>
      </c>
    </row>
    <row r="6" spans="1:23" s="84" customFormat="1" ht="35.1" customHeight="1">
      <c r="A6" s="1371" t="s">
        <v>1023</v>
      </c>
      <c r="B6" s="1353" t="s">
        <v>1810</v>
      </c>
      <c r="C6" s="1350" t="s">
        <v>1811</v>
      </c>
      <c r="D6" s="1350"/>
      <c r="E6" s="1350"/>
      <c r="F6" s="1350" t="s">
        <v>1812</v>
      </c>
      <c r="G6" s="1350"/>
      <c r="H6" s="1350" t="s">
        <v>1813</v>
      </c>
      <c r="I6" s="1350"/>
      <c r="J6" s="1350" t="s">
        <v>1814</v>
      </c>
      <c r="K6" s="1350" t="s">
        <v>1815</v>
      </c>
      <c r="L6" s="1350" t="s">
        <v>1816</v>
      </c>
      <c r="M6" s="1342" t="s">
        <v>1694</v>
      </c>
      <c r="N6" s="1345" t="s">
        <v>1709</v>
      </c>
      <c r="O6" s="1346"/>
      <c r="P6" s="1346"/>
      <c r="Q6" s="1346"/>
      <c r="R6" s="1346"/>
      <c r="S6" s="1347"/>
      <c r="T6" s="1350" t="s">
        <v>1817</v>
      </c>
      <c r="U6" s="1350" t="s">
        <v>1818</v>
      </c>
      <c r="V6" s="1350" t="s">
        <v>1819</v>
      </c>
      <c r="W6" s="1345" t="s">
        <v>1820</v>
      </c>
    </row>
    <row r="7" spans="1:23" s="84" customFormat="1" ht="24.95" customHeight="1">
      <c r="A7" s="1372"/>
      <c r="B7" s="1340"/>
      <c r="C7" s="1340" t="s">
        <v>1821</v>
      </c>
      <c r="D7" s="1340" t="s">
        <v>1699</v>
      </c>
      <c r="E7" s="1340" t="s">
        <v>1822</v>
      </c>
      <c r="F7" s="1340" t="s">
        <v>1823</v>
      </c>
      <c r="G7" s="1340" t="s">
        <v>1702</v>
      </c>
      <c r="H7" s="1340" t="s">
        <v>1824</v>
      </c>
      <c r="I7" s="1340" t="s">
        <v>1825</v>
      </c>
      <c r="J7" s="1349"/>
      <c r="K7" s="1349"/>
      <c r="L7" s="1349"/>
      <c r="M7" s="1343"/>
      <c r="N7" s="1349" t="s">
        <v>1710</v>
      </c>
      <c r="O7" s="1360" t="s">
        <v>1711</v>
      </c>
      <c r="P7" s="1360" t="s">
        <v>1712</v>
      </c>
      <c r="Q7" s="1349" t="s">
        <v>1713</v>
      </c>
      <c r="R7" s="1363" t="s">
        <v>1714</v>
      </c>
      <c r="S7" s="1366" t="s">
        <v>1672</v>
      </c>
      <c r="T7" s="1349"/>
      <c r="U7" s="1349"/>
      <c r="V7" s="1349"/>
      <c r="W7" s="1356"/>
    </row>
    <row r="8" spans="1:23" s="84" customFormat="1" ht="24.95" customHeight="1">
      <c r="A8" s="1372"/>
      <c r="B8" s="1340"/>
      <c r="C8" s="1340"/>
      <c r="D8" s="1341"/>
      <c r="E8" s="1340"/>
      <c r="F8" s="1341"/>
      <c r="G8" s="1340"/>
      <c r="H8" s="1341"/>
      <c r="I8" s="1340"/>
      <c r="J8" s="1349"/>
      <c r="K8" s="1349"/>
      <c r="L8" s="1349"/>
      <c r="M8" s="1343"/>
      <c r="N8" s="1349"/>
      <c r="O8" s="1360"/>
      <c r="P8" s="1360"/>
      <c r="Q8" s="1349"/>
      <c r="R8" s="1343"/>
      <c r="S8" s="1367"/>
      <c r="T8" s="1349"/>
      <c r="U8" s="1349"/>
      <c r="V8" s="1349"/>
      <c r="W8" s="1356"/>
    </row>
    <row r="9" spans="1:23" s="84" customFormat="1" ht="24.95" customHeight="1">
      <c r="A9" s="1372"/>
      <c r="B9" s="1340"/>
      <c r="C9" s="1340"/>
      <c r="D9" s="1341"/>
      <c r="E9" s="1340"/>
      <c r="F9" s="1341"/>
      <c r="G9" s="1340"/>
      <c r="H9" s="1341"/>
      <c r="I9" s="1340"/>
      <c r="J9" s="1349"/>
      <c r="K9" s="1349"/>
      <c r="L9" s="1349"/>
      <c r="M9" s="1343"/>
      <c r="N9" s="1349"/>
      <c r="O9" s="1360"/>
      <c r="P9" s="1360"/>
      <c r="Q9" s="1349"/>
      <c r="R9" s="1343"/>
      <c r="S9" s="1367"/>
      <c r="T9" s="1349"/>
      <c r="U9" s="1349"/>
      <c r="V9" s="1349"/>
      <c r="W9" s="1356"/>
    </row>
    <row r="10" spans="1:23" s="84" customFormat="1" ht="24.95" customHeight="1">
      <c r="A10" s="1373"/>
      <c r="B10" s="1340"/>
      <c r="C10" s="1340"/>
      <c r="D10" s="1341"/>
      <c r="E10" s="1340"/>
      <c r="F10" s="1341"/>
      <c r="G10" s="1340"/>
      <c r="H10" s="1341"/>
      <c r="I10" s="1340"/>
      <c r="J10" s="1349"/>
      <c r="K10" s="1349"/>
      <c r="L10" s="1349"/>
      <c r="M10" s="1344"/>
      <c r="N10" s="1349"/>
      <c r="O10" s="1360"/>
      <c r="P10" s="1360"/>
      <c r="Q10" s="1349"/>
      <c r="R10" s="1344"/>
      <c r="S10" s="1368"/>
      <c r="T10" s="1349"/>
      <c r="U10" s="1349"/>
      <c r="V10" s="1349"/>
      <c r="W10" s="1356"/>
    </row>
    <row r="11" spans="1:23" s="84" customFormat="1" ht="24.95" customHeight="1">
      <c r="A11" s="972">
        <v>2020</v>
      </c>
      <c r="B11" s="1680">
        <v>39</v>
      </c>
      <c r="C11" s="981">
        <v>0</v>
      </c>
      <c r="D11" s="982">
        <v>0</v>
      </c>
      <c r="E11" s="973">
        <v>10</v>
      </c>
      <c r="F11" s="982">
        <v>0</v>
      </c>
      <c r="G11" s="981">
        <v>0</v>
      </c>
      <c r="H11" s="982">
        <v>0</v>
      </c>
      <c r="I11" s="973">
        <v>5</v>
      </c>
      <c r="J11" s="981">
        <v>0</v>
      </c>
      <c r="K11" s="1228">
        <v>20</v>
      </c>
      <c r="L11" s="981">
        <v>0</v>
      </c>
      <c r="M11" s="981">
        <v>0</v>
      </c>
      <c r="N11" s="981">
        <v>0</v>
      </c>
      <c r="O11" s="1229">
        <v>0</v>
      </c>
      <c r="P11" s="1229">
        <v>0</v>
      </c>
      <c r="Q11" s="981">
        <v>0</v>
      </c>
      <c r="R11" s="981">
        <v>0</v>
      </c>
      <c r="S11" s="981">
        <v>0</v>
      </c>
      <c r="T11" s="1228">
        <v>4</v>
      </c>
      <c r="U11" s="981">
        <v>0</v>
      </c>
      <c r="V11" s="981">
        <v>0</v>
      </c>
      <c r="W11" s="981">
        <v>0</v>
      </c>
    </row>
    <row r="12" spans="1:23" s="84" customFormat="1" ht="24.95" customHeight="1">
      <c r="A12" s="974">
        <v>2021</v>
      </c>
      <c r="B12" s="1681">
        <v>39</v>
      </c>
      <c r="C12" s="983">
        <v>0</v>
      </c>
      <c r="D12" s="984">
        <v>0</v>
      </c>
      <c r="E12" s="975">
        <v>10</v>
      </c>
      <c r="F12" s="984">
        <v>0</v>
      </c>
      <c r="G12" s="983">
        <v>0</v>
      </c>
      <c r="H12" s="984">
        <v>0</v>
      </c>
      <c r="I12" s="975">
        <v>5</v>
      </c>
      <c r="J12" s="983">
        <v>0</v>
      </c>
      <c r="K12" s="1230">
        <v>20</v>
      </c>
      <c r="L12" s="983">
        <v>0</v>
      </c>
      <c r="M12" s="983">
        <v>0</v>
      </c>
      <c r="N12" s="983">
        <v>0</v>
      </c>
      <c r="O12" s="1231">
        <v>0</v>
      </c>
      <c r="P12" s="1231">
        <v>0</v>
      </c>
      <c r="Q12" s="983">
        <v>0</v>
      </c>
      <c r="R12" s="983">
        <v>0</v>
      </c>
      <c r="S12" s="983">
        <v>0</v>
      </c>
      <c r="T12" s="1230">
        <v>4</v>
      </c>
      <c r="U12" s="983">
        <v>0</v>
      </c>
      <c r="V12" s="983">
        <v>0</v>
      </c>
      <c r="W12" s="983">
        <v>0</v>
      </c>
    </row>
    <row r="13" spans="1:23" s="84" customFormat="1" ht="24.95" customHeight="1">
      <c r="A13" s="974">
        <v>2022</v>
      </c>
      <c r="B13" s="1681">
        <v>48</v>
      </c>
      <c r="C13" s="983">
        <v>0</v>
      </c>
      <c r="D13" s="984">
        <v>0</v>
      </c>
      <c r="E13" s="975">
        <v>9</v>
      </c>
      <c r="F13" s="984">
        <v>0</v>
      </c>
      <c r="G13" s="983">
        <v>0</v>
      </c>
      <c r="H13" s="984">
        <v>0</v>
      </c>
      <c r="I13" s="975">
        <v>5</v>
      </c>
      <c r="J13" s="983">
        <v>0</v>
      </c>
      <c r="K13" s="1230">
        <v>21</v>
      </c>
      <c r="L13" s="983">
        <v>1</v>
      </c>
      <c r="M13" s="983">
        <v>0</v>
      </c>
      <c r="N13" s="983">
        <v>0</v>
      </c>
      <c r="O13" s="1231">
        <v>0</v>
      </c>
      <c r="P13" s="1231">
        <v>1</v>
      </c>
      <c r="Q13" s="983">
        <v>1</v>
      </c>
      <c r="R13" s="983">
        <v>1</v>
      </c>
      <c r="S13" s="983">
        <v>0</v>
      </c>
      <c r="T13" s="1230">
        <v>5</v>
      </c>
      <c r="U13" s="983">
        <v>0</v>
      </c>
      <c r="V13" s="983">
        <v>2</v>
      </c>
      <c r="W13" s="983">
        <v>2</v>
      </c>
    </row>
    <row r="14" spans="1:23" s="40" customFormat="1" ht="22.5" customHeight="1" outlineLevel="1">
      <c r="A14" s="1060">
        <v>2023</v>
      </c>
      <c r="B14" s="1682">
        <f>SUM(C14:W14)</f>
        <v>69</v>
      </c>
      <c r="C14" s="1061">
        <v>0</v>
      </c>
      <c r="D14" s="1061">
        <v>0</v>
      </c>
      <c r="E14" s="1062">
        <v>6</v>
      </c>
      <c r="F14" s="1061">
        <v>0</v>
      </c>
      <c r="G14" s="1061">
        <v>0</v>
      </c>
      <c r="H14" s="1061">
        <v>0</v>
      </c>
      <c r="I14" s="1062">
        <v>5</v>
      </c>
      <c r="J14" s="1061">
        <v>0</v>
      </c>
      <c r="K14" s="1062">
        <v>28</v>
      </c>
      <c r="L14" s="1061">
        <v>0</v>
      </c>
      <c r="M14" s="1232">
        <v>0</v>
      </c>
      <c r="N14" s="1061">
        <v>0</v>
      </c>
      <c r="O14" s="1061">
        <v>0</v>
      </c>
      <c r="P14" s="1061">
        <v>0</v>
      </c>
      <c r="Q14" s="1061">
        <v>1</v>
      </c>
      <c r="R14" s="1061">
        <v>0</v>
      </c>
      <c r="S14" s="1061">
        <v>0</v>
      </c>
      <c r="T14" s="1062">
        <v>1</v>
      </c>
      <c r="U14" s="1061">
        <v>0</v>
      </c>
      <c r="V14" s="1061">
        <v>1</v>
      </c>
      <c r="W14" s="1061">
        <v>27</v>
      </c>
    </row>
    <row r="15" spans="1:23" s="40" customFormat="1" ht="22.5" customHeight="1" outlineLevel="1" thickBot="1">
      <c r="A15" s="976">
        <v>2024</v>
      </c>
      <c r="B15" s="1683">
        <f>SUM(C15:W15)</f>
        <v>44</v>
      </c>
      <c r="C15" s="985">
        <v>0</v>
      </c>
      <c r="D15" s="985">
        <v>0</v>
      </c>
      <c r="E15" s="986">
        <v>5</v>
      </c>
      <c r="F15" s="985">
        <v>0</v>
      </c>
      <c r="G15" s="985">
        <v>0</v>
      </c>
      <c r="H15" s="985">
        <v>0</v>
      </c>
      <c r="I15" s="986">
        <v>5</v>
      </c>
      <c r="J15" s="985"/>
      <c r="K15" s="986">
        <v>28</v>
      </c>
      <c r="L15" s="985">
        <v>1</v>
      </c>
      <c r="M15" s="1233">
        <v>0</v>
      </c>
      <c r="N15" s="985">
        <v>0</v>
      </c>
      <c r="O15" s="985">
        <v>0</v>
      </c>
      <c r="P15" s="985">
        <v>0</v>
      </c>
      <c r="Q15" s="985">
        <v>1</v>
      </c>
      <c r="R15" s="985">
        <v>0</v>
      </c>
      <c r="S15" s="985">
        <v>0</v>
      </c>
      <c r="T15" s="985">
        <v>0</v>
      </c>
      <c r="U15" s="985">
        <v>0</v>
      </c>
      <c r="V15" s="985">
        <v>1</v>
      </c>
      <c r="W15" s="985">
        <v>3</v>
      </c>
    </row>
    <row r="16" spans="1:23" s="181" customFormat="1" ht="15" customHeight="1">
      <c r="A16" s="1362" t="s">
        <v>1729</v>
      </c>
      <c r="B16" s="1362"/>
      <c r="C16" s="1362"/>
      <c r="D16" s="1362"/>
      <c r="E16" s="977"/>
      <c r="F16" s="977"/>
      <c r="G16" s="1370"/>
      <c r="H16" s="1370"/>
      <c r="I16" s="1370"/>
      <c r="J16" s="1362"/>
      <c r="K16" s="1362"/>
      <c r="L16" s="977"/>
      <c r="M16" s="977"/>
      <c r="N16" s="977"/>
      <c r="O16" s="977"/>
      <c r="P16" s="977"/>
      <c r="Q16" s="977"/>
      <c r="R16" s="977"/>
      <c r="S16" s="977"/>
      <c r="T16" s="1223"/>
    </row>
    <row r="17" spans="1:20" s="181" customFormat="1" ht="15" customHeight="1">
      <c r="A17" s="1362" t="s">
        <v>1730</v>
      </c>
      <c r="B17" s="1362"/>
      <c r="C17" s="1362"/>
      <c r="D17" s="1362"/>
      <c r="E17" s="1362"/>
      <c r="F17" s="977"/>
      <c r="G17" s="1234"/>
      <c r="H17" s="1234"/>
      <c r="I17" s="1234"/>
      <c r="J17" s="1188"/>
      <c r="K17" s="1188"/>
      <c r="L17" s="977"/>
      <c r="M17" s="977"/>
      <c r="N17" s="977"/>
      <c r="O17" s="977"/>
      <c r="P17" s="977"/>
      <c r="Q17" s="977"/>
      <c r="R17" s="977"/>
      <c r="S17" s="977"/>
      <c r="T17" s="1223"/>
    </row>
    <row r="18" spans="1:20" s="181" customFormat="1" ht="15" customHeight="1">
      <c r="A18" s="1188" t="s">
        <v>1826</v>
      </c>
      <c r="B18" s="1188"/>
      <c r="C18" s="1188"/>
      <c r="D18" s="977"/>
      <c r="E18" s="977"/>
      <c r="F18" s="977"/>
      <c r="G18" s="1234"/>
      <c r="H18" s="1234"/>
      <c r="I18" s="1234"/>
      <c r="J18" s="1188"/>
      <c r="K18" s="1188"/>
      <c r="L18" s="977"/>
      <c r="M18" s="977"/>
      <c r="N18" s="977"/>
      <c r="O18" s="977"/>
      <c r="P18" s="977"/>
      <c r="Q18" s="977"/>
      <c r="R18" s="977"/>
      <c r="S18" s="977"/>
      <c r="T18" s="1223"/>
    </row>
    <row r="19" spans="1:20" s="181" customFormat="1" ht="12" customHeight="1">
      <c r="B19" s="1188"/>
      <c r="C19" s="1188"/>
      <c r="D19" s="977"/>
      <c r="E19" s="977"/>
      <c r="F19" s="977"/>
      <c r="G19" s="977"/>
      <c r="H19" s="977"/>
      <c r="I19" s="1235"/>
      <c r="J19" s="1188"/>
      <c r="K19" s="1188"/>
      <c r="L19" s="977"/>
      <c r="M19" s="977"/>
      <c r="N19" s="977"/>
      <c r="O19" s="977"/>
      <c r="P19" s="977"/>
      <c r="Q19" s="977"/>
      <c r="R19" s="977"/>
      <c r="S19" s="977"/>
      <c r="T19" s="138"/>
    </row>
    <row r="20" spans="1:20" s="27" customFormat="1" ht="12" customHeight="1">
      <c r="A20" s="1361"/>
      <c r="B20" s="1361"/>
      <c r="C20" s="1361"/>
      <c r="D20" s="1361"/>
      <c r="E20" s="1361"/>
      <c r="F20" s="1361"/>
      <c r="G20" s="1361"/>
      <c r="H20" s="1361"/>
      <c r="I20" s="1361"/>
      <c r="J20" s="1361"/>
      <c r="K20" s="1361"/>
      <c r="L20" s="1361"/>
      <c r="M20" s="1361"/>
      <c r="N20" s="1361"/>
      <c r="O20" s="1361"/>
    </row>
    <row r="21" spans="1:20">
      <c r="B21" s="1227"/>
      <c r="C21" s="1227"/>
      <c r="D21" s="1227"/>
      <c r="E21" s="1227"/>
      <c r="F21" s="1227"/>
      <c r="G21" s="1227"/>
      <c r="H21" s="1227"/>
      <c r="I21" s="1227"/>
      <c r="J21" s="1227"/>
      <c r="K21" s="1227"/>
      <c r="L21" s="1227"/>
      <c r="M21" s="1227"/>
      <c r="N21" s="1227"/>
      <c r="O21" s="1227"/>
      <c r="P21" s="1227"/>
      <c r="Q21" s="1227"/>
      <c r="R21" s="1227"/>
      <c r="S21" s="1227"/>
      <c r="T21" s="1227"/>
    </row>
  </sheetData>
  <sheetProtection selectLockedCells="1"/>
  <mergeCells count="35">
    <mergeCell ref="A20:O20"/>
    <mergeCell ref="O7:O10"/>
    <mergeCell ref="P7:P10"/>
    <mergeCell ref="V6:V10"/>
    <mergeCell ref="N7:N10"/>
    <mergeCell ref="A17:E17"/>
    <mergeCell ref="Q7:Q10"/>
    <mergeCell ref="C7:C10"/>
    <mergeCell ref="D7:D10"/>
    <mergeCell ref="E7:E10"/>
    <mergeCell ref="F7:F10"/>
    <mergeCell ref="I7:I10"/>
    <mergeCell ref="H7:H10"/>
    <mergeCell ref="T6:T10"/>
    <mergeCell ref="G7:G10"/>
    <mergeCell ref="K6:K10"/>
    <mergeCell ref="G16:I16"/>
    <mergeCell ref="J16:K16"/>
    <mergeCell ref="B6:B10"/>
    <mergeCell ref="C6:E6"/>
    <mergeCell ref="F6:G6"/>
    <mergeCell ref="H6:I6"/>
    <mergeCell ref="J6:J10"/>
    <mergeCell ref="A16:D16"/>
    <mergeCell ref="A6:A10"/>
    <mergeCell ref="N6:S6"/>
    <mergeCell ref="R7:R10"/>
    <mergeCell ref="S7:S10"/>
    <mergeCell ref="L6:L10"/>
    <mergeCell ref="A1:L1"/>
    <mergeCell ref="A2:W2"/>
    <mergeCell ref="A3:W3"/>
    <mergeCell ref="U6:U10"/>
    <mergeCell ref="M6:M10"/>
    <mergeCell ref="W6:W10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65" pageOrder="overThenDown" orientation="landscape" blackAndWhite="1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181BD"/>
    <outlinePr summaryBelow="0" summaryRight="0"/>
  </sheetPr>
  <dimension ref="A1:W18"/>
  <sheetViews>
    <sheetView view="pageBreakPreview" zoomScaleNormal="100" zoomScaleSheetLayoutView="100" workbookViewId="0">
      <selection activeCell="F23" sqref="F23"/>
    </sheetView>
  </sheetViews>
  <sheetFormatPr defaultColWidth="9" defaultRowHeight="12"/>
  <cols>
    <col min="1" max="1" width="10.125" style="98" customWidth="1"/>
    <col min="2" max="2" width="6.625" style="98" customWidth="1"/>
    <col min="3" max="3" width="8.625" style="98" customWidth="1"/>
    <col min="4" max="4" width="8.5" style="98" customWidth="1"/>
    <col min="5" max="5" width="8.25" style="98" customWidth="1"/>
    <col min="6" max="6" width="9.875" style="98" customWidth="1"/>
    <col min="7" max="7" width="5.125" style="98" customWidth="1"/>
    <col min="8" max="8" width="7.75" style="98" customWidth="1"/>
    <col min="9" max="9" width="11.5" style="98" customWidth="1"/>
    <col min="10" max="10" width="7.5" style="98" customWidth="1"/>
    <col min="11" max="11" width="8.375" style="98" customWidth="1"/>
    <col min="12" max="12" width="10.5" style="98" customWidth="1"/>
    <col min="13" max="13" width="10.625" style="98" customWidth="1"/>
    <col min="14" max="14" width="10.5" style="98" customWidth="1"/>
    <col min="15" max="15" width="13.125" style="98" customWidth="1"/>
    <col min="16" max="16" width="14.25" style="98" customWidth="1"/>
    <col min="17" max="17" width="12.375" style="98" customWidth="1"/>
    <col min="18" max="16384" width="9" style="98"/>
  </cols>
  <sheetData>
    <row r="1" spans="1:23" s="229" customFormat="1" ht="24.95" customHeight="1">
      <c r="A1" s="1337" t="s">
        <v>1335</v>
      </c>
      <c r="B1" s="1337"/>
      <c r="C1" s="1337"/>
      <c r="D1" s="1337"/>
      <c r="E1" s="1337"/>
      <c r="F1" s="1337"/>
      <c r="H1" s="20"/>
      <c r="I1" s="20"/>
      <c r="J1" s="20"/>
      <c r="K1" s="20"/>
      <c r="L1" s="20"/>
      <c r="M1" s="20"/>
      <c r="N1" s="20"/>
      <c r="O1" s="20"/>
      <c r="P1" s="1379" t="s">
        <v>837</v>
      </c>
      <c r="Q1" s="1379"/>
      <c r="R1" s="20"/>
    </row>
    <row r="2" spans="1:23" s="75" customFormat="1" ht="50.1" customHeight="1">
      <c r="A2" s="1378" t="s">
        <v>1784</v>
      </c>
      <c r="B2" s="1378"/>
      <c r="C2" s="1378"/>
      <c r="D2" s="1378"/>
      <c r="E2" s="1378"/>
      <c r="F2" s="1378"/>
      <c r="G2" s="1378"/>
      <c r="H2" s="1378"/>
      <c r="I2" s="1378"/>
      <c r="J2" s="1378"/>
      <c r="K2" s="1378"/>
      <c r="L2" s="1378"/>
      <c r="M2" s="1378"/>
      <c r="N2" s="1378"/>
      <c r="O2" s="1378"/>
      <c r="P2" s="1378"/>
      <c r="Q2" s="1378"/>
      <c r="R2" s="232"/>
    </row>
    <row r="3" spans="1:23" s="76" customFormat="1" ht="9.9499999999999993" customHeight="1">
      <c r="G3" s="149" t="s">
        <v>2</v>
      </c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</row>
    <row r="4" spans="1:23" s="78" customFormat="1" ht="15" customHeight="1" thickBot="1">
      <c r="A4" s="77" t="s">
        <v>63</v>
      </c>
      <c r="B4" s="28"/>
      <c r="D4" s="78" t="s">
        <v>2</v>
      </c>
      <c r="Q4" s="79" t="s">
        <v>1035</v>
      </c>
    </row>
    <row r="5" spans="1:23" s="84" customFormat="1" ht="15.95" customHeight="1">
      <c r="A5" s="312" t="s">
        <v>1223</v>
      </c>
      <c r="B5" s="1374" t="s">
        <v>1326</v>
      </c>
      <c r="C5" s="1375"/>
      <c r="D5" s="1375"/>
      <c r="E5" s="1375"/>
      <c r="F5" s="1376"/>
      <c r="G5" s="1374" t="s">
        <v>1239</v>
      </c>
      <c r="H5" s="1377"/>
      <c r="I5" s="1377"/>
      <c r="J5" s="1377"/>
      <c r="K5" s="1377"/>
      <c r="L5" s="1377"/>
      <c r="M5" s="1377"/>
      <c r="N5" s="1377"/>
      <c r="O5" s="1377"/>
      <c r="P5" s="1377"/>
      <c r="Q5" s="1377"/>
    </row>
    <row r="6" spans="1:23" s="84" customFormat="1" ht="15.95" customHeight="1">
      <c r="A6" s="338"/>
      <c r="B6" s="94"/>
      <c r="C6" s="321" t="s">
        <v>64</v>
      </c>
      <c r="D6" s="321" t="s">
        <v>318</v>
      </c>
      <c r="E6" s="314" t="s">
        <v>65</v>
      </c>
      <c r="F6" s="321" t="s">
        <v>319</v>
      </c>
      <c r="G6" s="94"/>
      <c r="H6" s="314" t="s">
        <v>66</v>
      </c>
      <c r="I6" s="321" t="s">
        <v>320</v>
      </c>
      <c r="J6" s="320" t="s">
        <v>67</v>
      </c>
      <c r="K6" s="321" t="s">
        <v>321</v>
      </c>
      <c r="L6" s="321" t="s">
        <v>322</v>
      </c>
      <c r="M6" s="321" t="s">
        <v>68</v>
      </c>
      <c r="N6" s="321" t="s">
        <v>323</v>
      </c>
      <c r="O6" s="323" t="s">
        <v>324</v>
      </c>
      <c r="P6" s="323" t="s">
        <v>531</v>
      </c>
      <c r="Q6" s="69" t="s">
        <v>325</v>
      </c>
    </row>
    <row r="7" spans="1:23" s="84" customFormat="1" ht="15.95" customHeight="1">
      <c r="A7" s="338"/>
      <c r="B7" s="91"/>
      <c r="C7" s="91"/>
      <c r="D7" s="91" t="s">
        <v>1026</v>
      </c>
      <c r="E7" s="313"/>
      <c r="F7" s="91" t="s">
        <v>61</v>
      </c>
      <c r="G7" s="91"/>
      <c r="H7" s="313"/>
      <c r="I7" s="91" t="s">
        <v>326</v>
      </c>
      <c r="J7" s="307"/>
      <c r="K7" s="322" t="s">
        <v>327</v>
      </c>
      <c r="L7" s="313" t="s">
        <v>328</v>
      </c>
      <c r="M7" s="91" t="s">
        <v>1031</v>
      </c>
      <c r="N7" s="91" t="s">
        <v>1029</v>
      </c>
      <c r="O7" s="91" t="s">
        <v>69</v>
      </c>
      <c r="P7" s="91" t="s">
        <v>329</v>
      </c>
      <c r="Q7" s="313" t="s">
        <v>330</v>
      </c>
    </row>
    <row r="8" spans="1:23" s="84" customFormat="1" ht="15.95" customHeight="1">
      <c r="A8" s="57"/>
      <c r="B8" s="341"/>
      <c r="C8" s="341" t="s">
        <v>70</v>
      </c>
      <c r="D8" s="341" t="s">
        <v>1027</v>
      </c>
      <c r="E8" s="309" t="s">
        <v>71</v>
      </c>
      <c r="F8" s="341" t="s">
        <v>1025</v>
      </c>
      <c r="G8" s="341"/>
      <c r="H8" s="309" t="s">
        <v>331</v>
      </c>
      <c r="I8" s="341" t="s">
        <v>328</v>
      </c>
      <c r="J8" s="319" t="s">
        <v>332</v>
      </c>
      <c r="K8" s="341" t="s">
        <v>333</v>
      </c>
      <c r="L8" s="309" t="s">
        <v>1028</v>
      </c>
      <c r="M8" s="341" t="s">
        <v>334</v>
      </c>
      <c r="N8" s="341" t="s">
        <v>1030</v>
      </c>
      <c r="O8" s="341" t="s">
        <v>1032</v>
      </c>
      <c r="P8" s="341" t="s">
        <v>1033</v>
      </c>
      <c r="Q8" s="309" t="s">
        <v>1034</v>
      </c>
    </row>
    <row r="9" spans="1:23" s="40" customFormat="1" ht="23.1" customHeight="1">
      <c r="A9" s="23">
        <v>2019</v>
      </c>
      <c r="B9" s="109">
        <v>25</v>
      </c>
      <c r="C9" s="110">
        <v>7</v>
      </c>
      <c r="D9" s="109">
        <v>0</v>
      </c>
      <c r="E9" s="109">
        <v>8</v>
      </c>
      <c r="F9" s="109">
        <v>10</v>
      </c>
      <c r="G9" s="109">
        <v>450</v>
      </c>
      <c r="H9" s="108">
        <v>116</v>
      </c>
      <c r="I9" s="35">
        <v>0</v>
      </c>
      <c r="J9" s="35">
        <v>0</v>
      </c>
      <c r="K9" s="35">
        <v>10</v>
      </c>
      <c r="L9" s="35">
        <v>1</v>
      </c>
      <c r="M9" s="35">
        <v>6</v>
      </c>
      <c r="N9" s="35">
        <v>0</v>
      </c>
      <c r="O9" s="35">
        <v>295</v>
      </c>
      <c r="P9" s="35">
        <v>7</v>
      </c>
      <c r="Q9" s="35">
        <v>15</v>
      </c>
    </row>
    <row r="10" spans="1:23" s="40" customFormat="1" ht="21" customHeight="1">
      <c r="A10" s="23">
        <v>2020</v>
      </c>
      <c r="B10" s="109">
        <v>70</v>
      </c>
      <c r="C10" s="110">
        <v>12</v>
      </c>
      <c r="D10" s="109">
        <v>3</v>
      </c>
      <c r="E10" s="109">
        <v>28</v>
      </c>
      <c r="F10" s="109">
        <v>27</v>
      </c>
      <c r="G10" s="109">
        <v>504</v>
      </c>
      <c r="H10" s="108">
        <v>122</v>
      </c>
      <c r="I10" s="35">
        <v>1</v>
      </c>
      <c r="J10" s="35">
        <v>0</v>
      </c>
      <c r="K10" s="35">
        <v>15</v>
      </c>
      <c r="L10" s="35">
        <v>1</v>
      </c>
      <c r="M10" s="35">
        <v>6</v>
      </c>
      <c r="N10" s="35">
        <v>0</v>
      </c>
      <c r="O10" s="35">
        <v>333</v>
      </c>
      <c r="P10" s="35">
        <v>10</v>
      </c>
      <c r="Q10" s="35">
        <v>16</v>
      </c>
    </row>
    <row r="11" spans="1:23" s="40" customFormat="1" ht="21" customHeight="1">
      <c r="A11" s="23">
        <v>2021</v>
      </c>
      <c r="B11" s="109">
        <v>75</v>
      </c>
      <c r="C11" s="110">
        <v>13</v>
      </c>
      <c r="D11" s="110">
        <v>4</v>
      </c>
      <c r="E11" s="110">
        <v>27</v>
      </c>
      <c r="F11" s="110">
        <v>31</v>
      </c>
      <c r="G11" s="109">
        <v>593</v>
      </c>
      <c r="H11" s="108">
        <v>127</v>
      </c>
      <c r="I11" s="35">
        <v>1</v>
      </c>
      <c r="J11" s="35">
        <v>0</v>
      </c>
      <c r="K11" s="35">
        <v>15</v>
      </c>
      <c r="L11" s="35">
        <v>1</v>
      </c>
      <c r="M11" s="35">
        <v>6</v>
      </c>
      <c r="N11" s="185">
        <v>0</v>
      </c>
      <c r="O11" s="35">
        <v>411</v>
      </c>
      <c r="P11" s="35">
        <v>13</v>
      </c>
      <c r="Q11" s="35">
        <v>19</v>
      </c>
    </row>
    <row r="12" spans="1:23" s="40" customFormat="1" ht="21" customHeight="1">
      <c r="A12" s="23">
        <v>2022</v>
      </c>
      <c r="B12" s="109">
        <v>65</v>
      </c>
      <c r="C12" s="110">
        <v>9</v>
      </c>
      <c r="D12" s="110">
        <v>5</v>
      </c>
      <c r="E12" s="110">
        <v>26</v>
      </c>
      <c r="F12" s="110">
        <v>25</v>
      </c>
      <c r="G12" s="109">
        <v>817</v>
      </c>
      <c r="H12" s="108">
        <v>133</v>
      </c>
      <c r="I12" s="35">
        <v>1</v>
      </c>
      <c r="J12" s="35" t="s">
        <v>792</v>
      </c>
      <c r="K12" s="35">
        <v>14</v>
      </c>
      <c r="L12" s="35">
        <v>1</v>
      </c>
      <c r="M12" s="35">
        <v>6</v>
      </c>
      <c r="N12" s="185" t="s">
        <v>792</v>
      </c>
      <c r="O12" s="35">
        <v>627</v>
      </c>
      <c r="P12" s="35">
        <v>14</v>
      </c>
      <c r="Q12" s="35">
        <v>21</v>
      </c>
    </row>
    <row r="13" spans="1:23" s="40" customFormat="1" ht="21" customHeight="1">
      <c r="A13" s="23">
        <v>2023</v>
      </c>
      <c r="B13" s="109">
        <v>69</v>
      </c>
      <c r="C13" s="110">
        <v>7</v>
      </c>
      <c r="D13" s="110">
        <v>5</v>
      </c>
      <c r="E13" s="110">
        <v>31</v>
      </c>
      <c r="F13" s="110">
        <v>26</v>
      </c>
      <c r="G13" s="109">
        <v>775</v>
      </c>
      <c r="H13" s="108">
        <v>133</v>
      </c>
      <c r="I13" s="35">
        <v>1</v>
      </c>
      <c r="J13" s="35">
        <v>0</v>
      </c>
      <c r="K13" s="35">
        <v>15</v>
      </c>
      <c r="L13" s="35">
        <v>1</v>
      </c>
      <c r="M13" s="35">
        <v>5</v>
      </c>
      <c r="N13" s="185">
        <v>0</v>
      </c>
      <c r="O13" s="35">
        <v>598</v>
      </c>
      <c r="P13" s="35">
        <v>0</v>
      </c>
      <c r="Q13" s="35">
        <v>22</v>
      </c>
    </row>
    <row r="14" spans="1:23" s="40" customFormat="1" ht="21" customHeight="1" thickBot="1">
      <c r="A14" s="352">
        <v>2024</v>
      </c>
      <c r="B14" s="839">
        <f>SUM(C14:F14)</f>
        <v>68</v>
      </c>
      <c r="C14" s="1107">
        <v>7</v>
      </c>
      <c r="D14" s="1107">
        <v>3</v>
      </c>
      <c r="E14" s="1107">
        <v>30</v>
      </c>
      <c r="F14" s="1107">
        <v>28</v>
      </c>
      <c r="G14" s="840">
        <f>SUM(H14:Q14)</f>
        <v>853</v>
      </c>
      <c r="H14" s="1108">
        <v>137</v>
      </c>
      <c r="I14" s="1092">
        <v>1</v>
      </c>
      <c r="J14" s="1092">
        <v>0</v>
      </c>
      <c r="K14" s="1092">
        <v>11</v>
      </c>
      <c r="L14" s="1092">
        <v>1</v>
      </c>
      <c r="M14" s="1092">
        <v>4</v>
      </c>
      <c r="N14" s="1092">
        <v>0</v>
      </c>
      <c r="O14" s="1092">
        <v>675</v>
      </c>
      <c r="P14" s="1092">
        <v>1</v>
      </c>
      <c r="Q14" s="1092">
        <v>23</v>
      </c>
    </row>
    <row r="15" spans="1:23" s="95" customFormat="1" ht="15" customHeight="1">
      <c r="A15" s="95" t="s">
        <v>1790</v>
      </c>
      <c r="R15" s="138"/>
      <c r="S15" s="138"/>
      <c r="T15" s="138"/>
      <c r="U15" s="138"/>
      <c r="V15" s="138"/>
      <c r="W15" s="138"/>
    </row>
    <row r="16" spans="1:23" s="95" customFormat="1" ht="12" customHeight="1">
      <c r="B16" s="26"/>
      <c r="C16" s="26"/>
      <c r="D16" s="26"/>
      <c r="E16" s="26"/>
      <c r="F16" s="26"/>
      <c r="R16" s="138"/>
      <c r="S16" s="138"/>
      <c r="T16" s="138"/>
      <c r="U16" s="138"/>
      <c r="V16" s="138"/>
      <c r="W16" s="138"/>
    </row>
    <row r="17" spans="1:1" s="78" customFormat="1" ht="12" customHeight="1">
      <c r="A17" s="95"/>
    </row>
    <row r="18" spans="1:1" ht="24.95" customHeight="1"/>
  </sheetData>
  <sheetProtection selectLockedCells="1"/>
  <mergeCells count="5">
    <mergeCell ref="A1:F1"/>
    <mergeCell ref="B5:F5"/>
    <mergeCell ref="G5:Q5"/>
    <mergeCell ref="A2:Q2"/>
    <mergeCell ref="P1:Q1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52" pageOrder="overThenDown" orientation="portrait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81BD"/>
    <outlinePr summaryBelow="0" summaryRight="0"/>
  </sheetPr>
  <dimension ref="A1:AS44"/>
  <sheetViews>
    <sheetView view="pageBreakPreview" topLeftCell="A7" zoomScale="85" zoomScaleNormal="80" zoomScaleSheetLayoutView="85" workbookViewId="0">
      <selection sqref="A1:XFD1048576"/>
    </sheetView>
  </sheetViews>
  <sheetFormatPr defaultColWidth="9" defaultRowHeight="12"/>
  <cols>
    <col min="1" max="1" width="8.25" style="180" customWidth="1"/>
    <col min="2" max="2" width="8.5" style="180" customWidth="1"/>
    <col min="3" max="3" width="5.875" style="180" customWidth="1"/>
    <col min="4" max="9" width="8.125" style="180" customWidth="1"/>
    <col min="10" max="10" width="7.5" style="180" customWidth="1"/>
    <col min="11" max="11" width="4.625" style="180" customWidth="1"/>
    <col min="12" max="14" width="12.375" style="180" customWidth="1"/>
    <col min="15" max="15" width="5.5" style="180" customWidth="1"/>
    <col min="16" max="19" width="9.125" style="180" customWidth="1"/>
    <col min="20" max="20" width="7.25" style="180" customWidth="1"/>
    <col min="21" max="22" width="8.625" style="180" customWidth="1"/>
    <col min="23" max="16384" width="9" style="180"/>
  </cols>
  <sheetData>
    <row r="1" spans="1:45" s="1190" customFormat="1" ht="24.95" customHeight="1">
      <c r="A1" s="1337" t="s">
        <v>1827</v>
      </c>
      <c r="B1" s="1337"/>
      <c r="C1" s="1337"/>
      <c r="D1" s="1337"/>
      <c r="E1" s="1337"/>
      <c r="F1" s="1337"/>
      <c r="G1" s="1337"/>
      <c r="H1" s="1337"/>
      <c r="I1" s="1337"/>
      <c r="J1" s="1337"/>
      <c r="L1" s="20"/>
      <c r="M1" s="20"/>
      <c r="N1" s="20"/>
      <c r="O1" s="20"/>
      <c r="P1" s="20"/>
      <c r="Q1" s="20"/>
      <c r="R1" s="20"/>
      <c r="S1" s="20"/>
      <c r="T1" s="20" t="s">
        <v>848</v>
      </c>
      <c r="U1" s="20"/>
      <c r="V1" s="20"/>
      <c r="W1" s="20"/>
    </row>
    <row r="2" spans="1:45" s="75" customFormat="1" ht="50.1" customHeight="1">
      <c r="A2" s="1378" t="s">
        <v>1606</v>
      </c>
      <c r="B2" s="1378"/>
      <c r="C2" s="1378"/>
      <c r="D2" s="1378"/>
      <c r="E2" s="1378"/>
      <c r="F2" s="1378"/>
      <c r="G2" s="1378"/>
      <c r="H2" s="1378"/>
      <c r="I2" s="1378"/>
      <c r="J2" s="1378"/>
      <c r="K2" s="1378"/>
      <c r="L2" s="1378"/>
      <c r="M2" s="1378"/>
      <c r="N2" s="1378"/>
      <c r="O2" s="1378"/>
      <c r="P2" s="1378"/>
      <c r="Q2" s="1378"/>
      <c r="R2" s="1378"/>
      <c r="S2" s="1378"/>
      <c r="T2" s="1378"/>
      <c r="U2" s="1378"/>
      <c r="V2" s="1378"/>
      <c r="W2" s="1236"/>
    </row>
    <row r="3" spans="1:45" s="75" customFormat="1" ht="9.9499999999999993" customHeight="1">
      <c r="A3" s="1191"/>
      <c r="B3" s="1191"/>
      <c r="C3" s="1191"/>
      <c r="D3" s="1191"/>
      <c r="E3" s="1191"/>
      <c r="F3" s="1191"/>
      <c r="G3" s="1191"/>
      <c r="H3" s="1191"/>
      <c r="I3" s="1191"/>
      <c r="J3" s="1191"/>
      <c r="K3" s="1192"/>
      <c r="L3" s="1192"/>
      <c r="M3" s="1192"/>
      <c r="N3" s="1192"/>
      <c r="O3" s="1192"/>
      <c r="P3" s="1192"/>
      <c r="Q3" s="1192"/>
      <c r="R3" s="1192"/>
      <c r="S3" s="1192"/>
      <c r="T3" s="1192"/>
      <c r="U3" s="1192"/>
      <c r="V3" s="1192"/>
      <c r="W3" s="1236"/>
    </row>
    <row r="4" spans="1:45" s="27" customFormat="1" ht="17.45" customHeight="1" thickBot="1">
      <c r="A4" s="77" t="s">
        <v>63</v>
      </c>
      <c r="B4" s="28"/>
      <c r="V4" s="79" t="s">
        <v>1036</v>
      </c>
    </row>
    <row r="5" spans="1:45" s="27" customFormat="1" ht="43.5" customHeight="1">
      <c r="A5" s="1237"/>
      <c r="B5" s="1374" t="s">
        <v>1828</v>
      </c>
      <c r="C5" s="1377"/>
      <c r="D5" s="1377"/>
      <c r="E5" s="1377"/>
      <c r="F5" s="1377"/>
      <c r="G5" s="1377"/>
      <c r="H5" s="1377"/>
      <c r="I5" s="1377"/>
      <c r="J5" s="1377"/>
      <c r="K5" s="1377"/>
      <c r="L5" s="1377"/>
      <c r="M5" s="1377"/>
      <c r="N5" s="1377"/>
      <c r="O5" s="1377"/>
      <c r="P5" s="1377"/>
      <c r="Q5" s="1377"/>
      <c r="R5" s="1377"/>
      <c r="S5" s="1388"/>
      <c r="T5" s="1389" t="s">
        <v>1829</v>
      </c>
      <c r="U5" s="1377"/>
      <c r="V5" s="1377"/>
    </row>
    <row r="6" spans="1:45" s="84" customFormat="1" ht="64.5" customHeight="1">
      <c r="A6" s="338" t="s">
        <v>1830</v>
      </c>
      <c r="B6" s="376" t="s">
        <v>1831</v>
      </c>
      <c r="C6" s="169" t="s">
        <v>1832</v>
      </c>
      <c r="D6" s="1238"/>
      <c r="E6" s="1238"/>
      <c r="F6" s="1238"/>
      <c r="G6" s="1238"/>
      <c r="H6" s="1239"/>
      <c r="I6" s="1239"/>
      <c r="J6" s="1240" t="s">
        <v>1833</v>
      </c>
      <c r="K6" s="1382" t="s">
        <v>1834</v>
      </c>
      <c r="L6" s="1383"/>
      <c r="M6" s="1383"/>
      <c r="N6" s="1384"/>
      <c r="O6" s="1382" t="s">
        <v>1835</v>
      </c>
      <c r="P6" s="1385"/>
      <c r="Q6" s="1385"/>
      <c r="R6" s="1385"/>
      <c r="S6" s="1386"/>
      <c r="T6" s="1387" t="s">
        <v>1836</v>
      </c>
      <c r="U6" s="1385"/>
      <c r="V6" s="1385"/>
    </row>
    <row r="7" spans="1:45" s="84" customFormat="1" ht="15" customHeight="1">
      <c r="A7" s="370"/>
      <c r="B7" s="90"/>
      <c r="C7" s="898"/>
      <c r="D7" s="1240" t="s">
        <v>463</v>
      </c>
      <c r="E7" s="380" t="s">
        <v>1037</v>
      </c>
      <c r="F7" s="169" t="s">
        <v>335</v>
      </c>
      <c r="G7" s="380" t="s">
        <v>336</v>
      </c>
      <c r="H7" s="380" t="s">
        <v>337</v>
      </c>
      <c r="I7" s="169" t="s">
        <v>338</v>
      </c>
      <c r="J7" s="127" t="s">
        <v>1837</v>
      </c>
      <c r="K7" s="324"/>
      <c r="L7" s="1241" t="s">
        <v>1838</v>
      </c>
      <c r="M7" s="323" t="s">
        <v>72</v>
      </c>
      <c r="N7" s="323" t="s">
        <v>1839</v>
      </c>
      <c r="O7" s="324"/>
      <c r="P7" s="323" t="s">
        <v>1839</v>
      </c>
      <c r="Q7" s="323" t="s">
        <v>346</v>
      </c>
      <c r="R7" s="323" t="s">
        <v>340</v>
      </c>
      <c r="S7" s="323" t="s">
        <v>339</v>
      </c>
      <c r="T7" s="324"/>
      <c r="U7" s="323" t="s">
        <v>341</v>
      </c>
      <c r="V7" s="69" t="s">
        <v>341</v>
      </c>
    </row>
    <row r="8" spans="1:45" s="84" customFormat="1" ht="15" customHeight="1">
      <c r="A8" s="370"/>
      <c r="B8" s="90"/>
      <c r="C8" s="90"/>
      <c r="D8" s="127" t="s">
        <v>462</v>
      </c>
      <c r="E8" s="381" t="s">
        <v>73</v>
      </c>
      <c r="F8" s="898"/>
      <c r="G8" s="898" t="s">
        <v>343</v>
      </c>
      <c r="H8" s="381" t="s">
        <v>343</v>
      </c>
      <c r="I8" s="898" t="s">
        <v>344</v>
      </c>
      <c r="J8" s="87" t="s">
        <v>2</v>
      </c>
      <c r="K8" s="71"/>
      <c r="L8" s="324" t="s">
        <v>1840</v>
      </c>
      <c r="M8" s="324" t="s">
        <v>345</v>
      </c>
      <c r="N8" s="324" t="s">
        <v>74</v>
      </c>
      <c r="O8" s="71"/>
      <c r="P8" s="324" t="s">
        <v>75</v>
      </c>
      <c r="Q8" s="324" t="s">
        <v>368</v>
      </c>
      <c r="R8" s="324" t="s">
        <v>886</v>
      </c>
      <c r="S8" s="324" t="s">
        <v>76</v>
      </c>
      <c r="T8" s="71"/>
      <c r="U8" s="324" t="s">
        <v>340</v>
      </c>
      <c r="V8" s="70" t="s">
        <v>346</v>
      </c>
    </row>
    <row r="9" spans="1:45" s="84" customFormat="1" ht="15" customHeight="1">
      <c r="A9" s="370"/>
      <c r="B9" s="90"/>
      <c r="C9" s="90"/>
      <c r="D9" s="898"/>
      <c r="E9" s="1242" t="s">
        <v>2</v>
      </c>
      <c r="F9" s="90"/>
      <c r="G9" s="90" t="s">
        <v>2</v>
      </c>
      <c r="H9" s="91" t="s">
        <v>2</v>
      </c>
      <c r="I9" s="90"/>
      <c r="J9" s="87" t="s">
        <v>2</v>
      </c>
      <c r="K9" s="71"/>
      <c r="L9" s="71" t="s">
        <v>347</v>
      </c>
      <c r="M9" s="324" t="s">
        <v>349</v>
      </c>
      <c r="N9" s="324" t="s">
        <v>348</v>
      </c>
      <c r="O9" s="71"/>
      <c r="P9" s="71" t="s">
        <v>2</v>
      </c>
      <c r="Q9" s="324" t="s">
        <v>351</v>
      </c>
      <c r="R9" s="324" t="s">
        <v>350</v>
      </c>
      <c r="S9" s="324" t="s">
        <v>77</v>
      </c>
      <c r="T9" s="71"/>
      <c r="U9" s="324" t="s">
        <v>348</v>
      </c>
      <c r="V9" s="70" t="s">
        <v>351</v>
      </c>
    </row>
    <row r="10" spans="1:45" s="84" customFormat="1" ht="15" customHeight="1">
      <c r="A10" s="370"/>
      <c r="B10" s="91"/>
      <c r="C10" s="91"/>
      <c r="D10" s="87"/>
      <c r="E10" s="91"/>
      <c r="F10" s="91"/>
      <c r="G10" s="91" t="s">
        <v>352</v>
      </c>
      <c r="H10" s="374"/>
      <c r="I10" s="374" t="s">
        <v>353</v>
      </c>
      <c r="J10" s="374" t="s">
        <v>1041</v>
      </c>
      <c r="K10" s="71"/>
      <c r="L10" s="71" t="s">
        <v>354</v>
      </c>
      <c r="M10" s="71" t="s">
        <v>358</v>
      </c>
      <c r="N10" s="71" t="s">
        <v>464</v>
      </c>
      <c r="O10" s="71"/>
      <c r="P10" s="71"/>
      <c r="Q10" s="71" t="s">
        <v>1046</v>
      </c>
      <c r="R10" s="71"/>
      <c r="S10" s="71" t="s">
        <v>1043</v>
      </c>
      <c r="T10" s="71"/>
      <c r="U10" s="71"/>
      <c r="V10" s="1194"/>
      <c r="AC10" s="1243"/>
      <c r="AD10" s="1243"/>
      <c r="AE10" s="1243"/>
      <c r="AF10" s="1243"/>
      <c r="AG10" s="1243"/>
      <c r="AH10" s="1243"/>
      <c r="AI10" s="1243"/>
      <c r="AJ10" s="1243"/>
      <c r="AK10" s="1243"/>
      <c r="AL10" s="1243"/>
      <c r="AM10" s="1243"/>
      <c r="AN10" s="1243"/>
      <c r="AO10" s="1243"/>
      <c r="AP10" s="1243"/>
      <c r="AQ10" s="1243"/>
      <c r="AR10" s="1243"/>
      <c r="AS10" s="146"/>
    </row>
    <row r="11" spans="1:45" s="84" customFormat="1" ht="15" customHeight="1">
      <c r="A11" s="370"/>
      <c r="B11" s="91"/>
      <c r="C11" s="91"/>
      <c r="D11" s="87" t="s">
        <v>342</v>
      </c>
      <c r="E11" s="91" t="s">
        <v>355</v>
      </c>
      <c r="F11" s="91"/>
      <c r="G11" s="91" t="s">
        <v>1040</v>
      </c>
      <c r="H11" s="1194" t="s">
        <v>79</v>
      </c>
      <c r="I11" s="374" t="s">
        <v>356</v>
      </c>
      <c r="J11" s="374" t="s">
        <v>356</v>
      </c>
      <c r="K11" s="71"/>
      <c r="L11" s="71" t="s">
        <v>357</v>
      </c>
      <c r="M11" s="71" t="s">
        <v>467</v>
      </c>
      <c r="N11" s="71" t="s">
        <v>465</v>
      </c>
      <c r="O11" s="71"/>
      <c r="P11" s="71" t="s">
        <v>78</v>
      </c>
      <c r="Q11" s="71" t="s">
        <v>1047</v>
      </c>
      <c r="R11" s="71" t="s">
        <v>359</v>
      </c>
      <c r="S11" s="71" t="s">
        <v>1044</v>
      </c>
      <c r="T11" s="71"/>
      <c r="U11" s="71"/>
      <c r="V11" s="1194"/>
    </row>
    <row r="12" spans="1:45" s="84" customFormat="1" ht="15" customHeight="1">
      <c r="A12" s="57"/>
      <c r="B12" s="384" t="s">
        <v>360</v>
      </c>
      <c r="C12" s="384"/>
      <c r="D12" s="384" t="s">
        <v>1038</v>
      </c>
      <c r="E12" s="384" t="s">
        <v>361</v>
      </c>
      <c r="F12" s="384" t="s">
        <v>362</v>
      </c>
      <c r="G12" s="384" t="s">
        <v>1039</v>
      </c>
      <c r="H12" s="339" t="s">
        <v>361</v>
      </c>
      <c r="I12" s="1195" t="s">
        <v>363</v>
      </c>
      <c r="J12" s="1195" t="s">
        <v>1042</v>
      </c>
      <c r="K12" s="58"/>
      <c r="L12" s="58" t="s">
        <v>364</v>
      </c>
      <c r="M12" s="58" t="s">
        <v>468</v>
      </c>
      <c r="N12" s="58" t="s">
        <v>466</v>
      </c>
      <c r="O12" s="58"/>
      <c r="P12" s="58" t="s">
        <v>1048</v>
      </c>
      <c r="Q12" s="58" t="s">
        <v>365</v>
      </c>
      <c r="R12" s="58" t="s">
        <v>366</v>
      </c>
      <c r="S12" s="58" t="s">
        <v>1045</v>
      </c>
      <c r="T12" s="58"/>
      <c r="U12" s="58" t="s">
        <v>80</v>
      </c>
      <c r="V12" s="339" t="s">
        <v>367</v>
      </c>
    </row>
    <row r="13" spans="1:45" s="178" customFormat="1" ht="18.95" customHeight="1">
      <c r="A13" s="23">
        <v>2019</v>
      </c>
      <c r="B13" s="35">
        <v>7896</v>
      </c>
      <c r="C13" s="35">
        <v>6068</v>
      </c>
      <c r="D13" s="35">
        <v>993</v>
      </c>
      <c r="E13" s="108">
        <v>4718</v>
      </c>
      <c r="F13" s="108">
        <v>116</v>
      </c>
      <c r="G13" s="108">
        <v>26</v>
      </c>
      <c r="H13" s="108">
        <v>173</v>
      </c>
      <c r="I13" s="108">
        <v>42</v>
      </c>
      <c r="J13" s="108">
        <v>265</v>
      </c>
      <c r="K13" s="108">
        <v>703</v>
      </c>
      <c r="L13" s="108">
        <v>176</v>
      </c>
      <c r="M13" s="108">
        <v>520</v>
      </c>
      <c r="N13" s="108">
        <v>7</v>
      </c>
      <c r="O13" s="108">
        <v>428</v>
      </c>
      <c r="P13" s="108">
        <v>12</v>
      </c>
      <c r="Q13" s="108">
        <v>414</v>
      </c>
      <c r="R13" s="108">
        <v>0</v>
      </c>
      <c r="S13" s="108">
        <v>2</v>
      </c>
      <c r="T13" s="35">
        <v>432</v>
      </c>
      <c r="U13" s="108">
        <v>0</v>
      </c>
      <c r="V13" s="35">
        <v>432</v>
      </c>
    </row>
    <row r="14" spans="1:45" s="178" customFormat="1" ht="18.95" customHeight="1">
      <c r="A14" s="23">
        <v>2020</v>
      </c>
      <c r="B14" s="35">
        <v>8022</v>
      </c>
      <c r="C14" s="35">
        <v>6124</v>
      </c>
      <c r="D14" s="35">
        <v>1086</v>
      </c>
      <c r="E14" s="108">
        <v>4690</v>
      </c>
      <c r="F14" s="108">
        <v>116</v>
      </c>
      <c r="G14" s="108">
        <v>21</v>
      </c>
      <c r="H14" s="108">
        <v>165</v>
      </c>
      <c r="I14" s="108">
        <v>46</v>
      </c>
      <c r="J14" s="108">
        <v>273</v>
      </c>
      <c r="K14" s="108">
        <v>764</v>
      </c>
      <c r="L14" s="108">
        <v>179</v>
      </c>
      <c r="M14" s="108">
        <v>578</v>
      </c>
      <c r="N14" s="108">
        <v>7</v>
      </c>
      <c r="O14" s="108">
        <v>461</v>
      </c>
      <c r="P14" s="108">
        <v>13</v>
      </c>
      <c r="Q14" s="108">
        <v>444</v>
      </c>
      <c r="R14" s="108">
        <v>0</v>
      </c>
      <c r="S14" s="108">
        <v>4</v>
      </c>
      <c r="T14" s="35">
        <v>400</v>
      </c>
      <c r="U14" s="108">
        <v>0</v>
      </c>
      <c r="V14" s="35">
        <v>400</v>
      </c>
    </row>
    <row r="15" spans="1:45" s="178" customFormat="1" ht="21" customHeight="1">
      <c r="A15" s="23">
        <v>2021</v>
      </c>
      <c r="B15" s="35">
        <v>8289</v>
      </c>
      <c r="C15" s="35">
        <v>6279</v>
      </c>
      <c r="D15" s="35">
        <v>1170</v>
      </c>
      <c r="E15" s="108">
        <v>4747</v>
      </c>
      <c r="F15" s="108">
        <v>131</v>
      </c>
      <c r="G15" s="108">
        <v>23</v>
      </c>
      <c r="H15" s="108">
        <v>162</v>
      </c>
      <c r="I15" s="108">
        <v>46</v>
      </c>
      <c r="J15" s="108">
        <v>274</v>
      </c>
      <c r="K15" s="108">
        <v>837</v>
      </c>
      <c r="L15" s="108">
        <v>169</v>
      </c>
      <c r="M15" s="108">
        <v>660</v>
      </c>
      <c r="N15" s="108">
        <v>8</v>
      </c>
      <c r="O15" s="108">
        <v>456</v>
      </c>
      <c r="P15" s="108">
        <v>13</v>
      </c>
      <c r="Q15" s="108">
        <v>439</v>
      </c>
      <c r="R15" s="108">
        <v>0</v>
      </c>
      <c r="S15" s="108">
        <v>4</v>
      </c>
      <c r="T15" s="108">
        <v>443</v>
      </c>
      <c r="U15" s="108">
        <v>0</v>
      </c>
      <c r="V15" s="108">
        <v>443</v>
      </c>
    </row>
    <row r="16" spans="1:45" s="178" customFormat="1" ht="21" customHeight="1">
      <c r="A16" s="23">
        <v>2022</v>
      </c>
      <c r="B16" s="35">
        <v>8562</v>
      </c>
      <c r="C16" s="35">
        <v>6414</v>
      </c>
      <c r="D16" s="35">
        <v>1238</v>
      </c>
      <c r="E16" s="108">
        <v>4818</v>
      </c>
      <c r="F16" s="108">
        <v>136</v>
      </c>
      <c r="G16" s="108">
        <v>23</v>
      </c>
      <c r="H16" s="108">
        <v>152</v>
      </c>
      <c r="I16" s="108">
        <v>47</v>
      </c>
      <c r="J16" s="108">
        <v>269</v>
      </c>
      <c r="K16" s="108">
        <v>881</v>
      </c>
      <c r="L16" s="108">
        <v>187</v>
      </c>
      <c r="M16" s="108">
        <v>687</v>
      </c>
      <c r="N16" s="108">
        <v>7</v>
      </c>
      <c r="O16" s="108">
        <v>464</v>
      </c>
      <c r="P16" s="108">
        <v>12</v>
      </c>
      <c r="Q16" s="108">
        <v>448</v>
      </c>
      <c r="R16" s="108">
        <v>0</v>
      </c>
      <c r="S16" s="108">
        <v>4</v>
      </c>
      <c r="T16" s="108">
        <v>534</v>
      </c>
      <c r="U16" s="108">
        <v>0</v>
      </c>
      <c r="V16" s="108">
        <v>534</v>
      </c>
    </row>
    <row r="17" spans="1:23" s="178" customFormat="1" ht="21" customHeight="1">
      <c r="A17" s="23">
        <v>2023</v>
      </c>
      <c r="B17" s="35">
        <v>8669</v>
      </c>
      <c r="C17" s="35">
        <v>6497</v>
      </c>
      <c r="D17" s="35">
        <v>1261</v>
      </c>
      <c r="E17" s="108">
        <v>4878</v>
      </c>
      <c r="F17" s="108">
        <v>135</v>
      </c>
      <c r="G17" s="108">
        <v>24</v>
      </c>
      <c r="H17" s="108">
        <v>151</v>
      </c>
      <c r="I17" s="108">
        <v>48</v>
      </c>
      <c r="J17" s="108">
        <v>270</v>
      </c>
      <c r="K17" s="108">
        <v>887</v>
      </c>
      <c r="L17" s="108">
        <v>199</v>
      </c>
      <c r="M17" s="108">
        <v>680</v>
      </c>
      <c r="N17" s="108">
        <v>8</v>
      </c>
      <c r="O17" s="108">
        <v>464</v>
      </c>
      <c r="P17" s="108">
        <v>11</v>
      </c>
      <c r="Q17" s="108">
        <v>449</v>
      </c>
      <c r="R17" s="108">
        <v>0</v>
      </c>
      <c r="S17" s="108">
        <v>4</v>
      </c>
      <c r="T17" s="108">
        <v>551</v>
      </c>
      <c r="U17" s="108">
        <v>12</v>
      </c>
      <c r="V17" s="108">
        <v>539</v>
      </c>
    </row>
    <row r="18" spans="1:23" s="179" customFormat="1" ht="21.6" customHeight="1">
      <c r="A18" s="92">
        <v>2024</v>
      </c>
      <c r="B18" s="1244">
        <f>SUM(C18,J18,K18,O18,T18)</f>
        <v>8607</v>
      </c>
      <c r="C18" s="882">
        <f>SUM(C19:C43)</f>
        <v>6470</v>
      </c>
      <c r="D18" s="882">
        <f t="shared" ref="D18:V18" si="0">SUM(D19:D43)</f>
        <v>1269</v>
      </c>
      <c r="E18" s="882">
        <f t="shared" si="0"/>
        <v>4852</v>
      </c>
      <c r="F18" s="882">
        <f t="shared" si="0"/>
        <v>127</v>
      </c>
      <c r="G18" s="882">
        <f t="shared" si="0"/>
        <v>24</v>
      </c>
      <c r="H18" s="882">
        <f t="shared" si="0"/>
        <v>152</v>
      </c>
      <c r="I18" s="882">
        <f t="shared" si="0"/>
        <v>46</v>
      </c>
      <c r="J18" s="882">
        <f t="shared" si="0"/>
        <v>270</v>
      </c>
      <c r="K18" s="882">
        <f t="shared" si="0"/>
        <v>903</v>
      </c>
      <c r="L18" s="882">
        <f t="shared" si="0"/>
        <v>198</v>
      </c>
      <c r="M18" s="882">
        <f t="shared" si="0"/>
        <v>699</v>
      </c>
      <c r="N18" s="882">
        <f t="shared" si="0"/>
        <v>6</v>
      </c>
      <c r="O18" s="882">
        <f t="shared" si="0"/>
        <v>462</v>
      </c>
      <c r="P18" s="882">
        <f t="shared" si="0"/>
        <v>9</v>
      </c>
      <c r="Q18" s="882">
        <f t="shared" si="0"/>
        <v>449</v>
      </c>
      <c r="R18" s="882">
        <f t="shared" si="0"/>
        <v>1</v>
      </c>
      <c r="S18" s="882">
        <f t="shared" si="0"/>
        <v>3</v>
      </c>
      <c r="T18" s="882">
        <f t="shared" si="0"/>
        <v>502</v>
      </c>
      <c r="U18" s="882">
        <f t="shared" si="0"/>
        <v>13</v>
      </c>
      <c r="V18" s="882">
        <f t="shared" si="0"/>
        <v>489</v>
      </c>
    </row>
    <row r="19" spans="1:23" s="179" customFormat="1" ht="17.25" customHeight="1">
      <c r="A19" s="93" t="s">
        <v>532</v>
      </c>
      <c r="B19" s="1245">
        <f>SUM(C19,J19,K19,O19,T19)</f>
        <v>282</v>
      </c>
      <c r="C19" s="1245">
        <f>SUM(D19:I19)</f>
        <v>157</v>
      </c>
      <c r="D19" s="1246">
        <v>27</v>
      </c>
      <c r="E19" s="1246">
        <v>120</v>
      </c>
      <c r="F19" s="1246">
        <v>3</v>
      </c>
      <c r="G19" s="1246" t="s">
        <v>1240</v>
      </c>
      <c r="H19" s="1246" t="s">
        <v>1240</v>
      </c>
      <c r="I19" s="1246">
        <v>7</v>
      </c>
      <c r="J19" s="1246">
        <v>22</v>
      </c>
      <c r="K19" s="1245">
        <f>L19+M19+N19</f>
        <v>57</v>
      </c>
      <c r="L19" s="984">
        <v>22</v>
      </c>
      <c r="M19" s="984">
        <v>33</v>
      </c>
      <c r="N19" s="984">
        <v>2</v>
      </c>
      <c r="O19" s="1245">
        <f>P19+Q19+R19+S19</f>
        <v>33</v>
      </c>
      <c r="P19" s="984">
        <v>0</v>
      </c>
      <c r="Q19" s="35">
        <v>32</v>
      </c>
      <c r="R19" s="35">
        <v>1</v>
      </c>
      <c r="S19" s="35">
        <v>0</v>
      </c>
      <c r="T19" s="1031">
        <f>U19+V19</f>
        <v>13</v>
      </c>
      <c r="U19" s="35">
        <v>0</v>
      </c>
      <c r="V19" s="59">
        <v>13</v>
      </c>
    </row>
    <row r="20" spans="1:23" s="27" customFormat="1" ht="17.25" customHeight="1">
      <c r="A20" s="93" t="s">
        <v>533</v>
      </c>
      <c r="B20" s="1245">
        <f t="shared" ref="B20:B43" si="1">SUM(C20,J20,K20,O20,T20)</f>
        <v>477</v>
      </c>
      <c r="C20" s="1245">
        <f t="shared" ref="C20:C43" si="2">SUM(D20:I20)</f>
        <v>335</v>
      </c>
      <c r="D20" s="1246">
        <v>71</v>
      </c>
      <c r="E20" s="1246">
        <v>248</v>
      </c>
      <c r="F20" s="1246">
        <v>12</v>
      </c>
      <c r="G20" s="1246" t="s">
        <v>1240</v>
      </c>
      <c r="H20" s="1246" t="s">
        <v>1240</v>
      </c>
      <c r="I20" s="1246">
        <v>4</v>
      </c>
      <c r="J20" s="1246">
        <v>25</v>
      </c>
      <c r="K20" s="1245">
        <f t="shared" ref="K20:K43" si="3">L20+M20+N20</f>
        <v>62</v>
      </c>
      <c r="L20" s="59">
        <v>18</v>
      </c>
      <c r="M20" s="59">
        <v>44</v>
      </c>
      <c r="N20" s="59">
        <v>0</v>
      </c>
      <c r="O20" s="1245">
        <f t="shared" ref="O20:O43" si="4">P20+Q20+R20+S20</f>
        <v>39</v>
      </c>
      <c r="P20" s="59">
        <v>0</v>
      </c>
      <c r="Q20" s="59">
        <v>39</v>
      </c>
      <c r="R20" s="35">
        <v>0</v>
      </c>
      <c r="S20" s="35">
        <v>0</v>
      </c>
      <c r="T20" s="1031">
        <f t="shared" ref="T20:T43" si="5">U20+V20</f>
        <v>16</v>
      </c>
      <c r="U20" s="35">
        <v>0</v>
      </c>
      <c r="V20" s="59">
        <v>16</v>
      </c>
      <c r="W20" s="178"/>
    </row>
    <row r="21" spans="1:23" ht="17.25" customHeight="1">
      <c r="A21" s="93" t="s">
        <v>534</v>
      </c>
      <c r="B21" s="1245">
        <f t="shared" si="1"/>
        <v>80</v>
      </c>
      <c r="C21" s="1245">
        <f t="shared" si="2"/>
        <v>55</v>
      </c>
      <c r="D21" s="1246">
        <v>6</v>
      </c>
      <c r="E21" s="1246">
        <v>47</v>
      </c>
      <c r="F21" s="1246" t="s">
        <v>1240</v>
      </c>
      <c r="G21" s="1246" t="s">
        <v>1240</v>
      </c>
      <c r="H21" s="1246" t="s">
        <v>1240</v>
      </c>
      <c r="I21" s="1246">
        <v>2</v>
      </c>
      <c r="J21" s="1246">
        <v>9</v>
      </c>
      <c r="K21" s="1245">
        <f t="shared" si="3"/>
        <v>8</v>
      </c>
      <c r="L21" s="59">
        <v>4</v>
      </c>
      <c r="M21" s="59">
        <v>2</v>
      </c>
      <c r="N21" s="59">
        <v>2</v>
      </c>
      <c r="O21" s="1245">
        <f t="shared" si="4"/>
        <v>5</v>
      </c>
      <c r="P21" s="59">
        <v>0</v>
      </c>
      <c r="Q21" s="59">
        <v>5</v>
      </c>
      <c r="R21" s="35">
        <v>0</v>
      </c>
      <c r="S21" s="35">
        <v>0</v>
      </c>
      <c r="T21" s="1031">
        <f t="shared" si="5"/>
        <v>3</v>
      </c>
      <c r="U21" s="35">
        <v>2</v>
      </c>
      <c r="V21" s="59">
        <v>1</v>
      </c>
      <c r="W21" s="178"/>
    </row>
    <row r="22" spans="1:23" ht="17.25" customHeight="1">
      <c r="A22" s="93" t="s">
        <v>535</v>
      </c>
      <c r="B22" s="1245">
        <f t="shared" si="1"/>
        <v>131</v>
      </c>
      <c r="C22" s="1245">
        <f t="shared" si="2"/>
        <v>89</v>
      </c>
      <c r="D22" s="1246">
        <v>19</v>
      </c>
      <c r="E22" s="1246">
        <v>70</v>
      </c>
      <c r="F22" s="1246" t="s">
        <v>1240</v>
      </c>
      <c r="G22" s="1246" t="s">
        <v>1240</v>
      </c>
      <c r="H22" s="1246" t="s">
        <v>1240</v>
      </c>
      <c r="I22" s="1246" t="s">
        <v>1240</v>
      </c>
      <c r="J22" s="1246">
        <v>6</v>
      </c>
      <c r="K22" s="1245">
        <f t="shared" si="3"/>
        <v>19</v>
      </c>
      <c r="L22" s="59">
        <v>7</v>
      </c>
      <c r="M22" s="59">
        <v>12</v>
      </c>
      <c r="N22" s="59">
        <v>0</v>
      </c>
      <c r="O22" s="1245">
        <f t="shared" si="4"/>
        <v>9</v>
      </c>
      <c r="P22" s="59">
        <v>0</v>
      </c>
      <c r="Q22" s="59">
        <v>9</v>
      </c>
      <c r="R22" s="35">
        <v>0</v>
      </c>
      <c r="S22" s="35">
        <v>0</v>
      </c>
      <c r="T22" s="1031">
        <f t="shared" si="5"/>
        <v>8</v>
      </c>
      <c r="U22" s="35">
        <v>0</v>
      </c>
      <c r="V22" s="59">
        <v>8</v>
      </c>
      <c r="W22" s="178"/>
    </row>
    <row r="23" spans="1:23" ht="17.25" customHeight="1">
      <c r="A23" s="93" t="s">
        <v>536</v>
      </c>
      <c r="B23" s="1245">
        <f t="shared" si="1"/>
        <v>560</v>
      </c>
      <c r="C23" s="1245">
        <f t="shared" si="2"/>
        <v>383</v>
      </c>
      <c r="D23" s="1246">
        <v>71</v>
      </c>
      <c r="E23" s="1246">
        <v>296</v>
      </c>
      <c r="F23" s="1246">
        <v>15</v>
      </c>
      <c r="G23" s="1246" t="s">
        <v>792</v>
      </c>
      <c r="H23" s="1246" t="s">
        <v>792</v>
      </c>
      <c r="I23" s="1246">
        <v>1</v>
      </c>
      <c r="J23" s="1246">
        <v>17</v>
      </c>
      <c r="K23" s="1245">
        <f t="shared" si="3"/>
        <v>79</v>
      </c>
      <c r="L23" s="59">
        <v>26</v>
      </c>
      <c r="M23" s="59">
        <v>51</v>
      </c>
      <c r="N23" s="59">
        <v>2</v>
      </c>
      <c r="O23" s="1245">
        <f t="shared" si="4"/>
        <v>42</v>
      </c>
      <c r="P23" s="59">
        <v>3</v>
      </c>
      <c r="Q23" s="59">
        <v>37</v>
      </c>
      <c r="R23" s="35">
        <v>0</v>
      </c>
      <c r="S23" s="59">
        <v>2</v>
      </c>
      <c r="T23" s="1031">
        <f t="shared" si="5"/>
        <v>39</v>
      </c>
      <c r="U23" s="35">
        <v>5</v>
      </c>
      <c r="V23" s="59">
        <v>34</v>
      </c>
      <c r="W23" s="178"/>
    </row>
    <row r="24" spans="1:23" ht="17.25" customHeight="1">
      <c r="A24" s="93" t="s">
        <v>537</v>
      </c>
      <c r="B24" s="1245">
        <f t="shared" si="1"/>
        <v>61</v>
      </c>
      <c r="C24" s="1245">
        <f t="shared" si="2"/>
        <v>49</v>
      </c>
      <c r="D24" s="1246">
        <v>7</v>
      </c>
      <c r="E24" s="1246">
        <v>41</v>
      </c>
      <c r="F24" s="1246" t="s">
        <v>792</v>
      </c>
      <c r="G24" s="1246" t="s">
        <v>792</v>
      </c>
      <c r="H24" s="1246" t="s">
        <v>792</v>
      </c>
      <c r="I24" s="1246">
        <v>1</v>
      </c>
      <c r="J24" s="1246">
        <v>4</v>
      </c>
      <c r="K24" s="1245">
        <f t="shared" si="3"/>
        <v>2</v>
      </c>
      <c r="L24" s="59">
        <v>2</v>
      </c>
      <c r="M24" s="59">
        <v>0</v>
      </c>
      <c r="N24" s="59">
        <v>0</v>
      </c>
      <c r="O24" s="1245">
        <f t="shared" si="4"/>
        <v>0</v>
      </c>
      <c r="P24" s="59">
        <v>0</v>
      </c>
      <c r="Q24" s="59">
        <v>0</v>
      </c>
      <c r="R24" s="35">
        <v>0</v>
      </c>
      <c r="S24" s="59">
        <v>0</v>
      </c>
      <c r="T24" s="1031">
        <f t="shared" si="5"/>
        <v>6</v>
      </c>
      <c r="U24" s="35">
        <v>1</v>
      </c>
      <c r="V24" s="59">
        <v>5</v>
      </c>
      <c r="W24" s="178"/>
    </row>
    <row r="25" spans="1:23" ht="17.25" customHeight="1">
      <c r="A25" s="93" t="s">
        <v>538</v>
      </c>
      <c r="B25" s="1245">
        <f t="shared" si="1"/>
        <v>316</v>
      </c>
      <c r="C25" s="1245">
        <f t="shared" si="2"/>
        <v>244</v>
      </c>
      <c r="D25" s="1246">
        <v>42</v>
      </c>
      <c r="E25" s="1246">
        <v>196</v>
      </c>
      <c r="F25" s="1246">
        <v>3</v>
      </c>
      <c r="G25" s="1246" t="s">
        <v>792</v>
      </c>
      <c r="H25" s="1246">
        <v>1</v>
      </c>
      <c r="I25" s="1246">
        <v>2</v>
      </c>
      <c r="J25" s="1246">
        <v>13</v>
      </c>
      <c r="K25" s="1245">
        <f t="shared" si="3"/>
        <v>24</v>
      </c>
      <c r="L25" s="59">
        <v>7</v>
      </c>
      <c r="M25" s="59">
        <v>17</v>
      </c>
      <c r="N25" s="59">
        <v>0</v>
      </c>
      <c r="O25" s="1245">
        <f t="shared" si="4"/>
        <v>18</v>
      </c>
      <c r="P25" s="59">
        <v>0</v>
      </c>
      <c r="Q25" s="59">
        <v>17</v>
      </c>
      <c r="R25" s="35">
        <v>0</v>
      </c>
      <c r="S25" s="59">
        <v>1</v>
      </c>
      <c r="T25" s="1031">
        <f t="shared" si="5"/>
        <v>17</v>
      </c>
      <c r="U25" s="35">
        <v>0</v>
      </c>
      <c r="V25" s="59">
        <v>17</v>
      </c>
      <c r="W25" s="178"/>
    </row>
    <row r="26" spans="1:23" ht="17.25" customHeight="1">
      <c r="A26" s="93" t="s">
        <v>539</v>
      </c>
      <c r="B26" s="1245">
        <f t="shared" si="1"/>
        <v>175</v>
      </c>
      <c r="C26" s="1245">
        <f t="shared" si="2"/>
        <v>123</v>
      </c>
      <c r="D26" s="1246">
        <v>16</v>
      </c>
      <c r="E26" s="1246">
        <v>105</v>
      </c>
      <c r="F26" s="1246" t="s">
        <v>792</v>
      </c>
      <c r="G26" s="1246" t="s">
        <v>792</v>
      </c>
      <c r="H26" s="1246" t="s">
        <v>792</v>
      </c>
      <c r="I26" s="1246">
        <v>2</v>
      </c>
      <c r="J26" s="1246">
        <v>10</v>
      </c>
      <c r="K26" s="1245">
        <f t="shared" si="3"/>
        <v>25</v>
      </c>
      <c r="L26" s="59">
        <v>9</v>
      </c>
      <c r="M26" s="59">
        <v>16</v>
      </c>
      <c r="N26" s="59">
        <v>0</v>
      </c>
      <c r="O26" s="1245">
        <f t="shared" si="4"/>
        <v>9</v>
      </c>
      <c r="P26" s="59">
        <v>0</v>
      </c>
      <c r="Q26" s="59">
        <v>9</v>
      </c>
      <c r="R26" s="35">
        <v>0</v>
      </c>
      <c r="S26" s="59">
        <v>0</v>
      </c>
      <c r="T26" s="1031">
        <f t="shared" si="5"/>
        <v>8</v>
      </c>
      <c r="U26" s="35">
        <v>0</v>
      </c>
      <c r="V26" s="59">
        <v>8</v>
      </c>
      <c r="W26" s="178"/>
    </row>
    <row r="27" spans="1:23" ht="17.25" customHeight="1">
      <c r="A27" s="93" t="s">
        <v>540</v>
      </c>
      <c r="B27" s="1245">
        <f t="shared" si="1"/>
        <v>55</v>
      </c>
      <c r="C27" s="1245">
        <f t="shared" si="2"/>
        <v>45</v>
      </c>
      <c r="D27" s="1246">
        <v>5</v>
      </c>
      <c r="E27" s="1246">
        <v>40</v>
      </c>
      <c r="F27" s="1246" t="s">
        <v>792</v>
      </c>
      <c r="G27" s="1246" t="s">
        <v>792</v>
      </c>
      <c r="H27" s="1246" t="s">
        <v>792</v>
      </c>
      <c r="I27" s="1246" t="s">
        <v>792</v>
      </c>
      <c r="J27" s="1246">
        <v>2</v>
      </c>
      <c r="K27" s="1245">
        <f t="shared" si="3"/>
        <v>5</v>
      </c>
      <c r="L27" s="59">
        <v>2</v>
      </c>
      <c r="M27" s="59">
        <v>3</v>
      </c>
      <c r="N27" s="59">
        <v>0</v>
      </c>
      <c r="O27" s="1245">
        <f t="shared" si="4"/>
        <v>1</v>
      </c>
      <c r="P27" s="59">
        <v>0</v>
      </c>
      <c r="Q27" s="59">
        <v>1</v>
      </c>
      <c r="R27" s="35">
        <v>0</v>
      </c>
      <c r="S27" s="59">
        <v>0</v>
      </c>
      <c r="T27" s="1031">
        <f t="shared" si="5"/>
        <v>2</v>
      </c>
      <c r="U27" s="35">
        <v>0</v>
      </c>
      <c r="V27" s="59">
        <v>2</v>
      </c>
      <c r="W27" s="178"/>
    </row>
    <row r="28" spans="1:23" ht="17.25" customHeight="1">
      <c r="A28" s="93" t="s">
        <v>541</v>
      </c>
      <c r="B28" s="1245">
        <f t="shared" si="1"/>
        <v>21</v>
      </c>
      <c r="C28" s="1245">
        <f t="shared" si="2"/>
        <v>18</v>
      </c>
      <c r="D28" s="1246">
        <v>2</v>
      </c>
      <c r="E28" s="1246">
        <v>16</v>
      </c>
      <c r="F28" s="1246" t="s">
        <v>792</v>
      </c>
      <c r="G28" s="1246" t="s">
        <v>792</v>
      </c>
      <c r="H28" s="1246" t="s">
        <v>792</v>
      </c>
      <c r="I28" s="1246" t="s">
        <v>792</v>
      </c>
      <c r="J28" s="1246" t="s">
        <v>1240</v>
      </c>
      <c r="K28" s="1245">
        <f t="shared" si="3"/>
        <v>1</v>
      </c>
      <c r="L28" s="59">
        <v>0</v>
      </c>
      <c r="M28" s="59">
        <v>1</v>
      </c>
      <c r="N28" s="59">
        <v>0</v>
      </c>
      <c r="O28" s="1245">
        <f t="shared" si="4"/>
        <v>0</v>
      </c>
      <c r="P28" s="59">
        <v>0</v>
      </c>
      <c r="Q28" s="59">
        <v>0</v>
      </c>
      <c r="R28" s="35">
        <v>0</v>
      </c>
      <c r="S28" s="59">
        <v>0</v>
      </c>
      <c r="T28" s="1031">
        <f t="shared" si="5"/>
        <v>2</v>
      </c>
      <c r="U28" s="35">
        <v>0</v>
      </c>
      <c r="V28" s="59">
        <v>2</v>
      </c>
      <c r="W28" s="178"/>
    </row>
    <row r="29" spans="1:23" ht="17.25" customHeight="1">
      <c r="A29" s="93" t="s">
        <v>542</v>
      </c>
      <c r="B29" s="1245">
        <f t="shared" si="1"/>
        <v>405</v>
      </c>
      <c r="C29" s="1245">
        <f t="shared" si="2"/>
        <v>316</v>
      </c>
      <c r="D29" s="1246">
        <v>75</v>
      </c>
      <c r="E29" s="1246">
        <v>187</v>
      </c>
      <c r="F29" s="1246">
        <v>8</v>
      </c>
      <c r="G29" s="1246">
        <v>7</v>
      </c>
      <c r="H29" s="1246">
        <v>35</v>
      </c>
      <c r="I29" s="1246">
        <v>4</v>
      </c>
      <c r="J29" s="1246">
        <v>11</v>
      </c>
      <c r="K29" s="1245">
        <f t="shared" si="3"/>
        <v>36</v>
      </c>
      <c r="L29" s="59">
        <v>2</v>
      </c>
      <c r="M29" s="59">
        <v>34</v>
      </c>
      <c r="N29" s="59">
        <v>0</v>
      </c>
      <c r="O29" s="1245">
        <f t="shared" si="4"/>
        <v>17</v>
      </c>
      <c r="P29" s="59">
        <v>1</v>
      </c>
      <c r="Q29" s="59">
        <v>16</v>
      </c>
      <c r="R29" s="35">
        <v>0</v>
      </c>
      <c r="S29" s="59">
        <v>0</v>
      </c>
      <c r="T29" s="1031">
        <f t="shared" si="5"/>
        <v>25</v>
      </c>
      <c r="U29" s="35">
        <v>0</v>
      </c>
      <c r="V29" s="59">
        <v>25</v>
      </c>
      <c r="W29" s="178"/>
    </row>
    <row r="30" spans="1:23" ht="17.25" customHeight="1">
      <c r="A30" s="93" t="s">
        <v>543</v>
      </c>
      <c r="B30" s="1245">
        <f t="shared" si="1"/>
        <v>137</v>
      </c>
      <c r="C30" s="1245">
        <f t="shared" si="2"/>
        <v>119</v>
      </c>
      <c r="D30" s="1246">
        <v>36</v>
      </c>
      <c r="E30" s="1246">
        <v>80</v>
      </c>
      <c r="F30" s="1246">
        <v>2</v>
      </c>
      <c r="G30" s="1246" t="s">
        <v>792</v>
      </c>
      <c r="H30" s="1246" t="s">
        <v>792</v>
      </c>
      <c r="I30" s="1246">
        <v>1</v>
      </c>
      <c r="J30" s="1246">
        <v>5</v>
      </c>
      <c r="K30" s="1245">
        <f t="shared" si="3"/>
        <v>6</v>
      </c>
      <c r="L30" s="59">
        <v>0</v>
      </c>
      <c r="M30" s="59">
        <v>6</v>
      </c>
      <c r="N30" s="59">
        <v>0</v>
      </c>
      <c r="O30" s="1245">
        <f t="shared" si="4"/>
        <v>5</v>
      </c>
      <c r="P30" s="59">
        <v>0</v>
      </c>
      <c r="Q30" s="59">
        <v>5</v>
      </c>
      <c r="R30" s="35">
        <v>0</v>
      </c>
      <c r="S30" s="59">
        <v>0</v>
      </c>
      <c r="T30" s="1031">
        <f t="shared" si="5"/>
        <v>2</v>
      </c>
      <c r="U30" s="35">
        <v>0</v>
      </c>
      <c r="V30" s="59">
        <v>2</v>
      </c>
      <c r="W30" s="178"/>
    </row>
    <row r="31" spans="1:23" ht="17.25" customHeight="1">
      <c r="A31" s="93" t="s">
        <v>544</v>
      </c>
      <c r="B31" s="1245">
        <f t="shared" si="1"/>
        <v>330</v>
      </c>
      <c r="C31" s="1245">
        <f t="shared" si="2"/>
        <v>267</v>
      </c>
      <c r="D31" s="1246">
        <v>39</v>
      </c>
      <c r="E31" s="1246">
        <v>177</v>
      </c>
      <c r="F31" s="1246">
        <v>2</v>
      </c>
      <c r="G31" s="1246">
        <v>4</v>
      </c>
      <c r="H31" s="1246">
        <v>44</v>
      </c>
      <c r="I31" s="1246">
        <v>1</v>
      </c>
      <c r="J31" s="1246">
        <v>3</v>
      </c>
      <c r="K31" s="1245">
        <f t="shared" si="3"/>
        <v>40</v>
      </c>
      <c r="L31" s="59">
        <v>3</v>
      </c>
      <c r="M31" s="59">
        <v>37</v>
      </c>
      <c r="N31" s="59">
        <v>0</v>
      </c>
      <c r="O31" s="1245">
        <f t="shared" si="4"/>
        <v>7</v>
      </c>
      <c r="P31" s="59">
        <v>0</v>
      </c>
      <c r="Q31" s="59">
        <v>7</v>
      </c>
      <c r="R31" s="35">
        <v>0</v>
      </c>
      <c r="S31" s="59">
        <v>0</v>
      </c>
      <c r="T31" s="1031">
        <f t="shared" si="5"/>
        <v>13</v>
      </c>
      <c r="U31" s="35">
        <v>0</v>
      </c>
      <c r="V31" s="59">
        <v>13</v>
      </c>
      <c r="W31" s="178"/>
    </row>
    <row r="32" spans="1:23" ht="17.25" customHeight="1">
      <c r="A32" s="93" t="s">
        <v>545</v>
      </c>
      <c r="B32" s="1245">
        <f t="shared" si="1"/>
        <v>253</v>
      </c>
      <c r="C32" s="1245">
        <f t="shared" si="2"/>
        <v>186</v>
      </c>
      <c r="D32" s="1246">
        <v>45</v>
      </c>
      <c r="E32" s="1246">
        <v>133</v>
      </c>
      <c r="F32" s="1246">
        <v>2</v>
      </c>
      <c r="G32" s="1246">
        <v>1</v>
      </c>
      <c r="H32" s="1246">
        <v>4</v>
      </c>
      <c r="I32" s="1246">
        <v>1</v>
      </c>
      <c r="J32" s="1246">
        <v>8</v>
      </c>
      <c r="K32" s="1245">
        <f t="shared" si="3"/>
        <v>33</v>
      </c>
      <c r="L32" s="59">
        <v>0</v>
      </c>
      <c r="M32" s="59">
        <v>33</v>
      </c>
      <c r="N32" s="59">
        <v>0</v>
      </c>
      <c r="O32" s="1245">
        <f t="shared" si="4"/>
        <v>6</v>
      </c>
      <c r="P32" s="59">
        <v>0</v>
      </c>
      <c r="Q32" s="59">
        <v>6</v>
      </c>
      <c r="R32" s="35">
        <v>0</v>
      </c>
      <c r="S32" s="59">
        <v>0</v>
      </c>
      <c r="T32" s="1031">
        <f t="shared" si="5"/>
        <v>20</v>
      </c>
      <c r="U32" s="35">
        <v>0</v>
      </c>
      <c r="V32" s="59">
        <v>20</v>
      </c>
      <c r="W32" s="178"/>
    </row>
    <row r="33" spans="1:23" ht="17.25" customHeight="1">
      <c r="A33" s="93" t="s">
        <v>546</v>
      </c>
      <c r="B33" s="1245">
        <f t="shared" si="1"/>
        <v>236</v>
      </c>
      <c r="C33" s="1245">
        <f t="shared" si="2"/>
        <v>193</v>
      </c>
      <c r="D33" s="1246">
        <v>44</v>
      </c>
      <c r="E33" s="1246">
        <v>137</v>
      </c>
      <c r="F33" s="1246">
        <v>3</v>
      </c>
      <c r="G33" s="1246">
        <v>3</v>
      </c>
      <c r="H33" s="1246">
        <v>4</v>
      </c>
      <c r="I33" s="1246">
        <v>2</v>
      </c>
      <c r="J33" s="1246">
        <v>7</v>
      </c>
      <c r="K33" s="1245">
        <f t="shared" si="3"/>
        <v>20</v>
      </c>
      <c r="L33" s="59">
        <v>2</v>
      </c>
      <c r="M33" s="59">
        <v>18</v>
      </c>
      <c r="N33" s="59">
        <v>0</v>
      </c>
      <c r="O33" s="1245">
        <f t="shared" si="4"/>
        <v>14</v>
      </c>
      <c r="P33" s="59">
        <v>0</v>
      </c>
      <c r="Q33" s="59">
        <v>14</v>
      </c>
      <c r="R33" s="35">
        <v>0</v>
      </c>
      <c r="S33" s="59">
        <v>0</v>
      </c>
      <c r="T33" s="1031">
        <f t="shared" si="5"/>
        <v>2</v>
      </c>
      <c r="U33" s="35">
        <v>0</v>
      </c>
      <c r="V33" s="59">
        <v>2</v>
      </c>
      <c r="W33" s="178"/>
    </row>
    <row r="34" spans="1:23" ht="17.25" customHeight="1">
      <c r="A34" s="93" t="s">
        <v>547</v>
      </c>
      <c r="B34" s="1245">
        <f t="shared" si="1"/>
        <v>313</v>
      </c>
      <c r="C34" s="1245">
        <f t="shared" si="2"/>
        <v>143</v>
      </c>
      <c r="D34" s="1246">
        <v>29</v>
      </c>
      <c r="E34" s="1246">
        <v>93</v>
      </c>
      <c r="F34" s="1246">
        <v>2</v>
      </c>
      <c r="G34" s="1246">
        <v>2</v>
      </c>
      <c r="H34" s="1246">
        <v>15</v>
      </c>
      <c r="I34" s="1246">
        <v>2</v>
      </c>
      <c r="J34" s="1246">
        <v>10</v>
      </c>
      <c r="K34" s="1245">
        <f t="shared" si="3"/>
        <v>83</v>
      </c>
      <c r="L34" s="59">
        <v>37</v>
      </c>
      <c r="M34" s="59">
        <v>46</v>
      </c>
      <c r="N34" s="59">
        <v>0</v>
      </c>
      <c r="O34" s="1245">
        <f t="shared" si="4"/>
        <v>37</v>
      </c>
      <c r="P34" s="59">
        <v>0</v>
      </c>
      <c r="Q34" s="59">
        <v>37</v>
      </c>
      <c r="R34" s="35">
        <v>0</v>
      </c>
      <c r="S34" s="59">
        <v>0</v>
      </c>
      <c r="T34" s="1031">
        <f t="shared" si="5"/>
        <v>40</v>
      </c>
      <c r="U34" s="35">
        <v>4</v>
      </c>
      <c r="V34" s="59">
        <v>36</v>
      </c>
      <c r="W34" s="178"/>
    </row>
    <row r="35" spans="1:23" ht="17.25" customHeight="1">
      <c r="A35" s="93" t="s">
        <v>548</v>
      </c>
      <c r="B35" s="1245">
        <f t="shared" si="1"/>
        <v>345</v>
      </c>
      <c r="C35" s="1245">
        <f t="shared" si="2"/>
        <v>290</v>
      </c>
      <c r="D35" s="1246">
        <v>77</v>
      </c>
      <c r="E35" s="1246">
        <v>183</v>
      </c>
      <c r="F35" s="1246">
        <v>6</v>
      </c>
      <c r="G35" s="1246">
        <v>2</v>
      </c>
      <c r="H35" s="1246">
        <v>21</v>
      </c>
      <c r="I35" s="1246">
        <v>1</v>
      </c>
      <c r="J35" s="1246">
        <v>10</v>
      </c>
      <c r="K35" s="1245">
        <f t="shared" si="3"/>
        <v>21</v>
      </c>
      <c r="L35" s="59">
        <v>1</v>
      </c>
      <c r="M35" s="59">
        <v>20</v>
      </c>
      <c r="N35" s="59">
        <v>0</v>
      </c>
      <c r="O35" s="1245">
        <f t="shared" si="4"/>
        <v>7</v>
      </c>
      <c r="P35" s="59">
        <v>0</v>
      </c>
      <c r="Q35" s="59">
        <v>7</v>
      </c>
      <c r="R35" s="35">
        <v>0</v>
      </c>
      <c r="S35" s="59">
        <v>0</v>
      </c>
      <c r="T35" s="1031">
        <f t="shared" si="5"/>
        <v>17</v>
      </c>
      <c r="U35" s="35">
        <v>0</v>
      </c>
      <c r="V35" s="59">
        <v>17</v>
      </c>
      <c r="W35" s="178"/>
    </row>
    <row r="36" spans="1:23" ht="17.25" customHeight="1">
      <c r="A36" s="93" t="s">
        <v>549</v>
      </c>
      <c r="B36" s="1245">
        <f t="shared" si="1"/>
        <v>338</v>
      </c>
      <c r="C36" s="1245">
        <f t="shared" si="2"/>
        <v>301</v>
      </c>
      <c r="D36" s="1246">
        <v>48</v>
      </c>
      <c r="E36" s="1246">
        <v>240</v>
      </c>
      <c r="F36" s="1246">
        <v>6</v>
      </c>
      <c r="G36" s="1246">
        <v>2</v>
      </c>
      <c r="H36" s="1246">
        <v>4</v>
      </c>
      <c r="I36" s="1246">
        <v>1</v>
      </c>
      <c r="J36" s="1246">
        <v>3</v>
      </c>
      <c r="K36" s="1245">
        <f t="shared" si="3"/>
        <v>20</v>
      </c>
      <c r="L36" s="59">
        <v>4</v>
      </c>
      <c r="M36" s="59">
        <v>16</v>
      </c>
      <c r="N36" s="59">
        <v>0</v>
      </c>
      <c r="O36" s="1245">
        <f t="shared" si="4"/>
        <v>4</v>
      </c>
      <c r="P36" s="59">
        <v>0</v>
      </c>
      <c r="Q36" s="59">
        <v>4</v>
      </c>
      <c r="R36" s="35">
        <v>0</v>
      </c>
      <c r="S36" s="59">
        <v>0</v>
      </c>
      <c r="T36" s="1031">
        <f t="shared" si="5"/>
        <v>10</v>
      </c>
      <c r="U36" s="35">
        <v>0</v>
      </c>
      <c r="V36" s="59">
        <v>10</v>
      </c>
      <c r="W36" s="178"/>
    </row>
    <row r="37" spans="1:23" ht="17.25" customHeight="1">
      <c r="A37" s="93" t="s">
        <v>550</v>
      </c>
      <c r="B37" s="1245">
        <f t="shared" si="1"/>
        <v>385</v>
      </c>
      <c r="C37" s="1245">
        <f t="shared" si="2"/>
        <v>334</v>
      </c>
      <c r="D37" s="1246">
        <v>48</v>
      </c>
      <c r="E37" s="1246">
        <v>260</v>
      </c>
      <c r="F37" s="1246">
        <v>8</v>
      </c>
      <c r="G37" s="1246">
        <v>1</v>
      </c>
      <c r="H37" s="1246">
        <v>13</v>
      </c>
      <c r="I37" s="1246">
        <v>4</v>
      </c>
      <c r="J37" s="1246">
        <v>10</v>
      </c>
      <c r="K37" s="1245">
        <f t="shared" si="3"/>
        <v>16</v>
      </c>
      <c r="L37" s="59">
        <v>1</v>
      </c>
      <c r="M37" s="59">
        <v>15</v>
      </c>
      <c r="N37" s="59">
        <v>0</v>
      </c>
      <c r="O37" s="1245">
        <f t="shared" si="4"/>
        <v>13</v>
      </c>
      <c r="P37" s="59">
        <v>0</v>
      </c>
      <c r="Q37" s="59">
        <v>13</v>
      </c>
      <c r="R37" s="35">
        <v>0</v>
      </c>
      <c r="S37" s="59">
        <v>0</v>
      </c>
      <c r="T37" s="1031">
        <f t="shared" si="5"/>
        <v>12</v>
      </c>
      <c r="U37" s="35">
        <v>0</v>
      </c>
      <c r="V37" s="59">
        <v>12</v>
      </c>
      <c r="W37" s="178"/>
    </row>
    <row r="38" spans="1:23" ht="17.25" customHeight="1">
      <c r="A38" s="93" t="s">
        <v>551</v>
      </c>
      <c r="B38" s="1245">
        <f t="shared" si="1"/>
        <v>204</v>
      </c>
      <c r="C38" s="1245">
        <f t="shared" si="2"/>
        <v>153</v>
      </c>
      <c r="D38" s="1246">
        <v>31</v>
      </c>
      <c r="E38" s="1246">
        <v>115</v>
      </c>
      <c r="F38" s="1246">
        <v>4</v>
      </c>
      <c r="G38" s="1246">
        <v>1</v>
      </c>
      <c r="H38" s="1246">
        <v>2</v>
      </c>
      <c r="I38" s="1246" t="s">
        <v>792</v>
      </c>
      <c r="J38" s="1246">
        <v>7</v>
      </c>
      <c r="K38" s="1245">
        <f t="shared" si="3"/>
        <v>15</v>
      </c>
      <c r="L38" s="59">
        <v>1</v>
      </c>
      <c r="M38" s="59">
        <v>14</v>
      </c>
      <c r="N38" s="59">
        <v>0</v>
      </c>
      <c r="O38" s="1245">
        <f t="shared" si="4"/>
        <v>19</v>
      </c>
      <c r="P38" s="59">
        <v>0</v>
      </c>
      <c r="Q38" s="59">
        <v>19</v>
      </c>
      <c r="R38" s="35">
        <v>0</v>
      </c>
      <c r="S38" s="59">
        <v>0</v>
      </c>
      <c r="T38" s="1031">
        <f t="shared" si="5"/>
        <v>10</v>
      </c>
      <c r="U38" s="35">
        <v>0</v>
      </c>
      <c r="V38" s="59">
        <v>10</v>
      </c>
      <c r="W38" s="178"/>
    </row>
    <row r="39" spans="1:23" ht="17.25" customHeight="1">
      <c r="A39" s="93" t="s">
        <v>552</v>
      </c>
      <c r="B39" s="1245">
        <f t="shared" si="1"/>
        <v>292</v>
      </c>
      <c r="C39" s="1245">
        <f t="shared" si="2"/>
        <v>259</v>
      </c>
      <c r="D39" s="1246">
        <v>46</v>
      </c>
      <c r="E39" s="1246">
        <v>207</v>
      </c>
      <c r="F39" s="1246">
        <v>2</v>
      </c>
      <c r="G39" s="1246">
        <v>1</v>
      </c>
      <c r="H39" s="1246">
        <v>3</v>
      </c>
      <c r="I39" s="1246" t="s">
        <v>792</v>
      </c>
      <c r="J39" s="1246">
        <v>11</v>
      </c>
      <c r="K39" s="1245">
        <f t="shared" si="3"/>
        <v>7</v>
      </c>
      <c r="L39" s="59">
        <v>1</v>
      </c>
      <c r="M39" s="59">
        <v>6</v>
      </c>
      <c r="N39" s="59">
        <v>0</v>
      </c>
      <c r="O39" s="1245">
        <f t="shared" si="4"/>
        <v>8</v>
      </c>
      <c r="P39" s="59">
        <v>0</v>
      </c>
      <c r="Q39" s="59">
        <v>8</v>
      </c>
      <c r="R39" s="35">
        <v>0</v>
      </c>
      <c r="S39" s="59">
        <v>0</v>
      </c>
      <c r="T39" s="1031">
        <f t="shared" si="5"/>
        <v>7</v>
      </c>
      <c r="U39" s="35">
        <v>0</v>
      </c>
      <c r="V39" s="59">
        <v>7</v>
      </c>
      <c r="W39" s="178"/>
    </row>
    <row r="40" spans="1:23" ht="17.25" customHeight="1">
      <c r="A40" s="93" t="s">
        <v>553</v>
      </c>
      <c r="B40" s="1245">
        <f t="shared" si="1"/>
        <v>941</v>
      </c>
      <c r="C40" s="1245">
        <f t="shared" si="2"/>
        <v>737</v>
      </c>
      <c r="D40" s="1246">
        <v>132</v>
      </c>
      <c r="E40" s="1246">
        <v>591</v>
      </c>
      <c r="F40" s="1246">
        <v>12</v>
      </c>
      <c r="G40" s="1246" t="s">
        <v>792</v>
      </c>
      <c r="H40" s="1246" t="s">
        <v>792</v>
      </c>
      <c r="I40" s="1246">
        <v>2</v>
      </c>
      <c r="J40" s="1246">
        <v>13</v>
      </c>
      <c r="K40" s="1245">
        <f t="shared" si="3"/>
        <v>88</v>
      </c>
      <c r="L40" s="59">
        <v>8</v>
      </c>
      <c r="M40" s="59">
        <v>80</v>
      </c>
      <c r="N40" s="59">
        <v>0</v>
      </c>
      <c r="O40" s="1245">
        <f t="shared" si="4"/>
        <v>36</v>
      </c>
      <c r="P40" s="59">
        <v>0</v>
      </c>
      <c r="Q40" s="59">
        <v>36</v>
      </c>
      <c r="R40" s="35">
        <v>0</v>
      </c>
      <c r="S40" s="59">
        <v>0</v>
      </c>
      <c r="T40" s="1031">
        <f t="shared" si="5"/>
        <v>67</v>
      </c>
      <c r="U40" s="35">
        <v>0</v>
      </c>
      <c r="V40" s="59">
        <v>67</v>
      </c>
      <c r="W40" s="178"/>
    </row>
    <row r="41" spans="1:23" ht="17.25" customHeight="1">
      <c r="A41" s="93" t="s">
        <v>554</v>
      </c>
      <c r="B41" s="1245">
        <f t="shared" si="1"/>
        <v>1085</v>
      </c>
      <c r="C41" s="1245">
        <f t="shared" si="2"/>
        <v>816</v>
      </c>
      <c r="D41" s="1246">
        <v>145</v>
      </c>
      <c r="E41" s="1246">
        <v>644</v>
      </c>
      <c r="F41" s="1246">
        <v>18</v>
      </c>
      <c r="G41" s="1246" t="s">
        <v>792</v>
      </c>
      <c r="H41" s="1246">
        <v>6</v>
      </c>
      <c r="I41" s="1246">
        <v>3</v>
      </c>
      <c r="J41" s="1246">
        <v>21</v>
      </c>
      <c r="K41" s="1245">
        <f t="shared" si="3"/>
        <v>104</v>
      </c>
      <c r="L41" s="59">
        <v>28</v>
      </c>
      <c r="M41" s="59">
        <v>76</v>
      </c>
      <c r="N41" s="59">
        <v>0</v>
      </c>
      <c r="O41" s="1245">
        <f t="shared" si="4"/>
        <v>65</v>
      </c>
      <c r="P41" s="59">
        <v>0</v>
      </c>
      <c r="Q41" s="59">
        <v>65</v>
      </c>
      <c r="R41" s="35">
        <v>0</v>
      </c>
      <c r="S41" s="59">
        <v>0</v>
      </c>
      <c r="T41" s="1031">
        <f t="shared" si="5"/>
        <v>79</v>
      </c>
      <c r="U41" s="35">
        <v>1</v>
      </c>
      <c r="V41" s="59">
        <v>78</v>
      </c>
      <c r="W41" s="178"/>
    </row>
    <row r="42" spans="1:23" ht="17.25" customHeight="1">
      <c r="A42" s="93" t="s">
        <v>555</v>
      </c>
      <c r="B42" s="1245">
        <f t="shared" si="1"/>
        <v>706</v>
      </c>
      <c r="C42" s="1245">
        <f t="shared" si="2"/>
        <v>510</v>
      </c>
      <c r="D42" s="1246">
        <v>144</v>
      </c>
      <c r="E42" s="1246">
        <v>350</v>
      </c>
      <c r="F42" s="1246">
        <v>13</v>
      </c>
      <c r="G42" s="1246" t="s">
        <v>792</v>
      </c>
      <c r="H42" s="1246" t="s">
        <v>792</v>
      </c>
      <c r="I42" s="1246">
        <v>3</v>
      </c>
      <c r="J42" s="1246">
        <v>19</v>
      </c>
      <c r="K42" s="1245">
        <f t="shared" si="3"/>
        <v>84</v>
      </c>
      <c r="L42" s="59">
        <v>3</v>
      </c>
      <c r="M42" s="59">
        <v>81</v>
      </c>
      <c r="N42" s="59">
        <v>0</v>
      </c>
      <c r="O42" s="1245">
        <f t="shared" si="4"/>
        <v>38</v>
      </c>
      <c r="P42" s="59">
        <v>4</v>
      </c>
      <c r="Q42" s="59">
        <v>34</v>
      </c>
      <c r="R42" s="35">
        <v>0</v>
      </c>
      <c r="S42" s="59">
        <v>0</v>
      </c>
      <c r="T42" s="1031">
        <f t="shared" si="5"/>
        <v>55</v>
      </c>
      <c r="U42" s="35">
        <v>0</v>
      </c>
      <c r="V42" s="59">
        <v>55</v>
      </c>
      <c r="W42" s="178"/>
    </row>
    <row r="43" spans="1:23" ht="17.25" customHeight="1" thickBot="1">
      <c r="A43" s="351" t="s">
        <v>556</v>
      </c>
      <c r="B43" s="1247">
        <f t="shared" si="1"/>
        <v>479</v>
      </c>
      <c r="C43" s="1248">
        <f t="shared" si="2"/>
        <v>348</v>
      </c>
      <c r="D43" s="1249">
        <v>64</v>
      </c>
      <c r="E43" s="1249">
        <v>276</v>
      </c>
      <c r="F43" s="1249">
        <v>6</v>
      </c>
      <c r="G43" s="1249" t="s">
        <v>792</v>
      </c>
      <c r="H43" s="1249" t="s">
        <v>792</v>
      </c>
      <c r="I43" s="1249">
        <v>2</v>
      </c>
      <c r="J43" s="1249">
        <v>24</v>
      </c>
      <c r="K43" s="1248">
        <f t="shared" si="3"/>
        <v>48</v>
      </c>
      <c r="L43" s="1250">
        <v>10</v>
      </c>
      <c r="M43" s="1250">
        <v>38</v>
      </c>
      <c r="N43" s="1250">
        <v>0</v>
      </c>
      <c r="O43" s="1248">
        <f t="shared" si="4"/>
        <v>30</v>
      </c>
      <c r="P43" s="1250">
        <v>1</v>
      </c>
      <c r="Q43" s="1250">
        <v>29</v>
      </c>
      <c r="R43" s="1250">
        <v>0</v>
      </c>
      <c r="S43" s="1250">
        <v>0</v>
      </c>
      <c r="T43" s="1032">
        <f t="shared" si="5"/>
        <v>29</v>
      </c>
      <c r="U43" s="1251">
        <v>0</v>
      </c>
      <c r="V43" s="1250">
        <v>29</v>
      </c>
      <c r="W43" s="178"/>
    </row>
    <row r="44" spans="1:23">
      <c r="A44" s="1380" t="s">
        <v>1766</v>
      </c>
      <c r="B44" s="1381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  <c r="O44" s="1381"/>
      <c r="P44" s="1381"/>
    </row>
  </sheetData>
  <sheetProtection selectLockedCells="1"/>
  <mergeCells count="8">
    <mergeCell ref="A44:P44"/>
    <mergeCell ref="K6:N6"/>
    <mergeCell ref="O6:S6"/>
    <mergeCell ref="T6:V6"/>
    <mergeCell ref="A1:J1"/>
    <mergeCell ref="B5:S5"/>
    <mergeCell ref="T5:V5"/>
    <mergeCell ref="A2:V2"/>
  </mergeCells>
  <phoneticPr fontId="3" type="noConversion"/>
  <printOptions horizontalCentered="1"/>
  <pageMargins left="0.39370078740157483" right="0.39370078740157483" top="0.55118110236220474" bottom="0.55118110236220474" header="0.51181102362204722" footer="0.51181102362204722"/>
  <pageSetup paperSize="9" scale="45" pageOrder="overThenDown" orientation="portrait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81BD"/>
    <outlinePr summaryBelow="0" summaryRight="0"/>
  </sheetPr>
  <dimension ref="A1:V41"/>
  <sheetViews>
    <sheetView view="pageBreakPreview" topLeftCell="A10" zoomScaleNormal="100" zoomScaleSheetLayoutView="100" workbookViewId="0">
      <selection activeCell="N19" sqref="N19"/>
    </sheetView>
  </sheetViews>
  <sheetFormatPr defaultColWidth="9" defaultRowHeight="12" outlineLevelRow="1"/>
  <cols>
    <col min="1" max="1" width="10.375" style="493" customWidth="1"/>
    <col min="2" max="2" width="7.125" style="493" customWidth="1"/>
    <col min="3" max="4" width="7.625" style="493" customWidth="1"/>
    <col min="5" max="5" width="8.75" style="493" customWidth="1"/>
    <col min="6" max="6" width="7.625" style="493" customWidth="1"/>
    <col min="7" max="7" width="7.375" style="493" customWidth="1"/>
    <col min="8" max="8" width="7.5" style="493" customWidth="1"/>
    <col min="9" max="9" width="9.625" style="493" customWidth="1"/>
    <col min="10" max="10" width="12.375" style="493" customWidth="1"/>
    <col min="11" max="16384" width="9" style="493"/>
  </cols>
  <sheetData>
    <row r="1" spans="1:22" s="348" customFormat="1" ht="24.95" customHeight="1">
      <c r="A1" s="1336" t="s">
        <v>1427</v>
      </c>
      <c r="B1" s="1336"/>
      <c r="C1" s="1336"/>
      <c r="D1" s="1336"/>
      <c r="E1" s="1336"/>
      <c r="F1" s="1336"/>
      <c r="G1" s="1336"/>
      <c r="H1" s="1336"/>
      <c r="I1" s="16" t="s">
        <v>824</v>
      </c>
      <c r="J1" s="16"/>
      <c r="K1" s="16"/>
    </row>
    <row r="2" spans="1:22" s="385" customFormat="1" ht="24.95" customHeight="1">
      <c r="A2" s="1335" t="s">
        <v>823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</row>
    <row r="3" spans="1:22" s="481" customFormat="1" ht="24.95" customHeight="1">
      <c r="A3" s="1392" t="s">
        <v>1049</v>
      </c>
      <c r="B3" s="1392"/>
      <c r="C3" s="1392"/>
      <c r="D3" s="1392"/>
      <c r="E3" s="1392"/>
      <c r="F3" s="1392"/>
      <c r="G3" s="1392"/>
      <c r="H3" s="1392"/>
      <c r="I3" s="1392"/>
      <c r="J3" s="1392"/>
      <c r="K3" s="1392"/>
    </row>
    <row r="4" spans="1:22" s="481" customFormat="1" ht="9.9499999999999993" customHeight="1">
      <c r="A4" s="796"/>
      <c r="B4" s="796"/>
      <c r="C4" s="796"/>
      <c r="D4" s="796"/>
      <c r="E4" s="796"/>
      <c r="F4" s="796"/>
      <c r="G4" s="796"/>
      <c r="H4" s="796"/>
      <c r="I4" s="796"/>
      <c r="J4" s="796"/>
      <c r="K4" s="796"/>
    </row>
    <row r="5" spans="1:22" s="389" customFormat="1" ht="15" customHeight="1" thickBot="1">
      <c r="A5" s="48" t="s">
        <v>1731</v>
      </c>
      <c r="B5" s="22"/>
      <c r="G5" s="22"/>
      <c r="H5" s="22"/>
      <c r="I5" s="22"/>
      <c r="J5" s="387" t="s">
        <v>1732</v>
      </c>
    </row>
    <row r="6" spans="1:22" s="455" customFormat="1" ht="26.25" customHeight="1">
      <c r="A6" s="184" t="s">
        <v>469</v>
      </c>
      <c r="B6" s="482" t="s">
        <v>470</v>
      </c>
      <c r="C6" s="1393" t="s">
        <v>1428</v>
      </c>
      <c r="D6" s="1394"/>
      <c r="E6" s="1395"/>
      <c r="F6" s="466" t="s">
        <v>369</v>
      </c>
      <c r="G6" s="466" t="s">
        <v>370</v>
      </c>
      <c r="H6" s="483" t="s">
        <v>1052</v>
      </c>
      <c r="I6" s="466" t="s">
        <v>81</v>
      </c>
      <c r="J6" s="468" t="s">
        <v>1429</v>
      </c>
    </row>
    <row r="7" spans="1:22" s="7" customFormat="1" ht="54" customHeight="1">
      <c r="A7" s="53"/>
      <c r="B7" s="484" t="s">
        <v>371</v>
      </c>
      <c r="C7" s="485" t="s">
        <v>1430</v>
      </c>
      <c r="D7" s="485" t="s">
        <v>1431</v>
      </c>
      <c r="E7" s="485" t="s">
        <v>1432</v>
      </c>
      <c r="F7" s="486" t="s">
        <v>1050</v>
      </c>
      <c r="G7" s="486" t="s">
        <v>1051</v>
      </c>
      <c r="H7" s="487" t="s">
        <v>1053</v>
      </c>
      <c r="I7" s="486" t="s">
        <v>1054</v>
      </c>
      <c r="J7" s="488" t="s">
        <v>1055</v>
      </c>
    </row>
    <row r="8" spans="1:22" s="489" customFormat="1" ht="20.100000000000001" customHeight="1">
      <c r="A8" s="15">
        <v>2019</v>
      </c>
      <c r="B8" s="472">
        <v>1566</v>
      </c>
      <c r="C8" s="472">
        <v>229</v>
      </c>
      <c r="D8" s="472">
        <v>211</v>
      </c>
      <c r="E8" s="472">
        <v>18</v>
      </c>
      <c r="F8" s="472">
        <v>25</v>
      </c>
      <c r="G8" s="472">
        <v>101</v>
      </c>
      <c r="H8" s="472">
        <v>987</v>
      </c>
      <c r="I8" s="472">
        <v>149</v>
      </c>
      <c r="J8" s="472">
        <v>75</v>
      </c>
    </row>
    <row r="9" spans="1:22" s="489" customFormat="1" ht="23.45" customHeight="1" collapsed="1">
      <c r="A9" s="15">
        <v>2020</v>
      </c>
      <c r="B9" s="472">
        <v>1497</v>
      </c>
      <c r="C9" s="472">
        <v>224</v>
      </c>
      <c r="D9" s="472">
        <v>202</v>
      </c>
      <c r="E9" s="472">
        <v>22</v>
      </c>
      <c r="F9" s="472">
        <v>21</v>
      </c>
      <c r="G9" s="472">
        <v>91</v>
      </c>
      <c r="H9" s="472">
        <v>948</v>
      </c>
      <c r="I9" s="472">
        <v>138</v>
      </c>
      <c r="J9" s="472">
        <v>75</v>
      </c>
    </row>
    <row r="10" spans="1:22" s="388" customFormat="1" ht="23.1" customHeight="1">
      <c r="A10" s="15">
        <v>2021</v>
      </c>
      <c r="B10" s="472">
        <v>1636</v>
      </c>
      <c r="C10" s="491">
        <v>232</v>
      </c>
      <c r="D10" s="491">
        <v>205</v>
      </c>
      <c r="E10" s="491">
        <v>27</v>
      </c>
      <c r="F10" s="491">
        <v>23</v>
      </c>
      <c r="G10" s="491">
        <v>95</v>
      </c>
      <c r="H10" s="491">
        <v>1063</v>
      </c>
      <c r="I10" s="492">
        <v>140</v>
      </c>
      <c r="J10" s="492">
        <v>83</v>
      </c>
    </row>
    <row r="11" spans="1:22" s="388" customFormat="1" ht="23.1" customHeight="1">
      <c r="A11" s="15">
        <v>2022</v>
      </c>
      <c r="B11" s="472">
        <v>1698</v>
      </c>
      <c r="C11" s="491">
        <v>238</v>
      </c>
      <c r="D11" s="491">
        <v>204</v>
      </c>
      <c r="E11" s="491">
        <v>34</v>
      </c>
      <c r="F11" s="491">
        <v>22</v>
      </c>
      <c r="G11" s="491">
        <v>90</v>
      </c>
      <c r="H11" s="491">
        <v>1123</v>
      </c>
      <c r="I11" s="492">
        <v>136</v>
      </c>
      <c r="J11" s="492">
        <v>89</v>
      </c>
    </row>
    <row r="12" spans="1:22" s="388" customFormat="1" ht="23.1" customHeight="1">
      <c r="A12" s="15">
        <v>2023</v>
      </c>
      <c r="B12" s="472">
        <v>1748</v>
      </c>
      <c r="C12" s="491">
        <v>239</v>
      </c>
      <c r="D12" s="491">
        <v>202</v>
      </c>
      <c r="E12" s="491">
        <v>37</v>
      </c>
      <c r="F12" s="491">
        <v>24</v>
      </c>
      <c r="G12" s="491">
        <v>89</v>
      </c>
      <c r="H12" s="491">
        <v>1171</v>
      </c>
      <c r="I12" s="492">
        <v>130</v>
      </c>
      <c r="J12" s="492">
        <v>95</v>
      </c>
    </row>
    <row r="13" spans="1:22" ht="21" customHeight="1" outlineLevel="1">
      <c r="A13" s="32">
        <v>2024</v>
      </c>
      <c r="B13" s="842">
        <f>SUM(C13,F13,H13,G13,I13,J13)</f>
        <v>1808</v>
      </c>
      <c r="C13" s="844">
        <f>SUM(D13:E13)</f>
        <v>246</v>
      </c>
      <c r="D13" s="844">
        <f t="shared" ref="D13:J13" si="0">SUM(D14:D38)</f>
        <v>205</v>
      </c>
      <c r="E13" s="844">
        <f t="shared" si="0"/>
        <v>41</v>
      </c>
      <c r="F13" s="844">
        <f t="shared" si="0"/>
        <v>25</v>
      </c>
      <c r="G13" s="844">
        <f t="shared" si="0"/>
        <v>86</v>
      </c>
      <c r="H13" s="844">
        <f t="shared" si="0"/>
        <v>1221</v>
      </c>
      <c r="I13" s="844">
        <f t="shared" si="0"/>
        <v>126</v>
      </c>
      <c r="J13" s="844">
        <f t="shared" si="0"/>
        <v>104</v>
      </c>
    </row>
    <row r="14" spans="1:22" ht="17.25" customHeight="1">
      <c r="A14" s="14" t="s">
        <v>532</v>
      </c>
      <c r="B14" s="845">
        <f t="shared" ref="B14:B38" si="1">SUM(C14,F14,H14,G14,I14,J14)</f>
        <v>22</v>
      </c>
      <c r="C14" s="846">
        <f t="shared" ref="C14:C38" si="2">SUM(D14:E14)</f>
        <v>6</v>
      </c>
      <c r="D14" s="1109">
        <v>6</v>
      </c>
      <c r="E14" s="1109" t="s">
        <v>1240</v>
      </c>
      <c r="F14" s="1109">
        <v>1</v>
      </c>
      <c r="G14" s="1109">
        <v>2</v>
      </c>
      <c r="H14" s="1110">
        <v>9</v>
      </c>
      <c r="I14" s="1109">
        <v>1</v>
      </c>
      <c r="J14" s="1109">
        <v>3</v>
      </c>
      <c r="K14" s="494"/>
      <c r="L14" s="494"/>
      <c r="M14" s="494"/>
      <c r="N14" s="494"/>
      <c r="O14" s="494"/>
      <c r="P14" s="494"/>
      <c r="Q14" s="495"/>
      <c r="R14" s="495"/>
      <c r="S14" s="495"/>
      <c r="T14" s="495"/>
      <c r="U14" s="496"/>
      <c r="V14" s="490"/>
    </row>
    <row r="15" spans="1:22" ht="17.25" customHeight="1">
      <c r="A15" s="14" t="s">
        <v>533</v>
      </c>
      <c r="B15" s="845">
        <f t="shared" si="1"/>
        <v>60</v>
      </c>
      <c r="C15" s="846">
        <f t="shared" si="2"/>
        <v>6</v>
      </c>
      <c r="D15" s="1109">
        <v>6</v>
      </c>
      <c r="E15" s="1109" t="s">
        <v>1240</v>
      </c>
      <c r="F15" s="1109">
        <v>4</v>
      </c>
      <c r="G15" s="1109">
        <v>3</v>
      </c>
      <c r="H15" s="1111">
        <v>37</v>
      </c>
      <c r="I15" s="1111">
        <v>6</v>
      </c>
      <c r="J15" s="1111">
        <v>4</v>
      </c>
      <c r="K15" s="497"/>
      <c r="L15" s="497"/>
      <c r="M15" s="498"/>
      <c r="N15" s="498"/>
      <c r="O15" s="498"/>
      <c r="P15" s="498"/>
      <c r="Q15" s="498"/>
      <c r="R15" s="498"/>
      <c r="S15" s="498"/>
      <c r="T15" s="498"/>
      <c r="U15" s="498"/>
      <c r="V15" s="498"/>
    </row>
    <row r="16" spans="1:22" ht="17.25" customHeight="1">
      <c r="A16" s="14" t="s">
        <v>534</v>
      </c>
      <c r="B16" s="845">
        <f t="shared" si="1"/>
        <v>4</v>
      </c>
      <c r="C16" s="846">
        <f t="shared" si="2"/>
        <v>2</v>
      </c>
      <c r="D16" s="1109">
        <v>1</v>
      </c>
      <c r="E16" s="1109">
        <v>1</v>
      </c>
      <c r="F16" s="1111" t="s">
        <v>1240</v>
      </c>
      <c r="G16" s="1111" t="s">
        <v>1240</v>
      </c>
      <c r="H16" s="1111">
        <v>2</v>
      </c>
      <c r="I16" s="1111" t="s">
        <v>1240</v>
      </c>
      <c r="J16" s="1111" t="s">
        <v>1240</v>
      </c>
      <c r="K16" s="499"/>
      <c r="L16" s="499"/>
      <c r="M16" s="499"/>
      <c r="N16" s="499"/>
      <c r="O16" s="499"/>
      <c r="P16" s="499"/>
      <c r="Q16" s="499"/>
      <c r="R16" s="499"/>
      <c r="S16" s="499"/>
      <c r="T16" s="499"/>
      <c r="U16" s="499"/>
      <c r="V16" s="499"/>
    </row>
    <row r="17" spans="1:22" ht="17.25" customHeight="1">
      <c r="A17" s="14" t="s">
        <v>535</v>
      </c>
      <c r="B17" s="845">
        <f t="shared" si="1"/>
        <v>7</v>
      </c>
      <c r="C17" s="846">
        <f t="shared" si="2"/>
        <v>0</v>
      </c>
      <c r="D17" s="1109" t="s">
        <v>1240</v>
      </c>
      <c r="E17" s="1109" t="s">
        <v>1240</v>
      </c>
      <c r="F17" s="1111" t="s">
        <v>1240</v>
      </c>
      <c r="G17" s="1111" t="s">
        <v>1240</v>
      </c>
      <c r="H17" s="1111">
        <v>2</v>
      </c>
      <c r="I17" s="1111" t="s">
        <v>1240</v>
      </c>
      <c r="J17" s="1111">
        <v>5</v>
      </c>
      <c r="K17" s="499"/>
      <c r="L17" s="499"/>
      <c r="M17" s="499"/>
      <c r="N17" s="499"/>
      <c r="O17" s="499"/>
      <c r="P17" s="499"/>
      <c r="Q17" s="499"/>
      <c r="R17" s="499"/>
      <c r="S17" s="499"/>
      <c r="T17" s="499"/>
      <c r="U17" s="499"/>
      <c r="V17" s="499"/>
    </row>
    <row r="18" spans="1:22" ht="17.25" customHeight="1">
      <c r="A18" s="14" t="s">
        <v>536</v>
      </c>
      <c r="B18" s="845">
        <f t="shared" si="1"/>
        <v>90</v>
      </c>
      <c r="C18" s="846">
        <f t="shared" si="2"/>
        <v>0</v>
      </c>
      <c r="D18" s="1109" t="s">
        <v>1240</v>
      </c>
      <c r="E18" s="1109" t="s">
        <v>1240</v>
      </c>
      <c r="F18" s="1111" t="s">
        <v>1240</v>
      </c>
      <c r="G18" s="1109">
        <v>4</v>
      </c>
      <c r="H18" s="1111">
        <v>69</v>
      </c>
      <c r="I18" s="1111">
        <v>14</v>
      </c>
      <c r="J18" s="1111">
        <v>3</v>
      </c>
      <c r="K18" s="499"/>
      <c r="L18" s="499"/>
      <c r="M18" s="499"/>
      <c r="N18" s="499"/>
      <c r="O18" s="499"/>
      <c r="P18" s="499"/>
      <c r="Q18" s="499"/>
      <c r="R18" s="499"/>
      <c r="S18" s="499"/>
      <c r="T18" s="499"/>
      <c r="U18" s="499"/>
      <c r="V18" s="499"/>
    </row>
    <row r="19" spans="1:22" ht="17.25" customHeight="1">
      <c r="A19" s="14" t="s">
        <v>537</v>
      </c>
      <c r="B19" s="845">
        <f t="shared" si="1"/>
        <v>6</v>
      </c>
      <c r="C19" s="846">
        <f t="shared" si="2"/>
        <v>6</v>
      </c>
      <c r="D19" s="1109" t="s">
        <v>1240</v>
      </c>
      <c r="E19" s="1109">
        <v>6</v>
      </c>
      <c r="F19" s="1111" t="s">
        <v>1240</v>
      </c>
      <c r="G19" s="1109" t="s">
        <v>1240</v>
      </c>
      <c r="H19" s="1111" t="s">
        <v>1240</v>
      </c>
      <c r="I19" s="1111" t="s">
        <v>1240</v>
      </c>
      <c r="J19" s="1111" t="s">
        <v>1240</v>
      </c>
      <c r="K19" s="499"/>
      <c r="L19" s="499"/>
      <c r="M19" s="499"/>
      <c r="N19" s="499"/>
      <c r="O19" s="499"/>
      <c r="P19" s="499"/>
      <c r="Q19" s="499"/>
      <c r="R19" s="499"/>
      <c r="S19" s="499"/>
      <c r="T19" s="499"/>
      <c r="U19" s="499"/>
      <c r="V19" s="499"/>
    </row>
    <row r="20" spans="1:22" ht="17.25" customHeight="1">
      <c r="A20" s="14" t="s">
        <v>538</v>
      </c>
      <c r="B20" s="845">
        <f t="shared" si="1"/>
        <v>49</v>
      </c>
      <c r="C20" s="846">
        <f t="shared" si="2"/>
        <v>41</v>
      </c>
      <c r="D20" s="1109">
        <v>19</v>
      </c>
      <c r="E20" s="1109">
        <v>22</v>
      </c>
      <c r="F20" s="1109">
        <v>2</v>
      </c>
      <c r="G20" s="1109">
        <v>1</v>
      </c>
      <c r="H20" s="1111">
        <v>3</v>
      </c>
      <c r="I20" s="1111">
        <v>1</v>
      </c>
      <c r="J20" s="1111">
        <v>1</v>
      </c>
      <c r="K20" s="499"/>
      <c r="L20" s="499"/>
      <c r="M20" s="499"/>
      <c r="N20" s="499"/>
      <c r="O20" s="499"/>
      <c r="P20" s="499"/>
      <c r="Q20" s="499"/>
      <c r="R20" s="499"/>
      <c r="S20" s="499"/>
      <c r="T20" s="499"/>
      <c r="U20" s="499"/>
      <c r="V20" s="499"/>
    </row>
    <row r="21" spans="1:22" ht="17.25" customHeight="1">
      <c r="A21" s="14" t="s">
        <v>539</v>
      </c>
      <c r="B21" s="845">
        <f t="shared" si="1"/>
        <v>6</v>
      </c>
      <c r="C21" s="846">
        <f t="shared" si="2"/>
        <v>6</v>
      </c>
      <c r="D21" s="1109">
        <v>4</v>
      </c>
      <c r="E21" s="1109">
        <v>2</v>
      </c>
      <c r="F21" s="1109" t="s">
        <v>1240</v>
      </c>
      <c r="G21" s="1109" t="s">
        <v>1240</v>
      </c>
      <c r="H21" s="1111" t="s">
        <v>1240</v>
      </c>
      <c r="I21" s="1111" t="s">
        <v>1240</v>
      </c>
      <c r="J21" s="1111" t="s">
        <v>1240</v>
      </c>
      <c r="K21" s="499"/>
      <c r="L21" s="499"/>
      <c r="M21" s="499"/>
      <c r="N21" s="499"/>
      <c r="O21" s="499"/>
      <c r="P21" s="499"/>
      <c r="Q21" s="499"/>
      <c r="R21" s="499"/>
      <c r="S21" s="499"/>
      <c r="T21" s="499"/>
      <c r="U21" s="499"/>
      <c r="V21" s="499"/>
    </row>
    <row r="22" spans="1:22" ht="17.25" customHeight="1">
      <c r="A22" s="14" t="s">
        <v>540</v>
      </c>
      <c r="B22" s="845">
        <f t="shared" si="1"/>
        <v>5</v>
      </c>
      <c r="C22" s="846">
        <f t="shared" si="2"/>
        <v>5</v>
      </c>
      <c r="D22" s="1109">
        <v>2</v>
      </c>
      <c r="E22" s="1109">
        <v>3</v>
      </c>
      <c r="F22" s="1109" t="s">
        <v>1240</v>
      </c>
      <c r="G22" s="1109" t="s">
        <v>1240</v>
      </c>
      <c r="H22" s="1111" t="s">
        <v>1240</v>
      </c>
      <c r="I22" s="1111" t="s">
        <v>1240</v>
      </c>
      <c r="J22" s="1111" t="s">
        <v>1240</v>
      </c>
      <c r="K22" s="499"/>
      <c r="L22" s="499"/>
      <c r="M22" s="499"/>
      <c r="N22" s="499"/>
      <c r="O22" s="499"/>
      <c r="P22" s="499"/>
      <c r="Q22" s="499"/>
      <c r="R22" s="499"/>
      <c r="S22" s="499"/>
      <c r="T22" s="499"/>
      <c r="U22" s="499"/>
      <c r="V22" s="499"/>
    </row>
    <row r="23" spans="1:22" ht="17.25" customHeight="1">
      <c r="A23" s="14" t="s">
        <v>541</v>
      </c>
      <c r="B23" s="845">
        <f t="shared" si="1"/>
        <v>2</v>
      </c>
      <c r="C23" s="846">
        <f t="shared" si="2"/>
        <v>1</v>
      </c>
      <c r="D23" s="1109">
        <v>1</v>
      </c>
      <c r="E23" s="1109" t="s">
        <v>1240</v>
      </c>
      <c r="F23" s="1109">
        <v>1</v>
      </c>
      <c r="G23" s="1109" t="s">
        <v>1240</v>
      </c>
      <c r="H23" s="1111" t="s">
        <v>1240</v>
      </c>
      <c r="I23" s="1111" t="s">
        <v>1240</v>
      </c>
      <c r="J23" s="1111" t="s">
        <v>1240</v>
      </c>
      <c r="K23" s="499"/>
      <c r="L23" s="499"/>
      <c r="M23" s="499"/>
      <c r="N23" s="499"/>
      <c r="O23" s="499"/>
      <c r="P23" s="499"/>
      <c r="Q23" s="499"/>
      <c r="R23" s="499"/>
      <c r="S23" s="499"/>
      <c r="T23" s="499"/>
      <c r="U23" s="499"/>
      <c r="V23" s="499"/>
    </row>
    <row r="24" spans="1:22" ht="17.25" customHeight="1">
      <c r="A24" s="14" t="s">
        <v>542</v>
      </c>
      <c r="B24" s="845">
        <f t="shared" si="1"/>
        <v>87</v>
      </c>
      <c r="C24" s="846">
        <f t="shared" si="2"/>
        <v>29</v>
      </c>
      <c r="D24" s="1109">
        <v>28</v>
      </c>
      <c r="E24" s="1109">
        <v>1</v>
      </c>
      <c r="F24" s="1109">
        <v>1</v>
      </c>
      <c r="G24" s="1109">
        <v>6</v>
      </c>
      <c r="H24" s="1111">
        <v>35</v>
      </c>
      <c r="I24" s="1111">
        <v>4</v>
      </c>
      <c r="J24" s="1111">
        <v>12</v>
      </c>
      <c r="K24" s="499"/>
      <c r="L24" s="499"/>
      <c r="M24" s="499"/>
      <c r="N24" s="499"/>
      <c r="O24" s="499"/>
      <c r="P24" s="499"/>
      <c r="Q24" s="499"/>
      <c r="R24" s="499"/>
      <c r="S24" s="499"/>
      <c r="T24" s="499"/>
      <c r="U24" s="499"/>
      <c r="V24" s="499"/>
    </row>
    <row r="25" spans="1:22" ht="17.25" customHeight="1">
      <c r="A25" s="14" t="s">
        <v>543</v>
      </c>
      <c r="B25" s="845">
        <f t="shared" si="1"/>
        <v>28</v>
      </c>
      <c r="C25" s="846">
        <f t="shared" si="2"/>
        <v>0</v>
      </c>
      <c r="D25" s="1109" t="s">
        <v>1240</v>
      </c>
      <c r="E25" s="1109" t="s">
        <v>1240</v>
      </c>
      <c r="F25" s="1109" t="s">
        <v>1240</v>
      </c>
      <c r="G25" s="1109">
        <v>2</v>
      </c>
      <c r="H25" s="1111">
        <v>21</v>
      </c>
      <c r="I25" s="1111">
        <v>2</v>
      </c>
      <c r="J25" s="1111">
        <v>3</v>
      </c>
      <c r="K25" s="499"/>
      <c r="L25" s="499"/>
      <c r="M25" s="499"/>
      <c r="N25" s="499"/>
      <c r="O25" s="499"/>
      <c r="P25" s="499"/>
      <c r="Q25" s="499"/>
      <c r="R25" s="499"/>
      <c r="S25" s="499"/>
      <c r="T25" s="499"/>
      <c r="U25" s="499"/>
      <c r="V25" s="499"/>
    </row>
    <row r="26" spans="1:22" ht="17.25" customHeight="1">
      <c r="A26" s="14" t="s">
        <v>544</v>
      </c>
      <c r="B26" s="845">
        <f t="shared" si="1"/>
        <v>62</v>
      </c>
      <c r="C26" s="846">
        <f t="shared" si="2"/>
        <v>12</v>
      </c>
      <c r="D26" s="1109">
        <v>10</v>
      </c>
      <c r="E26" s="1109">
        <v>2</v>
      </c>
      <c r="F26" s="1109">
        <v>1</v>
      </c>
      <c r="G26" s="1109">
        <v>3</v>
      </c>
      <c r="H26" s="1111">
        <v>42</v>
      </c>
      <c r="I26" s="1111">
        <v>2</v>
      </c>
      <c r="J26" s="1111">
        <v>2</v>
      </c>
      <c r="K26" s="499"/>
      <c r="L26" s="499"/>
      <c r="M26" s="499"/>
      <c r="N26" s="499"/>
      <c r="O26" s="499"/>
      <c r="P26" s="499"/>
      <c r="Q26" s="499"/>
      <c r="R26" s="499"/>
      <c r="S26" s="499"/>
      <c r="T26" s="499"/>
      <c r="U26" s="499"/>
      <c r="V26" s="499"/>
    </row>
    <row r="27" spans="1:22" ht="17.25" customHeight="1">
      <c r="A27" s="14" t="s">
        <v>545</v>
      </c>
      <c r="B27" s="845">
        <f t="shared" si="1"/>
        <v>68</v>
      </c>
      <c r="C27" s="846">
        <f t="shared" si="2"/>
        <v>1</v>
      </c>
      <c r="D27" s="1109">
        <v>1</v>
      </c>
      <c r="E27" s="1109" t="s">
        <v>1240</v>
      </c>
      <c r="F27" s="1109">
        <v>1</v>
      </c>
      <c r="G27" s="1109">
        <v>5</v>
      </c>
      <c r="H27" s="1111">
        <v>59</v>
      </c>
      <c r="I27" s="1111">
        <v>2</v>
      </c>
      <c r="J27" s="1111">
        <v>0</v>
      </c>
      <c r="K27" s="499"/>
      <c r="L27" s="499"/>
      <c r="M27" s="499"/>
      <c r="N27" s="499"/>
      <c r="O27" s="499"/>
      <c r="P27" s="499"/>
      <c r="Q27" s="499"/>
      <c r="R27" s="499"/>
      <c r="S27" s="499"/>
      <c r="T27" s="499"/>
      <c r="U27" s="499"/>
      <c r="V27" s="499"/>
    </row>
    <row r="28" spans="1:22" ht="17.25" customHeight="1">
      <c r="A28" s="14" t="s">
        <v>546</v>
      </c>
      <c r="B28" s="845">
        <f t="shared" si="1"/>
        <v>82</v>
      </c>
      <c r="C28" s="846">
        <f t="shared" si="2"/>
        <v>36</v>
      </c>
      <c r="D28" s="1109">
        <v>36</v>
      </c>
      <c r="E28" s="1109" t="s">
        <v>1240</v>
      </c>
      <c r="F28" s="1109" t="s">
        <v>1240</v>
      </c>
      <c r="G28" s="1109">
        <v>4</v>
      </c>
      <c r="H28" s="1111">
        <v>27</v>
      </c>
      <c r="I28" s="1111">
        <v>4</v>
      </c>
      <c r="J28" s="1111">
        <v>11</v>
      </c>
      <c r="K28" s="499"/>
      <c r="L28" s="499"/>
      <c r="M28" s="499"/>
      <c r="N28" s="499"/>
      <c r="O28" s="499"/>
      <c r="P28" s="499"/>
      <c r="Q28" s="499"/>
      <c r="R28" s="499"/>
      <c r="S28" s="499"/>
      <c r="T28" s="499"/>
      <c r="U28" s="499"/>
      <c r="V28" s="499"/>
    </row>
    <row r="29" spans="1:22" ht="17.25" customHeight="1">
      <c r="A29" s="14" t="s">
        <v>547</v>
      </c>
      <c r="B29" s="845">
        <f t="shared" si="1"/>
        <v>116</v>
      </c>
      <c r="C29" s="846">
        <f t="shared" si="2"/>
        <v>5</v>
      </c>
      <c r="D29" s="1109">
        <v>4</v>
      </c>
      <c r="E29" s="1109">
        <v>1</v>
      </c>
      <c r="F29" s="1109">
        <v>2</v>
      </c>
      <c r="G29" s="1109">
        <v>3</v>
      </c>
      <c r="H29" s="1111">
        <v>93</v>
      </c>
      <c r="I29" s="1111">
        <v>7</v>
      </c>
      <c r="J29" s="1111">
        <v>6</v>
      </c>
      <c r="K29" s="499"/>
      <c r="L29" s="499"/>
      <c r="M29" s="499"/>
      <c r="N29" s="499"/>
      <c r="O29" s="499"/>
      <c r="P29" s="499"/>
      <c r="Q29" s="499"/>
      <c r="R29" s="499"/>
      <c r="S29" s="499"/>
      <c r="T29" s="499"/>
      <c r="U29" s="499"/>
      <c r="V29" s="499"/>
    </row>
    <row r="30" spans="1:22" ht="17.25" customHeight="1">
      <c r="A30" s="14" t="s">
        <v>548</v>
      </c>
      <c r="B30" s="845">
        <f t="shared" si="1"/>
        <v>65</v>
      </c>
      <c r="C30" s="846">
        <f t="shared" si="2"/>
        <v>1</v>
      </c>
      <c r="D30" s="1109">
        <v>1</v>
      </c>
      <c r="E30" s="1109" t="s">
        <v>1240</v>
      </c>
      <c r="F30" s="1109" t="s">
        <v>1240</v>
      </c>
      <c r="G30" s="1109">
        <v>4</v>
      </c>
      <c r="H30" s="1111">
        <v>47</v>
      </c>
      <c r="I30" s="1111">
        <v>9</v>
      </c>
      <c r="J30" s="1111">
        <v>4</v>
      </c>
      <c r="K30" s="499"/>
      <c r="L30" s="499"/>
      <c r="M30" s="499"/>
      <c r="N30" s="499"/>
      <c r="O30" s="499"/>
      <c r="P30" s="499"/>
      <c r="Q30" s="499"/>
      <c r="R30" s="499"/>
      <c r="S30" s="499"/>
      <c r="T30" s="499"/>
      <c r="U30" s="499"/>
      <c r="V30" s="499"/>
    </row>
    <row r="31" spans="1:22" ht="17.25" customHeight="1">
      <c r="A31" s="14" t="s">
        <v>549</v>
      </c>
      <c r="B31" s="845">
        <f t="shared" si="1"/>
        <v>91</v>
      </c>
      <c r="C31" s="846">
        <f t="shared" si="2"/>
        <v>3</v>
      </c>
      <c r="D31" s="1109">
        <v>3</v>
      </c>
      <c r="E31" s="1109" t="s">
        <v>1240</v>
      </c>
      <c r="F31" s="1109" t="s">
        <v>1240</v>
      </c>
      <c r="G31" s="1109">
        <v>5</v>
      </c>
      <c r="H31" s="1111">
        <v>72</v>
      </c>
      <c r="I31" s="1111">
        <v>6</v>
      </c>
      <c r="J31" s="1111">
        <v>5</v>
      </c>
      <c r="K31" s="499"/>
      <c r="L31" s="499"/>
      <c r="M31" s="499"/>
      <c r="N31" s="499"/>
      <c r="O31" s="499"/>
      <c r="P31" s="499"/>
      <c r="Q31" s="499"/>
      <c r="R31" s="499"/>
      <c r="S31" s="499"/>
      <c r="T31" s="499"/>
      <c r="U31" s="499"/>
      <c r="V31" s="499"/>
    </row>
    <row r="32" spans="1:22" ht="17.25" customHeight="1">
      <c r="A32" s="14" t="s">
        <v>550</v>
      </c>
      <c r="B32" s="845">
        <f t="shared" si="1"/>
        <v>62</v>
      </c>
      <c r="C32" s="846">
        <f t="shared" si="2"/>
        <v>19</v>
      </c>
      <c r="D32" s="1109">
        <v>19</v>
      </c>
      <c r="E32" s="1109" t="s">
        <v>1240</v>
      </c>
      <c r="F32" s="1109" t="s">
        <v>1240</v>
      </c>
      <c r="G32" s="1109">
        <v>4</v>
      </c>
      <c r="H32" s="1111">
        <v>25</v>
      </c>
      <c r="I32" s="1111">
        <v>6</v>
      </c>
      <c r="J32" s="1111">
        <v>8</v>
      </c>
      <c r="K32" s="499"/>
      <c r="L32" s="499"/>
      <c r="M32" s="499"/>
      <c r="N32" s="499"/>
      <c r="O32" s="499"/>
      <c r="P32" s="499"/>
      <c r="Q32" s="499"/>
      <c r="R32" s="499"/>
      <c r="S32" s="499"/>
      <c r="T32" s="499"/>
      <c r="U32" s="499"/>
      <c r="V32" s="499"/>
    </row>
    <row r="33" spans="1:22" ht="17.25" customHeight="1">
      <c r="A33" s="14" t="s">
        <v>551</v>
      </c>
      <c r="B33" s="845">
        <f t="shared" si="1"/>
        <v>87</v>
      </c>
      <c r="C33" s="846">
        <f t="shared" si="2"/>
        <v>17</v>
      </c>
      <c r="D33" s="1109">
        <v>16</v>
      </c>
      <c r="E33" s="1109">
        <v>1</v>
      </c>
      <c r="F33" s="1109">
        <v>1</v>
      </c>
      <c r="G33" s="1109">
        <v>5</v>
      </c>
      <c r="H33" s="1111">
        <v>52</v>
      </c>
      <c r="I33" s="1111">
        <v>9</v>
      </c>
      <c r="J33" s="1111">
        <v>3</v>
      </c>
      <c r="K33" s="499"/>
      <c r="L33" s="499"/>
      <c r="M33" s="499"/>
      <c r="N33" s="499"/>
      <c r="O33" s="499"/>
      <c r="P33" s="499"/>
      <c r="Q33" s="499"/>
      <c r="R33" s="499"/>
      <c r="S33" s="499"/>
      <c r="T33" s="499"/>
      <c r="U33" s="499"/>
      <c r="V33" s="499"/>
    </row>
    <row r="34" spans="1:22" ht="17.25" customHeight="1">
      <c r="A34" s="14" t="s">
        <v>552</v>
      </c>
      <c r="B34" s="845">
        <f t="shared" si="1"/>
        <v>51</v>
      </c>
      <c r="C34" s="846">
        <f t="shared" si="2"/>
        <v>0</v>
      </c>
      <c r="D34" s="1109" t="s">
        <v>1240</v>
      </c>
      <c r="E34" s="1109" t="s">
        <v>1240</v>
      </c>
      <c r="F34" s="1109">
        <v>1</v>
      </c>
      <c r="G34" s="1109">
        <v>5</v>
      </c>
      <c r="H34" s="1111">
        <v>40</v>
      </c>
      <c r="I34" s="1111">
        <v>3</v>
      </c>
      <c r="J34" s="1111">
        <v>2</v>
      </c>
      <c r="K34" s="499"/>
      <c r="L34" s="499"/>
      <c r="M34" s="499"/>
      <c r="N34" s="499"/>
      <c r="O34" s="499"/>
      <c r="P34" s="499"/>
      <c r="Q34" s="499"/>
      <c r="R34" s="499"/>
      <c r="S34" s="499"/>
      <c r="T34" s="499"/>
      <c r="U34" s="499"/>
      <c r="V34" s="499"/>
    </row>
    <row r="35" spans="1:22" ht="17.25" customHeight="1">
      <c r="A35" s="14" t="s">
        <v>553</v>
      </c>
      <c r="B35" s="845">
        <f t="shared" si="1"/>
        <v>199</v>
      </c>
      <c r="C35" s="846">
        <f t="shared" si="2"/>
        <v>0</v>
      </c>
      <c r="D35" s="1112" t="s">
        <v>1240</v>
      </c>
      <c r="E35" s="1112" t="s">
        <v>1240</v>
      </c>
      <c r="F35" s="1112">
        <v>1</v>
      </c>
      <c r="G35" s="1112">
        <v>10</v>
      </c>
      <c r="H35" s="1111">
        <v>162</v>
      </c>
      <c r="I35" s="1111">
        <v>18</v>
      </c>
      <c r="J35" s="1111">
        <v>8</v>
      </c>
      <c r="K35" s="499"/>
      <c r="L35" s="499"/>
      <c r="M35" s="499"/>
      <c r="N35" s="499"/>
      <c r="O35" s="499"/>
      <c r="P35" s="499"/>
      <c r="Q35" s="499"/>
      <c r="R35" s="499"/>
      <c r="S35" s="499"/>
      <c r="T35" s="499"/>
      <c r="U35" s="499"/>
      <c r="V35" s="499"/>
    </row>
    <row r="36" spans="1:22" ht="17.25" customHeight="1">
      <c r="A36" s="14" t="s">
        <v>554</v>
      </c>
      <c r="B36" s="845">
        <f t="shared" si="1"/>
        <v>299</v>
      </c>
      <c r="C36" s="846">
        <f t="shared" si="2"/>
        <v>26</v>
      </c>
      <c r="D36" s="1111">
        <v>25</v>
      </c>
      <c r="E36" s="1111">
        <v>1</v>
      </c>
      <c r="F36" s="1111">
        <v>4</v>
      </c>
      <c r="G36" s="1111">
        <v>12</v>
      </c>
      <c r="H36" s="1111">
        <v>230</v>
      </c>
      <c r="I36" s="1111">
        <v>20</v>
      </c>
      <c r="J36" s="1111">
        <v>7</v>
      </c>
      <c r="K36" s="499"/>
      <c r="L36" s="499"/>
      <c r="M36" s="499"/>
      <c r="N36" s="499"/>
      <c r="O36" s="499"/>
      <c r="P36" s="499"/>
      <c r="Q36" s="499"/>
      <c r="R36" s="499"/>
      <c r="S36" s="499"/>
      <c r="T36" s="499"/>
      <c r="U36" s="499"/>
      <c r="V36" s="499"/>
    </row>
    <row r="37" spans="1:22" ht="17.25" customHeight="1">
      <c r="A37" s="14" t="s">
        <v>555</v>
      </c>
      <c r="B37" s="845">
        <f t="shared" si="1"/>
        <v>177</v>
      </c>
      <c r="C37" s="846">
        <f t="shared" si="2"/>
        <v>19</v>
      </c>
      <c r="D37" s="1111">
        <v>18</v>
      </c>
      <c r="E37" s="1111">
        <v>1</v>
      </c>
      <c r="F37" s="1111">
        <v>4</v>
      </c>
      <c r="G37" s="1111">
        <v>4</v>
      </c>
      <c r="H37" s="1111">
        <v>130</v>
      </c>
      <c r="I37" s="1111">
        <v>6</v>
      </c>
      <c r="J37" s="1111">
        <v>14</v>
      </c>
      <c r="K37" s="499"/>
      <c r="L37" s="499"/>
      <c r="M37" s="499"/>
      <c r="N37" s="499"/>
      <c r="O37" s="499"/>
      <c r="P37" s="499"/>
      <c r="Q37" s="499"/>
      <c r="R37" s="499"/>
      <c r="S37" s="499"/>
      <c r="T37" s="499"/>
      <c r="U37" s="499"/>
      <c r="V37" s="499"/>
    </row>
    <row r="38" spans="1:22" ht="17.25" customHeight="1" thickBot="1">
      <c r="A38" s="500" t="s">
        <v>556</v>
      </c>
      <c r="B38" s="847">
        <f t="shared" si="1"/>
        <v>83</v>
      </c>
      <c r="C38" s="1174">
        <f t="shared" si="2"/>
        <v>5</v>
      </c>
      <c r="D38" s="1175">
        <v>5</v>
      </c>
      <c r="E38" s="1175">
        <v>0</v>
      </c>
      <c r="F38" s="1175">
        <v>1</v>
      </c>
      <c r="G38" s="1175">
        <v>4</v>
      </c>
      <c r="H38" s="1175">
        <v>64</v>
      </c>
      <c r="I38" s="1175">
        <v>6</v>
      </c>
      <c r="J38" s="1175">
        <v>3</v>
      </c>
      <c r="K38" s="499"/>
      <c r="L38" s="499"/>
      <c r="M38" s="499"/>
      <c r="N38" s="499"/>
      <c r="O38" s="499"/>
      <c r="P38" s="499"/>
      <c r="Q38" s="499"/>
      <c r="R38" s="499"/>
      <c r="S38" s="499"/>
      <c r="T38" s="499"/>
      <c r="U38" s="499"/>
      <c r="V38" s="499"/>
    </row>
    <row r="39" spans="1:22" ht="15.75" customHeight="1">
      <c r="A39" s="1390" t="s">
        <v>1733</v>
      </c>
      <c r="B39" s="1390"/>
      <c r="C39" s="1390"/>
      <c r="D39" s="1390"/>
      <c r="E39" s="1390"/>
      <c r="F39" s="1390"/>
      <c r="G39" s="1390"/>
      <c r="H39" s="1390"/>
      <c r="I39" s="1390"/>
      <c r="J39" s="490"/>
      <c r="K39" s="501"/>
      <c r="L39" s="501"/>
      <c r="M39" s="501"/>
      <c r="N39" s="501"/>
      <c r="O39" s="501"/>
      <c r="P39" s="501"/>
    </row>
    <row r="40" spans="1:22" ht="15.75" customHeight="1">
      <c r="A40" s="9" t="s">
        <v>1791</v>
      </c>
      <c r="B40" s="502"/>
      <c r="C40" s="502"/>
      <c r="D40" s="502"/>
      <c r="E40" s="502"/>
      <c r="F40" s="502"/>
      <c r="G40" s="502"/>
      <c r="H40" s="502"/>
      <c r="I40" s="502"/>
      <c r="J40" s="490"/>
      <c r="K40" s="501"/>
      <c r="L40" s="501"/>
      <c r="M40" s="501"/>
      <c r="N40" s="501"/>
      <c r="O40" s="501"/>
      <c r="P40" s="501"/>
    </row>
    <row r="41" spans="1:22">
      <c r="A41" s="1391" t="s">
        <v>1767</v>
      </c>
      <c r="B41" s="1391"/>
      <c r="C41" s="1391"/>
      <c r="D41" s="1391"/>
      <c r="E41" s="1391"/>
      <c r="F41" s="1391"/>
      <c r="G41" s="1391"/>
      <c r="H41" s="1391"/>
      <c r="I41" s="1391"/>
      <c r="J41" s="1391"/>
    </row>
  </sheetData>
  <sheetProtection selectLockedCells="1"/>
  <mergeCells count="6">
    <mergeCell ref="A39:I39"/>
    <mergeCell ref="A41:J41"/>
    <mergeCell ref="A1:H1"/>
    <mergeCell ref="A2:K2"/>
    <mergeCell ref="A3:K3"/>
    <mergeCell ref="C6:E6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97" pageOrder="overThenDown" orientation="portrait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81BD"/>
    <outlinePr summaryBelow="0" summaryRight="0"/>
  </sheetPr>
  <dimension ref="A1:K36"/>
  <sheetViews>
    <sheetView view="pageBreakPreview" zoomScaleNormal="100" zoomScaleSheetLayoutView="100" workbookViewId="0">
      <selection activeCell="C22" sqref="C22"/>
    </sheetView>
  </sheetViews>
  <sheetFormatPr defaultColWidth="9" defaultRowHeight="12" outlineLevelRow="1"/>
  <cols>
    <col min="1" max="1" width="9.875" style="390" customWidth="1"/>
    <col min="2" max="2" width="10.5" style="390" customWidth="1"/>
    <col min="3" max="4" width="12.625" style="390" customWidth="1"/>
    <col min="5" max="5" width="9.375" style="390" customWidth="1"/>
    <col min="6" max="6" width="12.625" style="390" customWidth="1"/>
    <col min="7" max="7" width="9.375" style="390" customWidth="1"/>
    <col min="8" max="8" width="12.625" style="390" customWidth="1"/>
    <col min="9" max="9" width="8.625" style="390" customWidth="1"/>
    <col min="10" max="10" width="10" style="390" customWidth="1"/>
    <col min="11" max="11" width="8.375" style="390" customWidth="1"/>
    <col min="12" max="16384" width="9" style="390"/>
  </cols>
  <sheetData>
    <row r="1" spans="1:11" s="348" customFormat="1" ht="24.95" customHeight="1">
      <c r="A1" s="16" t="s">
        <v>1576</v>
      </c>
      <c r="B1" s="16"/>
      <c r="C1" s="16"/>
      <c r="D1" s="16"/>
      <c r="E1" s="16"/>
      <c r="F1" s="16"/>
      <c r="G1" s="16"/>
      <c r="H1" s="16"/>
      <c r="I1" s="16"/>
      <c r="J1" s="16" t="s">
        <v>824</v>
      </c>
    </row>
    <row r="2" spans="1:11" s="385" customFormat="1" ht="24.95" customHeight="1">
      <c r="A2" s="1396" t="s">
        <v>825</v>
      </c>
      <c r="B2" s="1396"/>
      <c r="C2" s="1396"/>
      <c r="D2" s="1396"/>
      <c r="E2" s="1396"/>
      <c r="F2" s="1396"/>
      <c r="G2" s="1396"/>
      <c r="H2" s="1396"/>
      <c r="I2" s="1396"/>
      <c r="J2" s="1396"/>
      <c r="K2" s="349"/>
    </row>
    <row r="3" spans="1:11" s="18" customFormat="1" ht="24.95" customHeight="1">
      <c r="A3" s="1398" t="s">
        <v>1057</v>
      </c>
      <c r="B3" s="1398"/>
      <c r="C3" s="1398"/>
      <c r="D3" s="1398"/>
      <c r="E3" s="1398"/>
      <c r="F3" s="1398"/>
      <c r="G3" s="1398"/>
      <c r="H3" s="1398"/>
      <c r="I3" s="1398"/>
      <c r="J3" s="1398"/>
    </row>
    <row r="4" spans="1:11" s="18" customFormat="1" ht="9.9499999999999993" customHeight="1">
      <c r="A4" s="793"/>
      <c r="B4" s="793"/>
      <c r="C4" s="793"/>
      <c r="D4" s="793"/>
      <c r="E4" s="793"/>
      <c r="F4" s="793"/>
      <c r="G4" s="793"/>
      <c r="H4" s="793"/>
      <c r="I4" s="793"/>
      <c r="J4" s="793"/>
    </row>
    <row r="5" spans="1:11" s="6" customFormat="1" ht="15" customHeight="1" thickBot="1">
      <c r="A5" s="48" t="s">
        <v>0</v>
      </c>
      <c r="D5" s="22"/>
      <c r="K5" s="387" t="s">
        <v>1021</v>
      </c>
    </row>
    <row r="6" spans="1:11" s="7" customFormat="1" ht="31.5" customHeight="1">
      <c r="A6" s="462" t="s">
        <v>892</v>
      </c>
      <c r="B6" s="463" t="s">
        <v>1425</v>
      </c>
      <c r="C6" s="464" t="s">
        <v>1426</v>
      </c>
      <c r="D6" s="465" t="s">
        <v>893</v>
      </c>
      <c r="E6" s="466" t="s">
        <v>282</v>
      </c>
      <c r="F6" s="465" t="s">
        <v>1222</v>
      </c>
      <c r="G6" s="466" t="s">
        <v>475</v>
      </c>
      <c r="H6" s="467" t="s">
        <v>894</v>
      </c>
      <c r="I6" s="466" t="s">
        <v>478</v>
      </c>
      <c r="J6" s="468" t="s">
        <v>480</v>
      </c>
      <c r="K6" s="469" t="s">
        <v>1221</v>
      </c>
    </row>
    <row r="7" spans="1:11" s="7" customFormat="1" ht="21" customHeight="1">
      <c r="A7" s="420"/>
      <c r="B7" s="445" t="s">
        <v>471</v>
      </c>
      <c r="C7" s="443" t="s">
        <v>472</v>
      </c>
      <c r="D7" s="419" t="s">
        <v>1056</v>
      </c>
      <c r="E7" s="443" t="s">
        <v>473</v>
      </c>
      <c r="F7" s="419" t="s">
        <v>474</v>
      </c>
      <c r="G7" s="443" t="s">
        <v>476</v>
      </c>
      <c r="H7" s="419" t="s">
        <v>477</v>
      </c>
      <c r="I7" s="443" t="s">
        <v>479</v>
      </c>
      <c r="J7" s="419" t="s">
        <v>481</v>
      </c>
      <c r="K7" s="470" t="s">
        <v>858</v>
      </c>
    </row>
    <row r="8" spans="1:11" s="8" customFormat="1" ht="20.85" customHeight="1">
      <c r="A8" s="15">
        <v>2019</v>
      </c>
      <c r="B8" s="471">
        <v>1346</v>
      </c>
      <c r="C8" s="472">
        <v>10805</v>
      </c>
      <c r="D8" s="473">
        <v>2369</v>
      </c>
      <c r="E8" s="472">
        <v>908</v>
      </c>
      <c r="F8" s="472">
        <v>1912</v>
      </c>
      <c r="G8" s="472">
        <v>10790</v>
      </c>
      <c r="H8" s="472">
        <v>6298</v>
      </c>
      <c r="I8" s="472">
        <v>3939</v>
      </c>
      <c r="J8" s="472">
        <v>7283</v>
      </c>
      <c r="K8" s="474">
        <v>0</v>
      </c>
    </row>
    <row r="9" spans="1:11" s="8" customFormat="1" ht="21" customHeight="1">
      <c r="A9" s="15">
        <v>2020</v>
      </c>
      <c r="B9" s="471">
        <v>882</v>
      </c>
      <c r="C9" s="472">
        <v>9692</v>
      </c>
      <c r="D9" s="473">
        <v>2190</v>
      </c>
      <c r="E9" s="472">
        <v>512</v>
      </c>
      <c r="F9" s="472">
        <v>1905</v>
      </c>
      <c r="G9" s="472">
        <v>16338</v>
      </c>
      <c r="H9" s="472">
        <v>6079</v>
      </c>
      <c r="I9" s="472">
        <v>3623</v>
      </c>
      <c r="J9" s="472">
        <v>9017</v>
      </c>
      <c r="K9" s="474" t="s">
        <v>792</v>
      </c>
    </row>
    <row r="10" spans="1:11" s="8" customFormat="1" ht="21.95" customHeight="1">
      <c r="A10" s="15">
        <v>2021</v>
      </c>
      <c r="B10" s="475">
        <v>883</v>
      </c>
      <c r="C10" s="473">
        <v>10152</v>
      </c>
      <c r="D10" s="473">
        <v>2020</v>
      </c>
      <c r="E10" s="473">
        <v>286</v>
      </c>
      <c r="F10" s="473">
        <v>1857</v>
      </c>
      <c r="G10" s="473">
        <v>10365</v>
      </c>
      <c r="H10" s="473">
        <v>4438</v>
      </c>
      <c r="I10" s="473">
        <v>3269</v>
      </c>
      <c r="J10" s="473">
        <v>8779</v>
      </c>
      <c r="K10" s="476">
        <v>0</v>
      </c>
    </row>
    <row r="11" spans="1:11" s="8" customFormat="1" ht="21.95" customHeight="1">
      <c r="A11" s="15">
        <v>2022</v>
      </c>
      <c r="B11" s="475">
        <v>708</v>
      </c>
      <c r="C11" s="473">
        <v>9007</v>
      </c>
      <c r="D11" s="473">
        <v>1694</v>
      </c>
      <c r="E11" s="473">
        <v>243</v>
      </c>
      <c r="F11" s="473">
        <v>1915</v>
      </c>
      <c r="G11" s="473">
        <v>8692</v>
      </c>
      <c r="H11" s="473">
        <v>4352</v>
      </c>
      <c r="I11" s="473">
        <v>2529</v>
      </c>
      <c r="J11" s="473">
        <v>7959</v>
      </c>
      <c r="K11" s="476">
        <v>0</v>
      </c>
    </row>
    <row r="12" spans="1:11" s="8" customFormat="1" ht="21.95" customHeight="1">
      <c r="A12" s="15">
        <v>2023</v>
      </c>
      <c r="B12" s="475">
        <v>633</v>
      </c>
      <c r="C12" s="473">
        <v>9797</v>
      </c>
      <c r="D12" s="473">
        <v>1729</v>
      </c>
      <c r="E12" s="473">
        <v>137</v>
      </c>
      <c r="F12" s="473">
        <v>1634</v>
      </c>
      <c r="G12" s="473">
        <v>8914</v>
      </c>
      <c r="H12" s="473">
        <v>3954</v>
      </c>
      <c r="I12" s="473">
        <v>2853</v>
      </c>
      <c r="J12" s="473">
        <v>8141</v>
      </c>
      <c r="K12" s="476">
        <v>0</v>
      </c>
    </row>
    <row r="13" spans="1:11" s="8" customFormat="1" ht="21" customHeight="1" outlineLevel="1" thickBot="1">
      <c r="A13" s="359">
        <v>2024</v>
      </c>
      <c r="B13" s="477">
        <v>628</v>
      </c>
      <c r="C13" s="1113">
        <v>8945</v>
      </c>
      <c r="D13" s="1114">
        <v>1542</v>
      </c>
      <c r="E13" s="1113">
        <v>127</v>
      </c>
      <c r="F13" s="1113">
        <v>1470</v>
      </c>
      <c r="G13" s="1113">
        <v>7269</v>
      </c>
      <c r="H13" s="1113">
        <v>4908</v>
      </c>
      <c r="I13" s="1113">
        <v>2834</v>
      </c>
      <c r="J13" s="1113">
        <v>7935</v>
      </c>
      <c r="K13" s="1115">
        <v>0</v>
      </c>
    </row>
    <row r="14" spans="1:11" s="479" customFormat="1" ht="15" customHeight="1">
      <c r="A14" s="5" t="s">
        <v>1734</v>
      </c>
      <c r="B14" s="478"/>
      <c r="C14" s="478"/>
      <c r="D14" s="5"/>
      <c r="E14" s="5"/>
      <c r="F14" s="5"/>
      <c r="G14" s="5"/>
      <c r="H14" s="5"/>
      <c r="I14" s="5"/>
      <c r="J14" s="5"/>
    </row>
    <row r="15" spans="1:11" s="479" customFormat="1" ht="15" customHeight="1">
      <c r="A15" s="5" t="s">
        <v>1735</v>
      </c>
      <c r="B15" s="478"/>
      <c r="C15" s="478"/>
      <c r="D15" s="5"/>
      <c r="E15" s="5"/>
      <c r="F15" s="5"/>
      <c r="G15" s="5"/>
      <c r="H15" s="5"/>
      <c r="I15" s="5"/>
      <c r="J15" s="5"/>
    </row>
    <row r="16" spans="1:11" s="98" customFormat="1" ht="13.5">
      <c r="A16" s="1397" t="s">
        <v>1780</v>
      </c>
      <c r="B16" s="1361"/>
      <c r="C16" s="1361"/>
      <c r="D16" s="1361"/>
      <c r="E16" s="1361"/>
      <c r="F16" s="1176"/>
      <c r="G16" s="1176"/>
      <c r="H16" s="1176"/>
      <c r="I16" s="1176"/>
      <c r="J16" s="1176"/>
    </row>
    <row r="19" spans="2:3">
      <c r="B19" s="480"/>
      <c r="C19" s="480"/>
    </row>
    <row r="20" spans="2:3">
      <c r="B20" s="480"/>
      <c r="C20" s="480"/>
    </row>
    <row r="21" spans="2:3">
      <c r="B21" s="480"/>
      <c r="C21" s="480"/>
    </row>
    <row r="22" spans="2:3">
      <c r="B22" s="480"/>
      <c r="C22" s="480"/>
    </row>
    <row r="23" spans="2:3">
      <c r="B23" s="480"/>
      <c r="C23" s="480"/>
    </row>
    <row r="24" spans="2:3">
      <c r="B24" s="480"/>
      <c r="C24" s="480"/>
    </row>
    <row r="25" spans="2:3">
      <c r="B25" s="480"/>
      <c r="C25" s="480"/>
    </row>
    <row r="26" spans="2:3">
      <c r="B26" s="480"/>
      <c r="C26" s="480"/>
    </row>
    <row r="27" spans="2:3">
      <c r="B27" s="480"/>
      <c r="C27" s="480"/>
    </row>
    <row r="28" spans="2:3">
      <c r="B28" s="480"/>
      <c r="C28" s="480"/>
    </row>
    <row r="29" spans="2:3">
      <c r="B29" s="480"/>
      <c r="C29" s="480"/>
    </row>
    <row r="30" spans="2:3">
      <c r="B30" s="480"/>
      <c r="C30" s="480"/>
    </row>
    <row r="31" spans="2:3">
      <c r="B31" s="480"/>
      <c r="C31" s="480"/>
    </row>
    <row r="32" spans="2:3">
      <c r="B32" s="480"/>
      <c r="C32" s="480"/>
    </row>
    <row r="33" spans="2:3">
      <c r="B33" s="480"/>
      <c r="C33" s="480"/>
    </row>
    <row r="34" spans="2:3">
      <c r="B34" s="480"/>
      <c r="C34" s="480"/>
    </row>
    <row r="35" spans="2:3">
      <c r="B35" s="480"/>
      <c r="C35" s="480"/>
    </row>
    <row r="36" spans="2:3">
      <c r="B36" s="480"/>
      <c r="C36" s="480"/>
    </row>
  </sheetData>
  <sheetProtection selectLockedCells="1"/>
  <mergeCells count="3">
    <mergeCell ref="A2:J2"/>
    <mergeCell ref="A16:E16"/>
    <mergeCell ref="A3:J3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64" pageOrder="overThenDown" orientation="portrait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181BD"/>
    <outlinePr summaryBelow="0" summaryRight="0"/>
  </sheetPr>
  <dimension ref="A1:AR30"/>
  <sheetViews>
    <sheetView view="pageBreakPreview" zoomScaleNormal="100" zoomScaleSheetLayoutView="100" workbookViewId="0">
      <selection activeCell="A2" sqref="A2:AO2"/>
    </sheetView>
  </sheetViews>
  <sheetFormatPr defaultRowHeight="12"/>
  <cols>
    <col min="1" max="1" width="8.875" style="46" customWidth="1"/>
    <col min="2" max="7" width="5.625" style="46" customWidth="1"/>
    <col min="8" max="25" width="8.625" style="46" customWidth="1"/>
    <col min="26" max="26" width="6.125" style="46" customWidth="1"/>
    <col min="27" max="28" width="6" style="46" customWidth="1"/>
    <col min="29" max="31" width="6.75" style="46" customWidth="1"/>
    <col min="32" max="32" width="6" style="46" customWidth="1"/>
    <col min="33" max="33" width="7.25" style="46" customWidth="1"/>
    <col min="34" max="38" width="7.875" style="46" customWidth="1"/>
    <col min="39" max="39" width="6.5" style="46" customWidth="1"/>
    <col min="40" max="40" width="5.75" style="46" customWidth="1"/>
    <col min="41" max="41" width="7.875" style="46" customWidth="1"/>
    <col min="42" max="16384" width="9" style="46"/>
  </cols>
  <sheetData>
    <row r="1" spans="1:41" s="235" customFormat="1" ht="24.95" customHeight="1">
      <c r="A1" s="16" t="s">
        <v>1576</v>
      </c>
      <c r="B1" s="16"/>
      <c r="C1" s="1422"/>
      <c r="D1" s="1423"/>
      <c r="E1" s="1423"/>
      <c r="F1" s="1423"/>
      <c r="G1" s="1423"/>
      <c r="H1" s="1423"/>
      <c r="I1" s="1423"/>
      <c r="J1" s="1423"/>
      <c r="K1" s="1423"/>
      <c r="L1" s="1423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C1" s="800"/>
      <c r="AD1" s="924"/>
      <c r="AE1" s="924"/>
      <c r="AF1" s="234"/>
      <c r="AG1" s="234"/>
      <c r="AH1" s="234"/>
      <c r="AI1" s="234"/>
      <c r="AJ1" s="234"/>
      <c r="AK1" s="234"/>
      <c r="AL1" s="234"/>
      <c r="AM1" s="16" t="s">
        <v>824</v>
      </c>
      <c r="AN1" s="234"/>
      <c r="AO1" s="234"/>
    </row>
    <row r="2" spans="1:41" s="236" customFormat="1" ht="24.95" customHeight="1">
      <c r="A2" s="1410" t="s">
        <v>1266</v>
      </c>
      <c r="B2" s="1410"/>
      <c r="C2" s="1410"/>
      <c r="D2" s="1410"/>
      <c r="E2" s="1410"/>
      <c r="F2" s="1410"/>
      <c r="G2" s="1410"/>
      <c r="H2" s="1410"/>
      <c r="I2" s="1410"/>
      <c r="J2" s="1410"/>
      <c r="K2" s="1410"/>
      <c r="L2" s="1410"/>
      <c r="M2" s="1410"/>
      <c r="N2" s="1410"/>
      <c r="O2" s="1410"/>
      <c r="P2" s="1410"/>
      <c r="Q2" s="1410"/>
      <c r="R2" s="1410"/>
      <c r="S2" s="1410"/>
      <c r="T2" s="1410"/>
      <c r="U2" s="1410"/>
      <c r="V2" s="1410"/>
      <c r="W2" s="1410"/>
      <c r="X2" s="1410"/>
      <c r="Y2" s="1410"/>
      <c r="Z2" s="1410"/>
      <c r="AA2" s="1410"/>
      <c r="AB2" s="1410"/>
      <c r="AC2" s="1410"/>
      <c r="AD2" s="1410"/>
      <c r="AE2" s="1410"/>
      <c r="AF2" s="1410"/>
      <c r="AG2" s="1410"/>
      <c r="AH2" s="1410"/>
      <c r="AI2" s="1410"/>
      <c r="AJ2" s="1410"/>
      <c r="AK2" s="1410"/>
      <c r="AL2" s="1410"/>
      <c r="AM2" s="1410"/>
      <c r="AN2" s="1410"/>
      <c r="AO2" s="1410"/>
    </row>
    <row r="3" spans="1:41" s="238" customFormat="1" ht="24.95" customHeight="1">
      <c r="A3" s="1411" t="s">
        <v>1327</v>
      </c>
      <c r="B3" s="1411"/>
      <c r="C3" s="1411"/>
      <c r="D3" s="1411"/>
      <c r="E3" s="1411"/>
      <c r="F3" s="1411"/>
      <c r="G3" s="1411"/>
      <c r="H3" s="1411"/>
      <c r="I3" s="1411"/>
      <c r="J3" s="1411"/>
      <c r="K3" s="1411"/>
      <c r="L3" s="1411"/>
      <c r="M3" s="1411"/>
      <c r="N3" s="1411"/>
      <c r="O3" s="1411"/>
      <c r="P3" s="1411"/>
      <c r="Q3" s="1411"/>
      <c r="R3" s="1411"/>
      <c r="S3" s="1411"/>
      <c r="T3" s="1411"/>
      <c r="U3" s="1411"/>
      <c r="V3" s="1411"/>
      <c r="W3" s="1411"/>
      <c r="X3" s="1411"/>
      <c r="Y3" s="1411"/>
      <c r="Z3" s="1411"/>
      <c r="AA3" s="1411"/>
      <c r="AB3" s="1411"/>
      <c r="AC3" s="1411"/>
      <c r="AD3" s="1411"/>
      <c r="AE3" s="1411"/>
      <c r="AF3" s="1411"/>
      <c r="AG3" s="1411"/>
      <c r="AH3" s="1411"/>
      <c r="AI3" s="1411"/>
      <c r="AJ3" s="1411"/>
      <c r="AK3" s="1411"/>
      <c r="AL3" s="1411"/>
      <c r="AM3" s="1411"/>
      <c r="AN3" s="1411"/>
      <c r="AO3" s="1411"/>
    </row>
    <row r="4" spans="1:41" s="238" customFormat="1" ht="9.9499999999999993" customHeight="1">
      <c r="A4" s="237"/>
      <c r="B4" s="797"/>
      <c r="C4" s="801"/>
      <c r="D4" s="801"/>
      <c r="E4" s="801"/>
      <c r="F4" s="801"/>
      <c r="G4" s="801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797"/>
      <c r="AA4" s="797"/>
      <c r="AB4" s="797"/>
      <c r="AC4" s="797"/>
      <c r="AD4" s="922"/>
      <c r="AE4" s="922"/>
    </row>
    <row r="5" spans="1:41" s="145" customFormat="1" ht="15" customHeight="1" thickBot="1">
      <c r="A5" s="239" t="s">
        <v>283</v>
      </c>
      <c r="B5" s="144"/>
      <c r="C5" s="144"/>
      <c r="D5" s="144"/>
      <c r="E5" s="144"/>
      <c r="F5" s="144"/>
      <c r="AO5" s="155" t="s">
        <v>895</v>
      </c>
    </row>
    <row r="6" spans="1:41" s="156" customFormat="1" ht="15" customHeight="1">
      <c r="A6" s="333" t="s">
        <v>657</v>
      </c>
      <c r="B6" s="1420" t="s">
        <v>964</v>
      </c>
      <c r="C6" s="1399"/>
      <c r="D6" s="1399"/>
      <c r="E6" s="1399"/>
      <c r="F6" s="1399"/>
      <c r="G6" s="1399"/>
      <c r="H6" s="1399"/>
      <c r="I6" s="1399"/>
      <c r="J6" s="1399"/>
      <c r="K6" s="1399"/>
      <c r="L6" s="1399"/>
      <c r="M6" s="1399"/>
      <c r="N6" s="1399"/>
      <c r="O6" s="1399"/>
      <c r="P6" s="1399"/>
      <c r="Q6" s="1399"/>
      <c r="R6" s="1399"/>
      <c r="S6" s="1399"/>
      <c r="T6" s="1399"/>
      <c r="U6" s="1399"/>
      <c r="V6" s="1399"/>
      <c r="W6" s="1399"/>
      <c r="X6" s="1399"/>
      <c r="Y6" s="1399"/>
      <c r="Z6" s="1399"/>
      <c r="AA6" s="1399"/>
      <c r="AB6" s="1399"/>
      <c r="AC6" s="1399"/>
      <c r="AD6" s="923"/>
      <c r="AE6" s="923"/>
      <c r="AF6" s="1399" t="s">
        <v>963</v>
      </c>
      <c r="AG6" s="1399"/>
      <c r="AH6" s="1399"/>
      <c r="AI6" s="1399"/>
      <c r="AJ6" s="1399"/>
      <c r="AK6" s="1399"/>
      <c r="AL6" s="1399"/>
      <c r="AM6" s="1399"/>
      <c r="AN6" s="1399"/>
      <c r="AO6" s="1399"/>
    </row>
    <row r="7" spans="1:41" s="156" customFormat="1" ht="30" customHeight="1">
      <c r="A7" s="332"/>
      <c r="B7" s="1401" t="s">
        <v>284</v>
      </c>
      <c r="C7" s="1401"/>
      <c r="D7" s="1401"/>
      <c r="E7" s="1401"/>
      <c r="F7" s="1401"/>
      <c r="G7" s="1402"/>
      <c r="H7" s="1426" t="s">
        <v>1631</v>
      </c>
      <c r="I7" s="1404"/>
      <c r="J7" s="1403" t="s">
        <v>1632</v>
      </c>
      <c r="K7" s="1404"/>
      <c r="L7" s="1403" t="s">
        <v>1633</v>
      </c>
      <c r="M7" s="1404"/>
      <c r="N7" s="1405" t="s">
        <v>1634</v>
      </c>
      <c r="O7" s="1405"/>
      <c r="P7" s="1405" t="s">
        <v>1639</v>
      </c>
      <c r="Q7" s="1405"/>
      <c r="R7" s="1405" t="s">
        <v>1641</v>
      </c>
      <c r="S7" s="1406"/>
      <c r="T7" s="1407" t="s">
        <v>1642</v>
      </c>
      <c r="U7" s="1405"/>
      <c r="V7" s="1405" t="s">
        <v>1643</v>
      </c>
      <c r="W7" s="1406"/>
      <c r="X7" s="1407" t="s">
        <v>1644</v>
      </c>
      <c r="Y7" s="1405"/>
      <c r="Z7" s="1400" t="s">
        <v>1652</v>
      </c>
      <c r="AA7" s="1400"/>
      <c r="AB7" s="1400" t="s">
        <v>896</v>
      </c>
      <c r="AC7" s="1400"/>
      <c r="AD7" s="1408" t="s">
        <v>1626</v>
      </c>
      <c r="AE7" s="1404"/>
      <c r="AF7" s="1400" t="s">
        <v>897</v>
      </c>
      <c r="AG7" s="1400"/>
      <c r="AH7" s="1400" t="s">
        <v>898</v>
      </c>
      <c r="AI7" s="1400"/>
      <c r="AJ7" s="1400" t="s">
        <v>899</v>
      </c>
      <c r="AK7" s="1400"/>
      <c r="AL7" s="1400" t="s">
        <v>900</v>
      </c>
      <c r="AM7" s="1400"/>
      <c r="AN7" s="1416" t="s">
        <v>901</v>
      </c>
      <c r="AO7" s="1416"/>
    </row>
    <row r="8" spans="1:41" s="156" customFormat="1" ht="30" customHeight="1">
      <c r="A8" s="332"/>
      <c r="B8" s="1417" t="s">
        <v>28</v>
      </c>
      <c r="C8" s="1418"/>
      <c r="D8" s="1418"/>
      <c r="E8" s="1418"/>
      <c r="F8" s="1418"/>
      <c r="G8" s="1419"/>
      <c r="H8" s="1409" t="s">
        <v>1638</v>
      </c>
      <c r="I8" s="1409"/>
      <c r="J8" s="1409" t="s">
        <v>1637</v>
      </c>
      <c r="K8" s="1409"/>
      <c r="L8" s="1409" t="s">
        <v>1636</v>
      </c>
      <c r="M8" s="1409"/>
      <c r="N8" s="1425" t="s">
        <v>1635</v>
      </c>
      <c r="O8" s="1425"/>
      <c r="P8" s="1425" t="s">
        <v>1640</v>
      </c>
      <c r="Q8" s="1425"/>
      <c r="R8" s="1409" t="s">
        <v>1645</v>
      </c>
      <c r="S8" s="1424"/>
      <c r="T8" s="1421" t="s">
        <v>1646</v>
      </c>
      <c r="U8" s="1409"/>
      <c r="V8" s="1409" t="s">
        <v>1647</v>
      </c>
      <c r="W8" s="1424"/>
      <c r="X8" s="1421" t="s">
        <v>1648</v>
      </c>
      <c r="Y8" s="1409"/>
      <c r="Z8" s="1409" t="s">
        <v>902</v>
      </c>
      <c r="AA8" s="1409"/>
      <c r="AB8" s="1409" t="s">
        <v>903</v>
      </c>
      <c r="AC8" s="1409"/>
      <c r="AD8" s="1409" t="s">
        <v>904</v>
      </c>
      <c r="AE8" s="1409"/>
      <c r="AF8" s="1409" t="s">
        <v>905</v>
      </c>
      <c r="AG8" s="1409"/>
      <c r="AH8" s="1409" t="s">
        <v>906</v>
      </c>
      <c r="AI8" s="1409"/>
      <c r="AJ8" s="1409" t="s">
        <v>907</v>
      </c>
      <c r="AK8" s="1409"/>
      <c r="AL8" s="1409" t="s">
        <v>908</v>
      </c>
      <c r="AM8" s="1409"/>
      <c r="AN8" s="1412" t="s">
        <v>909</v>
      </c>
      <c r="AO8" s="1412"/>
    </row>
    <row r="9" spans="1:41" s="156" customFormat="1" ht="15" customHeight="1">
      <c r="A9" s="332"/>
      <c r="B9" s="1413" t="s">
        <v>1235</v>
      </c>
      <c r="C9" s="1414"/>
      <c r="D9" s="1415"/>
      <c r="E9" s="1413" t="s">
        <v>914</v>
      </c>
      <c r="F9" s="1414"/>
      <c r="G9" s="1415"/>
      <c r="H9" s="908" t="s">
        <v>1627</v>
      </c>
      <c r="I9" s="908" t="s">
        <v>1628</v>
      </c>
      <c r="J9" s="908" t="s">
        <v>1627</v>
      </c>
      <c r="K9" s="908" t="s">
        <v>1628</v>
      </c>
      <c r="L9" s="908" t="s">
        <v>1627</v>
      </c>
      <c r="M9" s="908" t="s">
        <v>1628</v>
      </c>
      <c r="N9" s="908" t="s">
        <v>1627</v>
      </c>
      <c r="O9" s="908" t="s">
        <v>1628</v>
      </c>
      <c r="P9" s="908" t="s">
        <v>1627</v>
      </c>
      <c r="Q9" s="908" t="s">
        <v>1628</v>
      </c>
      <c r="R9" s="908" t="s">
        <v>1627</v>
      </c>
      <c r="S9" s="908" t="s">
        <v>1628</v>
      </c>
      <c r="T9" s="908" t="s">
        <v>1627</v>
      </c>
      <c r="U9" s="908" t="s">
        <v>1628</v>
      </c>
      <c r="V9" s="908" t="s">
        <v>1627</v>
      </c>
      <c r="W9" s="908" t="s">
        <v>1628</v>
      </c>
      <c r="X9" s="908" t="s">
        <v>1627</v>
      </c>
      <c r="Y9" s="908" t="s">
        <v>1628</v>
      </c>
      <c r="Z9" s="960" t="s">
        <v>1236</v>
      </c>
      <c r="AA9" s="61" t="s">
        <v>910</v>
      </c>
      <c r="AB9" s="960" t="s">
        <v>1236</v>
      </c>
      <c r="AC9" s="61" t="s">
        <v>910</v>
      </c>
      <c r="AD9" s="908" t="s">
        <v>1627</v>
      </c>
      <c r="AE9" s="908" t="s">
        <v>1628</v>
      </c>
      <c r="AF9" s="960" t="s">
        <v>1236</v>
      </c>
      <c r="AG9" s="61" t="s">
        <v>910</v>
      </c>
      <c r="AH9" s="960" t="s">
        <v>1236</v>
      </c>
      <c r="AI9" s="61" t="s">
        <v>910</v>
      </c>
      <c r="AJ9" s="960" t="s">
        <v>1236</v>
      </c>
      <c r="AK9" s="61" t="s">
        <v>910</v>
      </c>
      <c r="AL9" s="960" t="s">
        <v>1236</v>
      </c>
      <c r="AM9" s="61" t="s">
        <v>910</v>
      </c>
      <c r="AN9" s="960" t="s">
        <v>1236</v>
      </c>
      <c r="AO9" s="959" t="s">
        <v>910</v>
      </c>
    </row>
    <row r="10" spans="1:41" s="156" customFormat="1" ht="30" customHeight="1">
      <c r="A10" s="62"/>
      <c r="B10" s="63" t="s">
        <v>1237</v>
      </c>
      <c r="C10" s="63" t="s">
        <v>913</v>
      </c>
      <c r="D10" s="63" t="s">
        <v>1328</v>
      </c>
      <c r="E10" s="63" t="s">
        <v>1237</v>
      </c>
      <c r="F10" s="63" t="s">
        <v>913</v>
      </c>
      <c r="G10" s="63" t="s">
        <v>1328</v>
      </c>
      <c r="H10" s="906" t="s">
        <v>1629</v>
      </c>
      <c r="I10" s="906" t="s">
        <v>1630</v>
      </c>
      <c r="J10" s="906" t="s">
        <v>1629</v>
      </c>
      <c r="K10" s="906" t="s">
        <v>1630</v>
      </c>
      <c r="L10" s="906" t="s">
        <v>1629</v>
      </c>
      <c r="M10" s="906" t="s">
        <v>1630</v>
      </c>
      <c r="N10" s="906" t="s">
        <v>1629</v>
      </c>
      <c r="O10" s="906" t="s">
        <v>1630</v>
      </c>
      <c r="P10" s="906" t="s">
        <v>1629</v>
      </c>
      <c r="Q10" s="906" t="s">
        <v>1630</v>
      </c>
      <c r="R10" s="906" t="s">
        <v>1629</v>
      </c>
      <c r="S10" s="906" t="s">
        <v>1630</v>
      </c>
      <c r="T10" s="906" t="s">
        <v>1629</v>
      </c>
      <c r="U10" s="906" t="s">
        <v>1630</v>
      </c>
      <c r="V10" s="906" t="s">
        <v>1629</v>
      </c>
      <c r="W10" s="906" t="s">
        <v>1630</v>
      </c>
      <c r="X10" s="906" t="s">
        <v>1629</v>
      </c>
      <c r="Y10" s="906" t="s">
        <v>1630</v>
      </c>
      <c r="Z10" s="964" t="s">
        <v>911</v>
      </c>
      <c r="AA10" s="64" t="s">
        <v>912</v>
      </c>
      <c r="AB10" s="964" t="s">
        <v>911</v>
      </c>
      <c r="AC10" s="64" t="s">
        <v>912</v>
      </c>
      <c r="AD10" s="906" t="s">
        <v>1629</v>
      </c>
      <c r="AE10" s="906" t="s">
        <v>1630</v>
      </c>
      <c r="AF10" s="964" t="s">
        <v>911</v>
      </c>
      <c r="AG10" s="64" t="s">
        <v>912</v>
      </c>
      <c r="AH10" s="964" t="s">
        <v>911</v>
      </c>
      <c r="AI10" s="64" t="s">
        <v>912</v>
      </c>
      <c r="AJ10" s="964" t="s">
        <v>911</v>
      </c>
      <c r="AK10" s="64" t="s">
        <v>912</v>
      </c>
      <c r="AL10" s="964" t="s">
        <v>911</v>
      </c>
      <c r="AM10" s="64" t="s">
        <v>912</v>
      </c>
      <c r="AN10" s="964" t="s">
        <v>911</v>
      </c>
      <c r="AO10" s="961" t="s">
        <v>912</v>
      </c>
    </row>
    <row r="11" spans="1:41" s="156" customFormat="1" ht="17.25" customHeight="1">
      <c r="A11" s="219">
        <v>2019</v>
      </c>
      <c r="B11" s="1165">
        <v>0</v>
      </c>
      <c r="C11" s="240">
        <v>0</v>
      </c>
      <c r="D11" s="240">
        <v>0</v>
      </c>
      <c r="E11" s="240">
        <v>0</v>
      </c>
      <c r="F11" s="240">
        <v>0</v>
      </c>
      <c r="G11" s="240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240">
        <v>0</v>
      </c>
      <c r="AA11" s="240">
        <v>0</v>
      </c>
      <c r="AB11" s="240">
        <v>0</v>
      </c>
      <c r="AC11" s="240">
        <v>0</v>
      </c>
      <c r="AD11" s="240">
        <v>0</v>
      </c>
      <c r="AE11" s="240">
        <v>0</v>
      </c>
      <c r="AF11" s="240">
        <v>0</v>
      </c>
      <c r="AG11" s="240">
        <v>0</v>
      </c>
      <c r="AH11" s="240">
        <v>0</v>
      </c>
      <c r="AI11" s="240">
        <v>0</v>
      </c>
      <c r="AJ11" s="240">
        <v>0</v>
      </c>
      <c r="AK11" s="240">
        <v>0</v>
      </c>
      <c r="AL11" s="240">
        <v>0</v>
      </c>
      <c r="AM11" s="240">
        <v>0</v>
      </c>
      <c r="AN11" s="240">
        <v>0</v>
      </c>
      <c r="AO11" s="240">
        <v>0</v>
      </c>
    </row>
    <row r="12" spans="1:41" s="156" customFormat="1" ht="17.25" customHeight="1">
      <c r="A12" s="219">
        <v>2020</v>
      </c>
      <c r="B12" s="1165">
        <v>163</v>
      </c>
      <c r="C12" s="1166" t="s">
        <v>1650</v>
      </c>
      <c r="D12" s="1166" t="s">
        <v>1650</v>
      </c>
      <c r="E12" s="240">
        <v>2</v>
      </c>
      <c r="F12" s="1166" t="s">
        <v>1650</v>
      </c>
      <c r="G12" s="1166" t="s">
        <v>1650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240">
        <v>1</v>
      </c>
      <c r="AA12" s="240">
        <v>0</v>
      </c>
      <c r="AB12" s="240">
        <v>0</v>
      </c>
      <c r="AC12" s="240">
        <v>0</v>
      </c>
      <c r="AD12" s="240">
        <v>162</v>
      </c>
      <c r="AE12" s="240">
        <v>2</v>
      </c>
      <c r="AF12" s="240">
        <v>0</v>
      </c>
      <c r="AG12" s="240">
        <v>0</v>
      </c>
      <c r="AH12" s="240">
        <v>0</v>
      </c>
      <c r="AI12" s="240">
        <v>0</v>
      </c>
      <c r="AJ12" s="240">
        <v>0</v>
      </c>
      <c r="AK12" s="240">
        <v>0</v>
      </c>
      <c r="AL12" s="240">
        <v>0</v>
      </c>
      <c r="AM12" s="240">
        <v>0</v>
      </c>
      <c r="AN12" s="240">
        <v>0</v>
      </c>
      <c r="AO12" s="240">
        <v>0</v>
      </c>
    </row>
    <row r="13" spans="1:41" s="241" customFormat="1" ht="20.100000000000001" customHeight="1">
      <c r="A13" s="334">
        <v>2021</v>
      </c>
      <c r="B13" s="1165">
        <v>1869</v>
      </c>
      <c r="C13" s="1166" t="s">
        <v>1650</v>
      </c>
      <c r="D13" s="1166" t="s">
        <v>1650</v>
      </c>
      <c r="E13" s="240">
        <v>19</v>
      </c>
      <c r="F13" s="1166" t="s">
        <v>1650</v>
      </c>
      <c r="G13" s="1166" t="s">
        <v>1650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 t="s">
        <v>792</v>
      </c>
      <c r="AA13" s="34" t="s">
        <v>792</v>
      </c>
      <c r="AB13" s="34" t="s">
        <v>792</v>
      </c>
      <c r="AC13" s="34" t="s">
        <v>792</v>
      </c>
      <c r="AD13" s="34">
        <v>1869</v>
      </c>
      <c r="AE13" s="34">
        <v>19</v>
      </c>
      <c r="AF13" s="34" t="s">
        <v>792</v>
      </c>
      <c r="AG13" s="34" t="s">
        <v>792</v>
      </c>
      <c r="AH13" s="34" t="s">
        <v>792</v>
      </c>
      <c r="AI13" s="34" t="s">
        <v>792</v>
      </c>
      <c r="AJ13" s="34" t="s">
        <v>792</v>
      </c>
      <c r="AK13" s="34" t="s">
        <v>792</v>
      </c>
      <c r="AL13" s="34" t="s">
        <v>792</v>
      </c>
      <c r="AM13" s="34" t="s">
        <v>792</v>
      </c>
      <c r="AN13" s="34" t="s">
        <v>792</v>
      </c>
      <c r="AO13" s="34" t="s">
        <v>792</v>
      </c>
    </row>
    <row r="14" spans="1:41" s="241" customFormat="1" ht="20.100000000000001" customHeight="1">
      <c r="A14" s="334">
        <v>2022</v>
      </c>
      <c r="B14" s="1165">
        <v>0</v>
      </c>
      <c r="C14" s="240">
        <v>0</v>
      </c>
      <c r="D14" s="240">
        <v>0</v>
      </c>
      <c r="E14" s="240">
        <v>0</v>
      </c>
      <c r="F14" s="240">
        <v>0</v>
      </c>
      <c r="G14" s="240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 t="s">
        <v>792</v>
      </c>
      <c r="AA14" s="34" t="s">
        <v>792</v>
      </c>
      <c r="AB14" s="34" t="s">
        <v>792</v>
      </c>
      <c r="AC14" s="34" t="s">
        <v>792</v>
      </c>
      <c r="AD14" s="34" t="s">
        <v>792</v>
      </c>
      <c r="AE14" s="34" t="s">
        <v>792</v>
      </c>
      <c r="AF14" s="34" t="s">
        <v>792</v>
      </c>
      <c r="AG14" s="34" t="s">
        <v>792</v>
      </c>
      <c r="AH14" s="34" t="s">
        <v>792</v>
      </c>
      <c r="AI14" s="34" t="s">
        <v>792</v>
      </c>
      <c r="AJ14" s="34" t="s">
        <v>792</v>
      </c>
      <c r="AK14" s="34" t="s">
        <v>792</v>
      </c>
      <c r="AL14" s="34" t="s">
        <v>792</v>
      </c>
      <c r="AM14" s="34" t="s">
        <v>792</v>
      </c>
      <c r="AN14" s="34" t="s">
        <v>792</v>
      </c>
      <c r="AO14" s="34" t="s">
        <v>792</v>
      </c>
    </row>
    <row r="15" spans="1:41" s="241" customFormat="1" ht="20.100000000000001" customHeight="1">
      <c r="A15" s="334">
        <v>2023</v>
      </c>
      <c r="B15" s="1165">
        <v>0</v>
      </c>
      <c r="C15" s="240">
        <v>0</v>
      </c>
      <c r="D15" s="240">
        <v>0</v>
      </c>
      <c r="E15" s="240">
        <v>0</v>
      </c>
      <c r="F15" s="240">
        <v>0</v>
      </c>
      <c r="G15" s="240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 t="s">
        <v>792</v>
      </c>
      <c r="AB15" s="34" t="s">
        <v>792</v>
      </c>
      <c r="AC15" s="34" t="s">
        <v>792</v>
      </c>
      <c r="AD15" s="34" t="s">
        <v>792</v>
      </c>
      <c r="AE15" s="34" t="s">
        <v>792</v>
      </c>
      <c r="AF15" s="34" t="s">
        <v>792</v>
      </c>
      <c r="AG15" s="34" t="s">
        <v>792</v>
      </c>
      <c r="AH15" s="34" t="s">
        <v>792</v>
      </c>
      <c r="AI15" s="34" t="s">
        <v>792</v>
      </c>
      <c r="AJ15" s="34" t="s">
        <v>792</v>
      </c>
      <c r="AK15" s="34" t="s">
        <v>792</v>
      </c>
      <c r="AL15" s="34" t="s">
        <v>792</v>
      </c>
      <c r="AM15" s="34" t="s">
        <v>792</v>
      </c>
      <c r="AN15" s="34" t="s">
        <v>792</v>
      </c>
      <c r="AO15" s="34" t="s">
        <v>792</v>
      </c>
    </row>
    <row r="16" spans="1:41" s="242" customFormat="1" ht="20.100000000000001" customHeight="1" thickBot="1">
      <c r="A16" s="355">
        <v>2024</v>
      </c>
      <c r="B16" s="356">
        <f ca="1">-B16</f>
        <v>0</v>
      </c>
      <c r="C16" s="907" t="s">
        <v>1240</v>
      </c>
      <c r="D16" s="907" t="s">
        <v>1240</v>
      </c>
      <c r="E16" s="907" t="s">
        <v>1240</v>
      </c>
      <c r="F16" s="907" t="s">
        <v>1240</v>
      </c>
      <c r="G16" s="907" t="s">
        <v>1240</v>
      </c>
      <c r="H16" s="907" t="s">
        <v>1240</v>
      </c>
      <c r="I16" s="907" t="s">
        <v>1240</v>
      </c>
      <c r="J16" s="907" t="s">
        <v>1240</v>
      </c>
      <c r="K16" s="907" t="s">
        <v>1240</v>
      </c>
      <c r="L16" s="907" t="s">
        <v>1240</v>
      </c>
      <c r="M16" s="907" t="s">
        <v>1240</v>
      </c>
      <c r="N16" s="907" t="s">
        <v>1240</v>
      </c>
      <c r="O16" s="907" t="s">
        <v>1240</v>
      </c>
      <c r="P16" s="907" t="s">
        <v>1240</v>
      </c>
      <c r="Q16" s="907" t="s">
        <v>1240</v>
      </c>
      <c r="R16" s="907" t="s">
        <v>1240</v>
      </c>
      <c r="S16" s="907" t="s">
        <v>1240</v>
      </c>
      <c r="T16" s="907" t="s">
        <v>1240</v>
      </c>
      <c r="U16" s="907" t="s">
        <v>1240</v>
      </c>
      <c r="V16" s="907" t="s">
        <v>1240</v>
      </c>
      <c r="W16" s="907" t="s">
        <v>1240</v>
      </c>
      <c r="X16" s="907" t="s">
        <v>1240</v>
      </c>
      <c r="Y16" s="907" t="s">
        <v>1240</v>
      </c>
      <c r="Z16" s="907" t="s">
        <v>1240</v>
      </c>
      <c r="AA16" s="907" t="s">
        <v>1240</v>
      </c>
      <c r="AB16" s="907" t="s">
        <v>1240</v>
      </c>
      <c r="AC16" s="907" t="s">
        <v>1240</v>
      </c>
      <c r="AD16" s="1116" t="s">
        <v>1240</v>
      </c>
      <c r="AE16" s="907" t="s">
        <v>1240</v>
      </c>
      <c r="AF16" s="907" t="s">
        <v>1240</v>
      </c>
      <c r="AG16" s="907" t="s">
        <v>1240</v>
      </c>
      <c r="AH16" s="907" t="s">
        <v>1240</v>
      </c>
      <c r="AI16" s="907" t="s">
        <v>1240</v>
      </c>
      <c r="AJ16" s="907" t="s">
        <v>1240</v>
      </c>
      <c r="AK16" s="907" t="s">
        <v>1240</v>
      </c>
      <c r="AL16" s="907" t="s">
        <v>1240</v>
      </c>
      <c r="AM16" s="907" t="s">
        <v>1240</v>
      </c>
      <c r="AN16" s="907" t="s">
        <v>1240</v>
      </c>
      <c r="AO16" s="907" t="s">
        <v>1240</v>
      </c>
    </row>
    <row r="17" spans="1:44" s="914" customFormat="1" ht="15" customHeight="1">
      <c r="A17" s="967" t="s">
        <v>1736</v>
      </c>
      <c r="B17" s="966"/>
      <c r="C17" s="966"/>
      <c r="D17" s="966"/>
      <c r="E17" s="966"/>
      <c r="F17" s="966"/>
      <c r="G17" s="966"/>
      <c r="H17" s="966"/>
      <c r="I17" s="966"/>
      <c r="J17" s="966"/>
      <c r="K17" s="966"/>
      <c r="L17" s="966"/>
      <c r="M17" s="966"/>
      <c r="N17" s="966"/>
      <c r="O17" s="966"/>
      <c r="P17" s="966"/>
      <c r="Q17" s="966"/>
      <c r="R17" s="966"/>
      <c r="S17" s="966"/>
      <c r="T17" s="966"/>
      <c r="U17" s="966"/>
      <c r="V17" s="966"/>
      <c r="W17" s="966"/>
      <c r="X17" s="966"/>
      <c r="Y17" s="966"/>
      <c r="Z17" s="966"/>
      <c r="AA17" s="966"/>
      <c r="AB17" s="966"/>
      <c r="AC17" s="966"/>
      <c r="AD17" s="966" t="s">
        <v>1679</v>
      </c>
      <c r="AE17" s="966"/>
      <c r="AF17" s="966"/>
      <c r="AG17" s="966"/>
      <c r="AH17" s="966"/>
      <c r="AI17" s="966"/>
      <c r="AJ17" s="966"/>
      <c r="AK17" s="966"/>
      <c r="AL17" s="966"/>
      <c r="AM17" s="966"/>
      <c r="AN17" s="966"/>
      <c r="AO17" s="966"/>
    </row>
    <row r="18" spans="1:44" s="914" customFormat="1" ht="12" customHeight="1">
      <c r="A18" s="967" t="s">
        <v>1737</v>
      </c>
      <c r="B18" s="967"/>
      <c r="C18" s="967"/>
      <c r="D18" s="967"/>
      <c r="E18" s="967"/>
      <c r="F18" s="967"/>
      <c r="G18" s="967"/>
      <c r="H18" s="967"/>
      <c r="I18" s="967"/>
      <c r="J18" s="967"/>
      <c r="K18" s="967"/>
      <c r="L18" s="967"/>
      <c r="M18" s="967"/>
      <c r="N18" s="967"/>
      <c r="O18" s="967"/>
      <c r="P18" s="967"/>
      <c r="Q18" s="967"/>
      <c r="R18" s="967"/>
      <c r="S18" s="967"/>
      <c r="T18" s="967"/>
      <c r="U18" s="967"/>
      <c r="V18" s="967"/>
      <c r="W18" s="967"/>
      <c r="X18" s="967"/>
      <c r="Y18" s="967"/>
      <c r="Z18" s="967"/>
      <c r="AA18" s="967"/>
      <c r="AB18" s="967"/>
      <c r="AC18" s="967"/>
      <c r="AD18" s="967"/>
      <c r="AE18" s="967"/>
      <c r="AF18" s="967"/>
      <c r="AG18" s="967"/>
      <c r="AH18" s="967"/>
      <c r="AI18" s="967"/>
      <c r="AJ18" s="967"/>
      <c r="AK18" s="967"/>
      <c r="AL18" s="967"/>
      <c r="AM18" s="967"/>
      <c r="AN18" s="967"/>
      <c r="AO18" s="967"/>
    </row>
    <row r="19" spans="1:44" s="914" customFormat="1" ht="12" customHeight="1">
      <c r="A19" s="967" t="s">
        <v>1738</v>
      </c>
      <c r="B19" s="967"/>
      <c r="C19" s="967"/>
      <c r="D19" s="967"/>
      <c r="E19" s="967"/>
      <c r="F19" s="967"/>
      <c r="G19" s="967"/>
      <c r="H19" s="967"/>
      <c r="I19" s="967"/>
      <c r="J19" s="967"/>
      <c r="K19" s="967"/>
      <c r="L19" s="967"/>
      <c r="M19" s="967"/>
      <c r="N19" s="967"/>
      <c r="O19" s="967"/>
      <c r="P19" s="967"/>
      <c r="Q19" s="967"/>
      <c r="R19" s="967"/>
      <c r="S19" s="967"/>
      <c r="T19" s="967"/>
      <c r="U19" s="967"/>
      <c r="V19" s="967"/>
      <c r="W19" s="967"/>
      <c r="X19" s="967"/>
      <c r="Y19" s="967"/>
      <c r="Z19" s="967"/>
      <c r="AA19" s="967"/>
      <c r="AB19" s="967"/>
      <c r="AC19" s="967"/>
      <c r="AD19" s="967"/>
      <c r="AE19" s="967"/>
      <c r="AF19" s="967"/>
      <c r="AG19" s="967"/>
      <c r="AH19" s="967"/>
      <c r="AI19" s="967"/>
      <c r="AJ19" s="967"/>
      <c r="AK19" s="967"/>
      <c r="AL19" s="967"/>
      <c r="AM19" s="967"/>
      <c r="AN19" s="967"/>
      <c r="AO19" s="967"/>
    </row>
    <row r="20" spans="1:44" s="914" customFormat="1" ht="12" customHeight="1">
      <c r="A20" s="987" t="s">
        <v>1739</v>
      </c>
      <c r="B20" s="967"/>
      <c r="C20" s="967"/>
      <c r="D20" s="967"/>
      <c r="E20" s="967"/>
      <c r="F20" s="967"/>
      <c r="G20" s="967"/>
      <c r="H20" s="967"/>
      <c r="I20" s="967"/>
      <c r="J20" s="967"/>
      <c r="K20" s="967"/>
      <c r="L20" s="967"/>
      <c r="M20" s="967"/>
      <c r="N20" s="967"/>
      <c r="O20" s="967"/>
      <c r="P20" s="967"/>
      <c r="Q20" s="967"/>
      <c r="R20" s="967"/>
      <c r="S20" s="967"/>
      <c r="T20" s="967"/>
      <c r="U20" s="967"/>
      <c r="V20" s="967"/>
      <c r="W20" s="967"/>
      <c r="X20" s="967"/>
      <c r="Y20" s="967"/>
      <c r="Z20" s="967"/>
      <c r="AA20" s="967"/>
      <c r="AB20" s="967"/>
      <c r="AC20" s="967"/>
      <c r="AD20" s="967"/>
      <c r="AE20" s="967"/>
      <c r="AF20" s="967"/>
      <c r="AG20" s="967"/>
      <c r="AH20" s="967"/>
      <c r="AI20" s="967"/>
      <c r="AJ20" s="967"/>
      <c r="AK20" s="967"/>
      <c r="AL20" s="967"/>
      <c r="AM20" s="967"/>
      <c r="AN20" s="967"/>
      <c r="AO20" s="967"/>
    </row>
    <row r="21" spans="1:44" s="914" customFormat="1" ht="12" customHeight="1">
      <c r="A21" s="968" t="s">
        <v>1781</v>
      </c>
      <c r="B21" s="968"/>
      <c r="C21" s="968"/>
      <c r="D21" s="968"/>
      <c r="E21" s="968"/>
      <c r="F21" s="967"/>
      <c r="G21" s="967"/>
      <c r="H21" s="967"/>
      <c r="I21" s="967"/>
      <c r="J21" s="967"/>
      <c r="K21" s="967"/>
      <c r="L21" s="967"/>
      <c r="M21" s="967"/>
      <c r="N21" s="967"/>
      <c r="O21" s="967"/>
      <c r="P21" s="967"/>
      <c r="Q21" s="967"/>
      <c r="R21" s="967"/>
      <c r="S21" s="967"/>
      <c r="T21" s="967"/>
      <c r="U21" s="967"/>
      <c r="V21" s="967"/>
      <c r="W21" s="967"/>
      <c r="X21" s="967"/>
      <c r="Y21" s="967"/>
      <c r="Z21" s="967"/>
      <c r="AA21" s="967"/>
      <c r="AB21" s="967"/>
      <c r="AC21" s="967"/>
      <c r="AD21" s="967"/>
      <c r="AE21" s="967"/>
      <c r="AF21" s="967"/>
      <c r="AG21" s="967"/>
      <c r="AH21" s="967"/>
      <c r="AI21" s="967"/>
      <c r="AJ21" s="967"/>
      <c r="AK21" s="967"/>
      <c r="AL21" s="967"/>
      <c r="AM21" s="967"/>
      <c r="AN21" s="967"/>
      <c r="AO21" s="967"/>
    </row>
    <row r="26" spans="1:44" ht="12.75">
      <c r="AQ26" s="407"/>
      <c r="AR26" s="407"/>
    </row>
    <row r="27" spans="1:44" ht="12.75">
      <c r="AQ27" s="407"/>
      <c r="AR27" s="407"/>
    </row>
    <row r="28" spans="1:44" ht="12.75">
      <c r="AQ28" s="407"/>
      <c r="AR28" s="407"/>
    </row>
    <row r="29" spans="1:44" ht="12.75">
      <c r="AQ29" s="407"/>
      <c r="AR29" s="407"/>
    </row>
    <row r="30" spans="1:44" s="1252" customFormat="1" ht="12.75">
      <c r="AQ30" s="1253"/>
      <c r="AR30" s="1253"/>
    </row>
  </sheetData>
  <sheetProtection selectLockedCells="1"/>
  <mergeCells count="43">
    <mergeCell ref="AD8:AE8"/>
    <mergeCell ref="X8:Y8"/>
    <mergeCell ref="C1:L1"/>
    <mergeCell ref="R8:S8"/>
    <mergeCell ref="T7:U7"/>
    <mergeCell ref="T8:U8"/>
    <mergeCell ref="V7:W7"/>
    <mergeCell ref="V8:W8"/>
    <mergeCell ref="L8:M8"/>
    <mergeCell ref="N7:O7"/>
    <mergeCell ref="N8:O8"/>
    <mergeCell ref="P7:Q7"/>
    <mergeCell ref="P8:Q8"/>
    <mergeCell ref="H7:I7"/>
    <mergeCell ref="H8:I8"/>
    <mergeCell ref="J7:K7"/>
    <mergeCell ref="J8:K8"/>
    <mergeCell ref="A2:AO2"/>
    <mergeCell ref="A3:AO3"/>
    <mergeCell ref="AN8:AO8"/>
    <mergeCell ref="B9:D9"/>
    <mergeCell ref="E9:G9"/>
    <mergeCell ref="AL7:AM7"/>
    <mergeCell ref="AN7:AO7"/>
    <mergeCell ref="B8:G8"/>
    <mergeCell ref="Z8:AA8"/>
    <mergeCell ref="AB8:AC8"/>
    <mergeCell ref="AF8:AG8"/>
    <mergeCell ref="AH8:AI8"/>
    <mergeCell ref="AJ8:AK8"/>
    <mergeCell ref="AL8:AM8"/>
    <mergeCell ref="B6:AC6"/>
    <mergeCell ref="AF6:AO6"/>
    <mergeCell ref="AJ7:AK7"/>
    <mergeCell ref="B7:G7"/>
    <mergeCell ref="Z7:AA7"/>
    <mergeCell ref="AB7:AC7"/>
    <mergeCell ref="AF7:AG7"/>
    <mergeCell ref="AH7:AI7"/>
    <mergeCell ref="L7:M7"/>
    <mergeCell ref="R7:S7"/>
    <mergeCell ref="X7:Y7"/>
    <mergeCell ref="AD7:AE7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48" pageOrder="overThenDown" orientation="portrait" blackAndWhite="1" r:id="rId1"/>
  <headerFooter alignWithMargins="0"/>
  <colBreaks count="1" manualBreakCount="1">
    <brk id="17" max="1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81BD"/>
    <outlinePr summaryBelow="0" summaryRight="0"/>
  </sheetPr>
  <dimension ref="A1:AY20"/>
  <sheetViews>
    <sheetView view="pageBreakPreview" zoomScaleNormal="100" zoomScaleSheetLayoutView="100" workbookViewId="0">
      <selection activeCell="AB15" sqref="AB15"/>
    </sheetView>
  </sheetViews>
  <sheetFormatPr defaultRowHeight="12"/>
  <cols>
    <col min="1" max="1" width="8.875" style="411" customWidth="1"/>
    <col min="2" max="2" width="7.25" style="411" bestFit="1" customWidth="1"/>
    <col min="3" max="4" width="6.625" style="411" bestFit="1" customWidth="1"/>
    <col min="5" max="7" width="5.625" style="411" customWidth="1"/>
    <col min="8" max="19" width="6.625" style="411" customWidth="1"/>
    <col min="20" max="21" width="7.875" style="411" customWidth="1"/>
    <col min="22" max="43" width="6.625" style="411" customWidth="1"/>
    <col min="44" max="47" width="7.625" style="411" customWidth="1"/>
    <col min="48" max="51" width="6.625" style="411" customWidth="1"/>
    <col min="52" max="16384" width="9" style="411"/>
  </cols>
  <sheetData>
    <row r="1" spans="1:51" s="392" customFormat="1" ht="23.25" customHeight="1">
      <c r="A1" s="16" t="s">
        <v>1576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M1" s="391"/>
      <c r="N1" s="391"/>
      <c r="O1" s="391"/>
      <c r="P1" s="391"/>
      <c r="Q1" s="391"/>
      <c r="R1" s="391"/>
      <c r="S1" s="391"/>
      <c r="T1" s="391"/>
      <c r="U1" s="391"/>
      <c r="Y1" s="16" t="s">
        <v>824</v>
      </c>
      <c r="AW1" s="16" t="s">
        <v>824</v>
      </c>
    </row>
    <row r="2" spans="1:51" s="393" customFormat="1" ht="24.95" customHeight="1">
      <c r="A2" s="1433" t="s">
        <v>1267</v>
      </c>
      <c r="B2" s="1433"/>
      <c r="C2" s="1433"/>
      <c r="D2" s="1433"/>
      <c r="E2" s="1433"/>
      <c r="F2" s="1433"/>
      <c r="G2" s="1433"/>
      <c r="H2" s="1433"/>
      <c r="I2" s="1433"/>
      <c r="J2" s="1433"/>
      <c r="K2" s="1433"/>
      <c r="L2" s="1433"/>
      <c r="M2" s="1433"/>
      <c r="N2" s="1433"/>
      <c r="O2" s="1433"/>
      <c r="P2" s="1433"/>
      <c r="Q2" s="1433"/>
      <c r="R2" s="1433"/>
      <c r="S2" s="1433"/>
      <c r="T2" s="1433"/>
      <c r="U2" s="1433"/>
      <c r="V2" s="1433"/>
      <c r="W2" s="1433"/>
      <c r="X2" s="1433"/>
      <c r="Y2" s="1433"/>
      <c r="Z2" s="1433"/>
      <c r="AA2" s="1433"/>
      <c r="AB2" s="1448" t="s">
        <v>1503</v>
      </c>
      <c r="AC2" s="1448"/>
      <c r="AD2" s="1448"/>
      <c r="AE2" s="1448"/>
      <c r="AF2" s="1448"/>
      <c r="AG2" s="1448"/>
      <c r="AH2" s="1448"/>
      <c r="AI2" s="1448"/>
      <c r="AJ2" s="1448"/>
      <c r="AK2" s="1448"/>
      <c r="AL2" s="1448"/>
      <c r="AM2" s="1448"/>
      <c r="AN2" s="1448"/>
      <c r="AO2" s="1448"/>
      <c r="AP2" s="1448"/>
      <c r="AQ2" s="1448"/>
      <c r="AR2" s="1448"/>
      <c r="AS2" s="1448"/>
      <c r="AT2" s="1448"/>
      <c r="AU2" s="1448"/>
      <c r="AV2" s="1448"/>
      <c r="AW2" s="1448"/>
    </row>
    <row r="3" spans="1:51" s="395" customFormat="1" ht="9.9499999999999993" customHeight="1">
      <c r="A3" s="394"/>
      <c r="B3" s="394"/>
      <c r="C3" s="394"/>
      <c r="D3" s="394"/>
      <c r="E3" s="394"/>
      <c r="F3" s="394"/>
      <c r="G3" s="394"/>
    </row>
    <row r="4" spans="1:51" s="398" customFormat="1" ht="15" customHeight="1" thickBot="1">
      <c r="A4" s="396" t="s">
        <v>283</v>
      </c>
      <c r="B4" s="397"/>
      <c r="C4" s="397"/>
      <c r="D4" s="397"/>
      <c r="E4" s="397"/>
      <c r="F4" s="397"/>
      <c r="U4" s="47"/>
      <c r="AA4" s="47" t="s">
        <v>895</v>
      </c>
      <c r="AB4" s="396" t="s">
        <v>283</v>
      </c>
    </row>
    <row r="5" spans="1:51" s="400" customFormat="1" ht="15" customHeight="1">
      <c r="A5" s="680" t="s">
        <v>1504</v>
      </c>
      <c r="B5" s="1431" t="s">
        <v>1505</v>
      </c>
      <c r="C5" s="1432"/>
      <c r="D5" s="1432"/>
      <c r="E5" s="1432"/>
      <c r="F5" s="1432"/>
      <c r="G5" s="1432"/>
      <c r="H5" s="1432"/>
      <c r="I5" s="1432"/>
      <c r="J5" s="1432"/>
      <c r="K5" s="1432"/>
      <c r="L5" s="1432" t="s">
        <v>1506</v>
      </c>
      <c r="M5" s="1432"/>
      <c r="N5" s="1432"/>
      <c r="O5" s="1432"/>
      <c r="P5" s="1432"/>
      <c r="Q5" s="1432"/>
      <c r="R5" s="1432"/>
      <c r="S5" s="1432"/>
      <c r="T5" s="1432"/>
      <c r="U5" s="1432"/>
      <c r="V5" s="1432" t="s">
        <v>1507</v>
      </c>
      <c r="W5" s="1432"/>
      <c r="X5" s="1432"/>
      <c r="Y5" s="1432"/>
      <c r="Z5" s="1432"/>
      <c r="AA5" s="1432"/>
      <c r="AB5" s="1432"/>
      <c r="AC5" s="1432"/>
      <c r="AD5" s="1432"/>
      <c r="AE5" s="1432"/>
      <c r="AF5" s="1432"/>
      <c r="AG5" s="1432"/>
      <c r="AH5" s="1432"/>
      <c r="AI5" s="1432"/>
      <c r="AJ5" s="1432" t="s">
        <v>1506</v>
      </c>
      <c r="AK5" s="1432"/>
      <c r="AL5" s="1432"/>
      <c r="AM5" s="1432"/>
      <c r="AN5" s="1432"/>
      <c r="AO5" s="1432"/>
      <c r="AP5" s="1432"/>
      <c r="AQ5" s="1432"/>
      <c r="AR5" s="1432"/>
      <c r="AS5" s="1432"/>
      <c r="AT5" s="1432"/>
      <c r="AU5" s="1432"/>
      <c r="AV5" s="1432"/>
      <c r="AW5" s="1432"/>
      <c r="AX5" s="965"/>
      <c r="AY5" s="965"/>
    </row>
    <row r="6" spans="1:51" s="400" customFormat="1" ht="39.75" customHeight="1">
      <c r="A6" s="401"/>
      <c r="B6" s="1435" t="s">
        <v>284</v>
      </c>
      <c r="C6" s="1435"/>
      <c r="D6" s="1435"/>
      <c r="E6" s="1435"/>
      <c r="F6" s="1435"/>
      <c r="G6" s="1436"/>
      <c r="H6" s="1437" t="s">
        <v>915</v>
      </c>
      <c r="I6" s="1437"/>
      <c r="J6" s="1437" t="s">
        <v>916</v>
      </c>
      <c r="K6" s="1437"/>
      <c r="L6" s="1437" t="s">
        <v>917</v>
      </c>
      <c r="M6" s="1437"/>
      <c r="N6" s="1437" t="s">
        <v>918</v>
      </c>
      <c r="O6" s="1437"/>
      <c r="P6" s="1437" t="s">
        <v>919</v>
      </c>
      <c r="Q6" s="1437"/>
      <c r="R6" s="1437" t="s">
        <v>920</v>
      </c>
      <c r="S6" s="1437"/>
      <c r="T6" s="1438" t="s">
        <v>921</v>
      </c>
      <c r="U6" s="1439"/>
      <c r="V6" s="1438" t="s">
        <v>922</v>
      </c>
      <c r="W6" s="1439"/>
      <c r="X6" s="1438" t="s">
        <v>923</v>
      </c>
      <c r="Y6" s="1439"/>
      <c r="Z6" s="1438" t="s">
        <v>924</v>
      </c>
      <c r="AA6" s="1439"/>
      <c r="AB6" s="1438" t="s">
        <v>925</v>
      </c>
      <c r="AC6" s="1439"/>
      <c r="AD6" s="1438" t="s">
        <v>1356</v>
      </c>
      <c r="AE6" s="1439"/>
      <c r="AF6" s="1438" t="s">
        <v>926</v>
      </c>
      <c r="AG6" s="1439"/>
      <c r="AH6" s="1438" t="s">
        <v>927</v>
      </c>
      <c r="AI6" s="1439"/>
      <c r="AJ6" s="1438" t="s">
        <v>928</v>
      </c>
      <c r="AK6" s="1439"/>
      <c r="AL6" s="1438" t="s">
        <v>929</v>
      </c>
      <c r="AM6" s="1439"/>
      <c r="AN6" s="1438" t="s">
        <v>930</v>
      </c>
      <c r="AO6" s="1439"/>
      <c r="AP6" s="1438" t="s">
        <v>931</v>
      </c>
      <c r="AQ6" s="1439"/>
      <c r="AR6" s="1438" t="s">
        <v>932</v>
      </c>
      <c r="AS6" s="1439"/>
      <c r="AT6" s="1438" t="s">
        <v>933</v>
      </c>
      <c r="AU6" s="1439"/>
      <c r="AV6" s="1438" t="s">
        <v>934</v>
      </c>
      <c r="AW6" s="1439"/>
      <c r="AX6" s="1427" t="s">
        <v>1680</v>
      </c>
      <c r="AY6" s="1428"/>
    </row>
    <row r="7" spans="1:51" s="400" customFormat="1" ht="30" customHeight="1">
      <c r="A7" s="401"/>
      <c r="B7" s="1445" t="s">
        <v>28</v>
      </c>
      <c r="C7" s="1446"/>
      <c r="D7" s="1446"/>
      <c r="E7" s="1446"/>
      <c r="F7" s="1446"/>
      <c r="G7" s="1447"/>
      <c r="H7" s="1434" t="s">
        <v>935</v>
      </c>
      <c r="I7" s="1434"/>
      <c r="J7" s="1434" t="s">
        <v>936</v>
      </c>
      <c r="K7" s="1434"/>
      <c r="L7" s="1434" t="s">
        <v>937</v>
      </c>
      <c r="M7" s="1434"/>
      <c r="N7" s="1434" t="s">
        <v>938</v>
      </c>
      <c r="O7" s="1434"/>
      <c r="P7" s="1434" t="s">
        <v>939</v>
      </c>
      <c r="Q7" s="1434"/>
      <c r="R7" s="1434" t="s">
        <v>940</v>
      </c>
      <c r="S7" s="1434"/>
      <c r="T7" s="1440" t="s">
        <v>962</v>
      </c>
      <c r="U7" s="1441"/>
      <c r="V7" s="1440" t="s">
        <v>941</v>
      </c>
      <c r="W7" s="1441"/>
      <c r="X7" s="1440" t="s">
        <v>942</v>
      </c>
      <c r="Y7" s="1441"/>
      <c r="Z7" s="1440" t="s">
        <v>943</v>
      </c>
      <c r="AA7" s="1441"/>
      <c r="AB7" s="1440" t="s">
        <v>944</v>
      </c>
      <c r="AC7" s="1441"/>
      <c r="AD7" s="1440" t="s">
        <v>944</v>
      </c>
      <c r="AE7" s="1441"/>
      <c r="AF7" s="1440" t="s">
        <v>945</v>
      </c>
      <c r="AG7" s="1441"/>
      <c r="AH7" s="1440" t="s">
        <v>946</v>
      </c>
      <c r="AI7" s="1441"/>
      <c r="AJ7" s="1440" t="s">
        <v>947</v>
      </c>
      <c r="AK7" s="1441"/>
      <c r="AL7" s="1440" t="s">
        <v>948</v>
      </c>
      <c r="AM7" s="1441"/>
      <c r="AN7" s="1440" t="s">
        <v>949</v>
      </c>
      <c r="AO7" s="1441"/>
      <c r="AP7" s="1440" t="s">
        <v>950</v>
      </c>
      <c r="AQ7" s="1441"/>
      <c r="AR7" s="1440" t="s">
        <v>951</v>
      </c>
      <c r="AS7" s="1441"/>
      <c r="AT7" s="1440" t="s">
        <v>952</v>
      </c>
      <c r="AU7" s="1441"/>
      <c r="AV7" s="1440" t="s">
        <v>953</v>
      </c>
      <c r="AW7" s="1441"/>
      <c r="AX7" s="1429" t="s">
        <v>1681</v>
      </c>
      <c r="AY7" s="1430"/>
    </row>
    <row r="8" spans="1:51" s="400" customFormat="1" ht="15" customHeight="1">
      <c r="A8" s="401"/>
      <c r="B8" s="1442" t="s">
        <v>1508</v>
      </c>
      <c r="C8" s="1443"/>
      <c r="D8" s="1444"/>
      <c r="E8" s="1442" t="s">
        <v>1509</v>
      </c>
      <c r="F8" s="1443"/>
      <c r="G8" s="1444"/>
      <c r="H8" s="674" t="s">
        <v>1510</v>
      </c>
      <c r="I8" s="294" t="s">
        <v>1512</v>
      </c>
      <c r="J8" s="674" t="s">
        <v>1513</v>
      </c>
      <c r="K8" s="294" t="s">
        <v>1514</v>
      </c>
      <c r="L8" s="674" t="s">
        <v>1510</v>
      </c>
      <c r="M8" s="294" t="s">
        <v>1512</v>
      </c>
      <c r="N8" s="674" t="s">
        <v>1515</v>
      </c>
      <c r="O8" s="294" t="s">
        <v>1516</v>
      </c>
      <c r="P8" s="674" t="s">
        <v>1510</v>
      </c>
      <c r="Q8" s="294" t="s">
        <v>1511</v>
      </c>
      <c r="R8" s="674" t="s">
        <v>1517</v>
      </c>
      <c r="S8" s="294" t="s">
        <v>1514</v>
      </c>
      <c r="T8" s="674" t="s">
        <v>1515</v>
      </c>
      <c r="U8" s="294" t="s">
        <v>1514</v>
      </c>
      <c r="V8" s="674" t="s">
        <v>1515</v>
      </c>
      <c r="W8" s="294" t="s">
        <v>1516</v>
      </c>
      <c r="X8" s="674" t="s">
        <v>1518</v>
      </c>
      <c r="Y8" s="294" t="s">
        <v>1512</v>
      </c>
      <c r="Z8" s="674" t="s">
        <v>1518</v>
      </c>
      <c r="AA8" s="294" t="s">
        <v>1511</v>
      </c>
      <c r="AB8" s="674" t="s">
        <v>1513</v>
      </c>
      <c r="AC8" s="294" t="s">
        <v>1511</v>
      </c>
      <c r="AD8" s="674" t="s">
        <v>1518</v>
      </c>
      <c r="AE8" s="294" t="s">
        <v>1511</v>
      </c>
      <c r="AF8" s="674" t="s">
        <v>1510</v>
      </c>
      <c r="AG8" s="294" t="s">
        <v>1512</v>
      </c>
      <c r="AH8" s="674" t="s">
        <v>1510</v>
      </c>
      <c r="AI8" s="294" t="s">
        <v>1512</v>
      </c>
      <c r="AJ8" s="674" t="s">
        <v>1513</v>
      </c>
      <c r="AK8" s="294" t="s">
        <v>1514</v>
      </c>
      <c r="AL8" s="674" t="s">
        <v>1513</v>
      </c>
      <c r="AM8" s="294" t="s">
        <v>1512</v>
      </c>
      <c r="AN8" s="674" t="s">
        <v>1518</v>
      </c>
      <c r="AO8" s="294" t="s">
        <v>1514</v>
      </c>
      <c r="AP8" s="674" t="s">
        <v>1513</v>
      </c>
      <c r="AQ8" s="294" t="s">
        <v>1512</v>
      </c>
      <c r="AR8" s="674" t="s">
        <v>1518</v>
      </c>
      <c r="AS8" s="294" t="s">
        <v>1511</v>
      </c>
      <c r="AT8" s="674" t="s">
        <v>1510</v>
      </c>
      <c r="AU8" s="294" t="s">
        <v>1516</v>
      </c>
      <c r="AV8" s="674" t="s">
        <v>1513</v>
      </c>
      <c r="AW8" s="294" t="s">
        <v>1516</v>
      </c>
      <c r="AX8" s="962" t="s">
        <v>1357</v>
      </c>
      <c r="AY8" s="294" t="s">
        <v>1407</v>
      </c>
    </row>
    <row r="9" spans="1:51" s="400" customFormat="1" ht="30" customHeight="1">
      <c r="A9" s="402"/>
      <c r="B9" s="403" t="s">
        <v>1519</v>
      </c>
      <c r="C9" s="403" t="s">
        <v>1520</v>
      </c>
      <c r="D9" s="403" t="s">
        <v>1521</v>
      </c>
      <c r="E9" s="403" t="s">
        <v>1522</v>
      </c>
      <c r="F9" s="403" t="s">
        <v>1523</v>
      </c>
      <c r="G9" s="403" t="s">
        <v>1524</v>
      </c>
      <c r="H9" s="686" t="s">
        <v>911</v>
      </c>
      <c r="I9" s="295" t="s">
        <v>912</v>
      </c>
      <c r="J9" s="686" t="s">
        <v>956</v>
      </c>
      <c r="K9" s="295" t="s">
        <v>955</v>
      </c>
      <c r="L9" s="686" t="s">
        <v>911</v>
      </c>
      <c r="M9" s="295" t="s">
        <v>955</v>
      </c>
      <c r="N9" s="686" t="s">
        <v>911</v>
      </c>
      <c r="O9" s="295" t="s">
        <v>957</v>
      </c>
      <c r="P9" s="686" t="s">
        <v>956</v>
      </c>
      <c r="Q9" s="295" t="s">
        <v>912</v>
      </c>
      <c r="R9" s="686" t="s">
        <v>954</v>
      </c>
      <c r="S9" s="295" t="s">
        <v>955</v>
      </c>
      <c r="T9" s="686" t="s">
        <v>911</v>
      </c>
      <c r="U9" s="295" t="s">
        <v>957</v>
      </c>
      <c r="V9" s="686" t="s">
        <v>958</v>
      </c>
      <c r="W9" s="295" t="s">
        <v>955</v>
      </c>
      <c r="X9" s="686" t="s">
        <v>954</v>
      </c>
      <c r="Y9" s="295" t="s">
        <v>912</v>
      </c>
      <c r="Z9" s="686" t="s">
        <v>911</v>
      </c>
      <c r="AA9" s="295" t="s">
        <v>957</v>
      </c>
      <c r="AB9" s="686" t="s">
        <v>954</v>
      </c>
      <c r="AC9" s="295" t="s">
        <v>959</v>
      </c>
      <c r="AD9" s="686" t="s">
        <v>911</v>
      </c>
      <c r="AE9" s="295" t="s">
        <v>912</v>
      </c>
      <c r="AF9" s="686" t="s">
        <v>954</v>
      </c>
      <c r="AG9" s="295" t="s">
        <v>957</v>
      </c>
      <c r="AH9" s="686" t="s">
        <v>960</v>
      </c>
      <c r="AI9" s="295" t="s">
        <v>912</v>
      </c>
      <c r="AJ9" s="686" t="s">
        <v>911</v>
      </c>
      <c r="AK9" s="295" t="s">
        <v>961</v>
      </c>
      <c r="AL9" s="686" t="s">
        <v>958</v>
      </c>
      <c r="AM9" s="295" t="s">
        <v>955</v>
      </c>
      <c r="AN9" s="686" t="s">
        <v>911</v>
      </c>
      <c r="AO9" s="295" t="s">
        <v>955</v>
      </c>
      <c r="AP9" s="686" t="s">
        <v>954</v>
      </c>
      <c r="AQ9" s="295" t="s">
        <v>912</v>
      </c>
      <c r="AR9" s="686" t="s">
        <v>911</v>
      </c>
      <c r="AS9" s="295" t="s">
        <v>957</v>
      </c>
      <c r="AT9" s="686" t="s">
        <v>954</v>
      </c>
      <c r="AU9" s="295" t="s">
        <v>959</v>
      </c>
      <c r="AV9" s="686" t="s">
        <v>954</v>
      </c>
      <c r="AW9" s="295" t="s">
        <v>957</v>
      </c>
      <c r="AX9" s="963" t="s">
        <v>911</v>
      </c>
      <c r="AY9" s="295" t="s">
        <v>912</v>
      </c>
    </row>
    <row r="10" spans="1:51" s="241" customFormat="1" ht="20.100000000000001" customHeight="1">
      <c r="A10" s="334">
        <v>2019</v>
      </c>
      <c r="B10" s="1063">
        <v>815</v>
      </c>
      <c r="C10" s="1064">
        <v>462</v>
      </c>
      <c r="D10" s="1064">
        <v>353</v>
      </c>
      <c r="E10" s="34">
        <v>4</v>
      </c>
      <c r="F10" s="34">
        <v>2</v>
      </c>
      <c r="G10" s="34">
        <v>2</v>
      </c>
      <c r="H10" s="1065">
        <v>272</v>
      </c>
      <c r="I10" s="1065" t="s">
        <v>792</v>
      </c>
      <c r="J10" s="1065">
        <v>1</v>
      </c>
      <c r="K10" s="1065" t="s">
        <v>792</v>
      </c>
      <c r="L10" s="34" t="s">
        <v>792</v>
      </c>
      <c r="M10" s="34" t="s">
        <v>792</v>
      </c>
      <c r="N10" s="1065" t="s">
        <v>792</v>
      </c>
      <c r="O10" s="1065" t="s">
        <v>792</v>
      </c>
      <c r="P10" s="1065">
        <v>1</v>
      </c>
      <c r="Q10" s="1065" t="s">
        <v>792</v>
      </c>
      <c r="R10" s="1065">
        <v>1</v>
      </c>
      <c r="S10" s="1065" t="s">
        <v>792</v>
      </c>
      <c r="T10" s="1065">
        <v>3</v>
      </c>
      <c r="U10" s="1065" t="s">
        <v>792</v>
      </c>
      <c r="V10" s="1065">
        <v>64</v>
      </c>
      <c r="W10" s="1065" t="s">
        <v>792</v>
      </c>
      <c r="X10" s="1066">
        <v>1</v>
      </c>
      <c r="Y10" s="1066" t="s">
        <v>792</v>
      </c>
      <c r="Z10" s="1065">
        <v>62</v>
      </c>
      <c r="AA10" s="1065" t="s">
        <v>792</v>
      </c>
      <c r="AB10" s="1065" t="s">
        <v>792</v>
      </c>
      <c r="AC10" s="1065" t="s">
        <v>792</v>
      </c>
      <c r="AD10" s="1065" t="s">
        <v>792</v>
      </c>
      <c r="AE10" s="1065" t="s">
        <v>792</v>
      </c>
      <c r="AF10" s="1065" t="s">
        <v>792</v>
      </c>
      <c r="AG10" s="1065" t="s">
        <v>792</v>
      </c>
      <c r="AH10" s="1066">
        <v>1</v>
      </c>
      <c r="AI10" s="1066" t="s">
        <v>792</v>
      </c>
      <c r="AJ10" s="1065">
        <v>0</v>
      </c>
      <c r="AK10" s="1065" t="s">
        <v>792</v>
      </c>
      <c r="AL10" s="1065">
        <v>7</v>
      </c>
      <c r="AM10" s="1065">
        <v>1</v>
      </c>
      <c r="AN10" s="1066" t="s">
        <v>792</v>
      </c>
      <c r="AO10" s="1066" t="s">
        <v>792</v>
      </c>
      <c r="AP10" s="1065">
        <v>58</v>
      </c>
      <c r="AQ10" s="1065" t="s">
        <v>792</v>
      </c>
      <c r="AR10" s="1066" t="s">
        <v>792</v>
      </c>
      <c r="AS10" s="1066" t="s">
        <v>792</v>
      </c>
      <c r="AT10" s="1066">
        <v>184</v>
      </c>
      <c r="AU10" s="1066">
        <v>3</v>
      </c>
      <c r="AV10" s="1066" t="s">
        <v>792</v>
      </c>
      <c r="AW10" s="1066" t="s">
        <v>792</v>
      </c>
      <c r="AX10" s="1067">
        <v>0</v>
      </c>
      <c r="AY10" s="1067">
        <v>0</v>
      </c>
    </row>
    <row r="11" spans="1:51" s="241" customFormat="1" ht="20.100000000000001" customHeight="1">
      <c r="A11" s="334">
        <v>2020</v>
      </c>
      <c r="B11" s="1063">
        <v>496</v>
      </c>
      <c r="C11" s="1064">
        <v>300</v>
      </c>
      <c r="D11" s="1064">
        <v>196</v>
      </c>
      <c r="E11" s="34">
        <v>3</v>
      </c>
      <c r="F11" s="34">
        <v>2</v>
      </c>
      <c r="G11" s="34">
        <v>1</v>
      </c>
      <c r="H11" s="1065">
        <v>146</v>
      </c>
      <c r="I11" s="1065" t="s">
        <v>792</v>
      </c>
      <c r="J11" s="1065" t="s">
        <v>792</v>
      </c>
      <c r="K11" s="1065" t="s">
        <v>792</v>
      </c>
      <c r="L11" s="34" t="s">
        <v>792</v>
      </c>
      <c r="M11" s="34" t="s">
        <v>792</v>
      </c>
      <c r="N11" s="1065" t="s">
        <v>792</v>
      </c>
      <c r="O11" s="1065" t="s">
        <v>792</v>
      </c>
      <c r="P11" s="1065">
        <v>3</v>
      </c>
      <c r="Q11" s="1065" t="s">
        <v>792</v>
      </c>
      <c r="R11" s="1065" t="s">
        <v>792</v>
      </c>
      <c r="S11" s="1065" t="s">
        <v>792</v>
      </c>
      <c r="T11" s="1065">
        <v>1</v>
      </c>
      <c r="U11" s="1065" t="s">
        <v>792</v>
      </c>
      <c r="V11" s="24">
        <v>28</v>
      </c>
      <c r="W11" s="24">
        <v>1</v>
      </c>
      <c r="X11" s="1066" t="s">
        <v>792</v>
      </c>
      <c r="Y11" s="1066" t="s">
        <v>792</v>
      </c>
      <c r="Z11" s="1065">
        <v>55</v>
      </c>
      <c r="AA11" s="1065" t="s">
        <v>792</v>
      </c>
      <c r="AB11" s="1065" t="s">
        <v>792</v>
      </c>
      <c r="AC11" s="1065" t="s">
        <v>792</v>
      </c>
      <c r="AD11" s="1065" t="s">
        <v>792</v>
      </c>
      <c r="AE11" s="1065" t="s">
        <v>792</v>
      </c>
      <c r="AF11" s="1065" t="s">
        <v>792</v>
      </c>
      <c r="AG11" s="1065" t="s">
        <v>792</v>
      </c>
      <c r="AH11" s="1066" t="s">
        <v>792</v>
      </c>
      <c r="AI11" s="1066" t="s">
        <v>792</v>
      </c>
      <c r="AJ11" s="1065" t="s">
        <v>792</v>
      </c>
      <c r="AK11" s="1065" t="s">
        <v>792</v>
      </c>
      <c r="AL11" s="1065">
        <v>3</v>
      </c>
      <c r="AM11" s="1065" t="s">
        <v>792</v>
      </c>
      <c r="AN11" s="1066" t="s">
        <v>792</v>
      </c>
      <c r="AO11" s="1066" t="s">
        <v>792</v>
      </c>
      <c r="AP11" s="1065">
        <v>29</v>
      </c>
      <c r="AQ11" s="1065" t="s">
        <v>792</v>
      </c>
      <c r="AR11" s="1066" t="s">
        <v>792</v>
      </c>
      <c r="AS11" s="1066" t="s">
        <v>792</v>
      </c>
      <c r="AT11" s="1066">
        <v>225</v>
      </c>
      <c r="AU11" s="1066">
        <v>2</v>
      </c>
      <c r="AV11" s="1066">
        <v>6</v>
      </c>
      <c r="AW11" s="1066" t="s">
        <v>792</v>
      </c>
      <c r="AX11" s="1067">
        <v>0</v>
      </c>
      <c r="AY11" s="1067">
        <v>0</v>
      </c>
    </row>
    <row r="12" spans="1:51" s="241" customFormat="1" ht="20.100000000000001" customHeight="1">
      <c r="A12" s="334">
        <v>2021</v>
      </c>
      <c r="B12" s="1063">
        <v>511</v>
      </c>
      <c r="C12" s="1064">
        <v>272</v>
      </c>
      <c r="D12" s="1064">
        <v>239</v>
      </c>
      <c r="E12" s="34">
        <v>4</v>
      </c>
      <c r="F12" s="34">
        <v>0</v>
      </c>
      <c r="G12" s="34">
        <v>4</v>
      </c>
      <c r="H12" s="1068">
        <v>129</v>
      </c>
      <c r="I12" s="1068">
        <v>0</v>
      </c>
      <c r="J12" s="1068">
        <v>0</v>
      </c>
      <c r="K12" s="1068" t="s">
        <v>792</v>
      </c>
      <c r="L12" s="34" t="s">
        <v>792</v>
      </c>
      <c r="M12" s="34" t="s">
        <v>792</v>
      </c>
      <c r="N12" s="1068" t="s">
        <v>792</v>
      </c>
      <c r="O12" s="1068" t="s">
        <v>792</v>
      </c>
      <c r="P12" s="1068" t="s">
        <v>792</v>
      </c>
      <c r="Q12" s="1068" t="s">
        <v>792</v>
      </c>
      <c r="R12" s="1068" t="s">
        <v>792</v>
      </c>
      <c r="S12" s="1068" t="s">
        <v>792</v>
      </c>
      <c r="T12" s="1068">
        <v>2</v>
      </c>
      <c r="U12" s="1066" t="s">
        <v>792</v>
      </c>
      <c r="V12" s="1066">
        <v>38</v>
      </c>
      <c r="W12" s="1066" t="s">
        <v>792</v>
      </c>
      <c r="X12" s="1066" t="s">
        <v>792</v>
      </c>
      <c r="Y12" s="1066" t="s">
        <v>792</v>
      </c>
      <c r="Z12" s="1068">
        <v>46</v>
      </c>
      <c r="AA12" s="1068" t="s">
        <v>792</v>
      </c>
      <c r="AB12" s="1068" t="s">
        <v>792</v>
      </c>
      <c r="AC12" s="1068" t="s">
        <v>792</v>
      </c>
      <c r="AD12" s="1068" t="s">
        <v>792</v>
      </c>
      <c r="AE12" s="1068" t="s">
        <v>792</v>
      </c>
      <c r="AF12" s="1068" t="s">
        <v>792</v>
      </c>
      <c r="AG12" s="1068" t="s">
        <v>792</v>
      </c>
      <c r="AH12" s="1066" t="s">
        <v>792</v>
      </c>
      <c r="AI12" s="1066" t="s">
        <v>792</v>
      </c>
      <c r="AJ12" s="1068" t="s">
        <v>792</v>
      </c>
      <c r="AK12" s="1068" t="s">
        <v>792</v>
      </c>
      <c r="AL12" s="1068">
        <v>3</v>
      </c>
      <c r="AM12" s="1069">
        <v>2</v>
      </c>
      <c r="AN12" s="1066" t="s">
        <v>792</v>
      </c>
      <c r="AO12" s="1066" t="s">
        <v>792</v>
      </c>
      <c r="AP12" s="1068">
        <v>8</v>
      </c>
      <c r="AQ12" s="1068" t="s">
        <v>792</v>
      </c>
      <c r="AR12" s="1066" t="s">
        <v>792</v>
      </c>
      <c r="AS12" s="1066" t="s">
        <v>792</v>
      </c>
      <c r="AT12" s="1066">
        <v>273</v>
      </c>
      <c r="AU12" s="1066">
        <v>2</v>
      </c>
      <c r="AV12" s="1066">
        <v>12</v>
      </c>
      <c r="AW12" s="1066" t="s">
        <v>792</v>
      </c>
      <c r="AX12" s="1067">
        <v>0</v>
      </c>
      <c r="AY12" s="1067">
        <v>0</v>
      </c>
    </row>
    <row r="13" spans="1:51" s="405" customFormat="1" ht="20.100000000000001" customHeight="1">
      <c r="A13" s="1037">
        <v>2022</v>
      </c>
      <c r="B13" s="406">
        <v>170923</v>
      </c>
      <c r="C13" s="461">
        <v>79483</v>
      </c>
      <c r="D13" s="461">
        <v>91440</v>
      </c>
      <c r="E13" s="407">
        <v>173</v>
      </c>
      <c r="F13" s="407">
        <v>73</v>
      </c>
      <c r="G13" s="407">
        <v>100</v>
      </c>
      <c r="H13" s="404">
        <v>94</v>
      </c>
      <c r="I13" s="408">
        <v>0</v>
      </c>
      <c r="J13" s="408">
        <v>0</v>
      </c>
      <c r="K13" s="408">
        <v>0</v>
      </c>
      <c r="L13" s="408">
        <v>0</v>
      </c>
      <c r="M13" s="408">
        <v>0</v>
      </c>
      <c r="N13" s="408">
        <v>0</v>
      </c>
      <c r="O13" s="408">
        <v>0</v>
      </c>
      <c r="P13" s="408">
        <v>0</v>
      </c>
      <c r="Q13" s="408">
        <v>0</v>
      </c>
      <c r="R13" s="408">
        <v>0</v>
      </c>
      <c r="S13" s="408">
        <v>0</v>
      </c>
      <c r="T13" s="408">
        <v>1</v>
      </c>
      <c r="U13" s="408">
        <v>0</v>
      </c>
      <c r="V13" s="408">
        <v>7</v>
      </c>
      <c r="W13" s="408">
        <v>0</v>
      </c>
      <c r="X13" s="408">
        <v>0</v>
      </c>
      <c r="Y13" s="408">
        <v>0</v>
      </c>
      <c r="Z13" s="408">
        <v>31</v>
      </c>
      <c r="AA13" s="408">
        <v>0</v>
      </c>
      <c r="AB13" s="408">
        <v>0</v>
      </c>
      <c r="AC13" s="408">
        <v>0</v>
      </c>
      <c r="AD13" s="408">
        <v>0</v>
      </c>
      <c r="AE13" s="408">
        <v>0</v>
      </c>
      <c r="AF13" s="408">
        <v>0</v>
      </c>
      <c r="AG13" s="408">
        <v>0</v>
      </c>
      <c r="AH13" s="408">
        <v>0</v>
      </c>
      <c r="AI13" s="408">
        <v>0</v>
      </c>
      <c r="AJ13" s="408">
        <v>0</v>
      </c>
      <c r="AK13" s="408">
        <v>0</v>
      </c>
      <c r="AL13" s="408">
        <v>5</v>
      </c>
      <c r="AM13" s="408">
        <v>1</v>
      </c>
      <c r="AN13" s="408">
        <v>0</v>
      </c>
      <c r="AO13" s="408">
        <v>0</v>
      </c>
      <c r="AP13" s="408">
        <v>10</v>
      </c>
      <c r="AQ13" s="408">
        <v>0</v>
      </c>
      <c r="AR13" s="408">
        <v>0</v>
      </c>
      <c r="AS13" s="408">
        <v>0</v>
      </c>
      <c r="AT13" s="408">
        <v>360</v>
      </c>
      <c r="AU13" s="408">
        <v>0</v>
      </c>
      <c r="AV13" s="408">
        <v>11</v>
      </c>
      <c r="AW13" s="408">
        <v>0</v>
      </c>
      <c r="AX13" s="697">
        <v>170404</v>
      </c>
      <c r="AY13" s="697">
        <v>172</v>
      </c>
    </row>
    <row r="14" spans="1:51" s="405" customFormat="1" ht="20.100000000000001" customHeight="1">
      <c r="A14" s="1037">
        <v>2023</v>
      </c>
      <c r="B14" s="406">
        <v>560</v>
      </c>
      <c r="C14" s="461">
        <v>312</v>
      </c>
      <c r="D14" s="461">
        <v>248</v>
      </c>
      <c r="E14" s="407">
        <v>2</v>
      </c>
      <c r="F14" s="407">
        <v>2</v>
      </c>
      <c r="G14" s="407">
        <v>0</v>
      </c>
      <c r="H14" s="404">
        <v>187</v>
      </c>
      <c r="I14" s="408">
        <v>0</v>
      </c>
      <c r="J14" s="408">
        <v>0</v>
      </c>
      <c r="K14" s="408">
        <v>0</v>
      </c>
      <c r="L14" s="408">
        <v>0</v>
      </c>
      <c r="M14" s="408">
        <v>0</v>
      </c>
      <c r="N14" s="408">
        <v>0</v>
      </c>
      <c r="O14" s="408">
        <v>0</v>
      </c>
      <c r="P14" s="408">
        <v>0</v>
      </c>
      <c r="Q14" s="408">
        <v>0</v>
      </c>
      <c r="R14" s="408">
        <v>0</v>
      </c>
      <c r="S14" s="408">
        <v>0</v>
      </c>
      <c r="T14" s="408">
        <v>1</v>
      </c>
      <c r="U14" s="408">
        <v>0</v>
      </c>
      <c r="V14" s="408">
        <v>1</v>
      </c>
      <c r="W14" s="408">
        <v>0</v>
      </c>
      <c r="X14" s="408">
        <v>0</v>
      </c>
      <c r="Y14" s="408">
        <v>0</v>
      </c>
      <c r="Z14" s="408">
        <v>33</v>
      </c>
      <c r="AA14" s="408">
        <v>0</v>
      </c>
      <c r="AB14" s="408">
        <v>0</v>
      </c>
      <c r="AC14" s="408">
        <v>0</v>
      </c>
      <c r="AD14" s="408">
        <v>0</v>
      </c>
      <c r="AE14" s="408">
        <v>0</v>
      </c>
      <c r="AF14" s="408">
        <v>0</v>
      </c>
      <c r="AG14" s="408">
        <v>0</v>
      </c>
      <c r="AH14" s="408">
        <v>0</v>
      </c>
      <c r="AI14" s="408">
        <v>0</v>
      </c>
      <c r="AJ14" s="408">
        <v>0</v>
      </c>
      <c r="AK14" s="408">
        <v>0</v>
      </c>
      <c r="AL14" s="408">
        <v>4</v>
      </c>
      <c r="AM14" s="408">
        <v>0</v>
      </c>
      <c r="AN14" s="408">
        <v>0</v>
      </c>
      <c r="AO14" s="408">
        <v>0</v>
      </c>
      <c r="AP14" s="408">
        <v>9</v>
      </c>
      <c r="AQ14" s="408">
        <v>0</v>
      </c>
      <c r="AR14" s="408">
        <v>0</v>
      </c>
      <c r="AS14" s="408">
        <v>0</v>
      </c>
      <c r="AT14" s="408">
        <v>314</v>
      </c>
      <c r="AU14" s="408">
        <v>2</v>
      </c>
      <c r="AV14" s="408">
        <v>11</v>
      </c>
      <c r="AW14" s="408">
        <v>0</v>
      </c>
      <c r="AX14" s="697">
        <v>0</v>
      </c>
      <c r="AY14" s="697">
        <v>0</v>
      </c>
    </row>
    <row r="15" spans="1:51" s="409" customFormat="1" ht="20.100000000000001" customHeight="1" thickBot="1">
      <c r="A15" s="1178">
        <v>2024</v>
      </c>
      <c r="B15" s="988">
        <f>C15+D15</f>
        <v>774</v>
      </c>
      <c r="C15" s="989">
        <v>486</v>
      </c>
      <c r="D15" s="989">
        <v>288</v>
      </c>
      <c r="E15" s="990">
        <f>F15+G15</f>
        <v>6</v>
      </c>
      <c r="F15" s="1117">
        <v>4</v>
      </c>
      <c r="G15" s="1117">
        <v>2</v>
      </c>
      <c r="H15" s="907">
        <v>203</v>
      </c>
      <c r="I15" s="1118">
        <v>0</v>
      </c>
      <c r="J15" s="907">
        <v>0</v>
      </c>
      <c r="K15" s="1118">
        <v>0</v>
      </c>
      <c r="L15" s="907">
        <v>0</v>
      </c>
      <c r="M15" s="1118">
        <v>0</v>
      </c>
      <c r="N15" s="907">
        <v>0</v>
      </c>
      <c r="O15" s="1118">
        <v>0</v>
      </c>
      <c r="P15" s="907">
        <v>0</v>
      </c>
      <c r="Q15" s="1118">
        <v>0</v>
      </c>
      <c r="R15" s="907">
        <v>0</v>
      </c>
      <c r="S15" s="1118">
        <v>0</v>
      </c>
      <c r="T15" s="991">
        <v>0</v>
      </c>
      <c r="U15" s="1118">
        <v>0</v>
      </c>
      <c r="V15" s="992">
        <v>4</v>
      </c>
      <c r="W15" s="1118">
        <v>0</v>
      </c>
      <c r="X15" s="993">
        <v>254</v>
      </c>
      <c r="Y15" s="1118">
        <v>0</v>
      </c>
      <c r="Z15" s="994">
        <v>31</v>
      </c>
      <c r="AA15" s="1118">
        <v>0</v>
      </c>
      <c r="AB15" s="993">
        <v>0</v>
      </c>
      <c r="AC15" s="1118">
        <v>0</v>
      </c>
      <c r="AD15" s="993">
        <v>0</v>
      </c>
      <c r="AE15" s="1118">
        <v>0</v>
      </c>
      <c r="AF15" s="993">
        <v>0</v>
      </c>
      <c r="AG15" s="1118">
        <v>0</v>
      </c>
      <c r="AH15" s="993">
        <v>0</v>
      </c>
      <c r="AI15" s="1118">
        <v>0</v>
      </c>
      <c r="AJ15" s="993">
        <v>0</v>
      </c>
      <c r="AK15" s="1118">
        <v>0</v>
      </c>
      <c r="AL15" s="993">
        <v>3</v>
      </c>
      <c r="AM15" s="1118">
        <v>0</v>
      </c>
      <c r="AN15" s="993">
        <v>0</v>
      </c>
      <c r="AO15" s="1118">
        <v>0</v>
      </c>
      <c r="AP15" s="993">
        <v>10</v>
      </c>
      <c r="AQ15" s="1118">
        <v>0</v>
      </c>
      <c r="AR15" s="993">
        <v>0</v>
      </c>
      <c r="AS15" s="1118">
        <v>0</v>
      </c>
      <c r="AT15" s="993">
        <v>264</v>
      </c>
      <c r="AU15" s="1118">
        <v>6</v>
      </c>
      <c r="AV15" s="993">
        <v>5</v>
      </c>
      <c r="AW15" s="1118">
        <v>0</v>
      </c>
      <c r="AX15" s="995">
        <v>0</v>
      </c>
      <c r="AY15" s="1118">
        <v>0</v>
      </c>
    </row>
    <row r="16" spans="1:51" s="911" customFormat="1" ht="15" customHeight="1">
      <c r="A16" s="967" t="s">
        <v>1736</v>
      </c>
      <c r="B16" s="910"/>
      <c r="C16" s="910"/>
      <c r="D16" s="910"/>
      <c r="E16" s="910"/>
      <c r="F16" s="910"/>
      <c r="G16" s="910"/>
      <c r="H16" s="910"/>
      <c r="I16" s="910"/>
      <c r="J16" s="910"/>
      <c r="K16" s="910"/>
      <c r="L16" s="910"/>
      <c r="M16" s="910"/>
      <c r="N16" s="910"/>
      <c r="O16" s="910"/>
      <c r="P16" s="910"/>
      <c r="Q16" s="910"/>
      <c r="R16" s="910"/>
      <c r="S16" s="910"/>
      <c r="T16" s="910"/>
      <c r="U16" s="910"/>
    </row>
    <row r="17" spans="1:21" s="911" customFormat="1" ht="12" customHeight="1">
      <c r="A17" s="967" t="s">
        <v>1737</v>
      </c>
      <c r="B17" s="909"/>
      <c r="C17" s="909"/>
      <c r="D17" s="909"/>
      <c r="E17" s="909"/>
      <c r="F17" s="909"/>
      <c r="G17" s="909"/>
      <c r="H17" s="909"/>
      <c r="I17" s="909"/>
      <c r="J17" s="909"/>
      <c r="K17" s="909"/>
      <c r="L17" s="909"/>
      <c r="M17" s="909"/>
      <c r="N17" s="909"/>
      <c r="O17" s="909"/>
      <c r="P17" s="909"/>
      <c r="Q17" s="909"/>
      <c r="R17" s="909"/>
      <c r="S17" s="909"/>
      <c r="T17" s="909"/>
      <c r="U17" s="909"/>
    </row>
    <row r="18" spans="1:21" s="911" customFormat="1" ht="12" customHeight="1">
      <c r="A18" s="967" t="s">
        <v>1740</v>
      </c>
      <c r="B18" s="909"/>
      <c r="C18" s="909"/>
      <c r="D18" s="909"/>
      <c r="E18" s="909"/>
      <c r="F18" s="909"/>
      <c r="G18" s="909"/>
      <c r="H18" s="909"/>
      <c r="I18" s="909"/>
      <c r="J18" s="909"/>
      <c r="K18" s="909"/>
      <c r="L18" s="909"/>
      <c r="M18" s="909"/>
      <c r="N18" s="909"/>
      <c r="O18" s="909"/>
      <c r="P18" s="909"/>
      <c r="Q18" s="909"/>
      <c r="R18" s="909"/>
      <c r="S18" s="909"/>
      <c r="T18" s="909"/>
      <c r="U18" s="909"/>
    </row>
    <row r="19" spans="1:21" s="912" customFormat="1" ht="9.75" customHeight="1">
      <c r="A19" s="969" t="s">
        <v>1741</v>
      </c>
    </row>
    <row r="20" spans="1:21" s="911" customFormat="1" ht="12" customHeight="1">
      <c r="A20" s="968" t="s">
        <v>1716</v>
      </c>
      <c r="B20" s="913"/>
      <c r="C20" s="913"/>
      <c r="D20" s="913"/>
      <c r="E20" s="913"/>
      <c r="F20" s="909"/>
      <c r="G20" s="909"/>
      <c r="H20" s="909"/>
      <c r="I20" s="909"/>
      <c r="J20" s="909"/>
      <c r="K20" s="909"/>
      <c r="L20" s="909"/>
      <c r="M20" s="909"/>
      <c r="N20" s="909"/>
      <c r="O20" s="909"/>
      <c r="P20" s="909"/>
      <c r="Q20" s="909"/>
      <c r="R20" s="909"/>
      <c r="S20" s="909"/>
      <c r="T20" s="909"/>
      <c r="U20" s="909"/>
    </row>
  </sheetData>
  <sheetProtection selectLockedCells="1"/>
  <mergeCells count="54">
    <mergeCell ref="AB2:AW2"/>
    <mergeCell ref="AJ5:AW5"/>
    <mergeCell ref="AV7:AW7"/>
    <mergeCell ref="AN7:AO7"/>
    <mergeCell ref="AP7:AQ7"/>
    <mergeCell ref="AR7:AS7"/>
    <mergeCell ref="AT7:AU7"/>
    <mergeCell ref="AP6:AQ6"/>
    <mergeCell ref="AR6:AS6"/>
    <mergeCell ref="AT6:AU6"/>
    <mergeCell ref="AV6:AW6"/>
    <mergeCell ref="AL6:AM6"/>
    <mergeCell ref="V5:AI5"/>
    <mergeCell ref="AJ7:AK7"/>
    <mergeCell ref="AL7:AM7"/>
    <mergeCell ref="V7:W7"/>
    <mergeCell ref="AF6:AG6"/>
    <mergeCell ref="AH6:AI6"/>
    <mergeCell ref="AJ6:AK6"/>
    <mergeCell ref="AD6:AE6"/>
    <mergeCell ref="X7:Y7"/>
    <mergeCell ref="Z7:AA7"/>
    <mergeCell ref="AB7:AC7"/>
    <mergeCell ref="AF7:AG7"/>
    <mergeCell ref="AH7:AI7"/>
    <mergeCell ref="AD7:AE7"/>
    <mergeCell ref="B8:D8"/>
    <mergeCell ref="E8:G8"/>
    <mergeCell ref="V6:W6"/>
    <mergeCell ref="X6:Y6"/>
    <mergeCell ref="R6:S6"/>
    <mergeCell ref="T6:U6"/>
    <mergeCell ref="B7:G7"/>
    <mergeCell ref="H7:I7"/>
    <mergeCell ref="J7:K7"/>
    <mergeCell ref="L7:M7"/>
    <mergeCell ref="N7:O7"/>
    <mergeCell ref="P7:Q7"/>
    <mergeCell ref="AX6:AY6"/>
    <mergeCell ref="AX7:AY7"/>
    <mergeCell ref="B5:K5"/>
    <mergeCell ref="L5:U5"/>
    <mergeCell ref="A2:AA2"/>
    <mergeCell ref="R7:S7"/>
    <mergeCell ref="B6:G6"/>
    <mergeCell ref="H6:I6"/>
    <mergeCell ref="J6:K6"/>
    <mergeCell ref="L6:M6"/>
    <mergeCell ref="N6:O6"/>
    <mergeCell ref="P6:Q6"/>
    <mergeCell ref="AN6:AO6"/>
    <mergeCell ref="Z6:AA6"/>
    <mergeCell ref="T7:U7"/>
    <mergeCell ref="AB6:AC6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39" pageOrder="overThenDown" orientation="portrait" blackAndWhite="1" r:id="rId1"/>
  <headerFooter alignWithMargins="0"/>
  <colBreaks count="1" manualBreakCount="1">
    <brk id="27" max="1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1922-E627-4A8E-9C5A-4AE9639A88C6}">
  <sheetPr>
    <tabColor rgb="FF4F81BD"/>
    <outlinePr summaryBelow="0" summaryRight="0"/>
  </sheetPr>
  <dimension ref="A1:BM26"/>
  <sheetViews>
    <sheetView view="pageBreakPreview" zoomScaleNormal="100" zoomScaleSheetLayoutView="100" workbookViewId="0">
      <selection activeCell="B7" sqref="B7:G7"/>
    </sheetView>
  </sheetViews>
  <sheetFormatPr defaultRowHeight="12"/>
  <cols>
    <col min="1" max="1" width="8.875" style="46" customWidth="1"/>
    <col min="2" max="2" width="8.5" style="46" customWidth="1"/>
    <col min="3" max="4" width="5.625" style="46" customWidth="1"/>
    <col min="5" max="5" width="7.875" style="46" customWidth="1"/>
    <col min="6" max="7" width="5.625" style="46" customWidth="1"/>
    <col min="8" max="25" width="6.625" style="46" customWidth="1"/>
    <col min="26" max="33" width="5.625" style="46" customWidth="1"/>
    <col min="34" max="35" width="6.625" style="46" customWidth="1"/>
    <col min="36" max="37" width="7.625" style="46" customWidth="1"/>
    <col min="38" max="43" width="5.625" style="46" customWidth="1"/>
    <col min="44" max="65" width="6.625" style="46" customWidth="1"/>
    <col min="66" max="16384" width="9" style="46"/>
  </cols>
  <sheetData>
    <row r="1" spans="1:65" s="235" customFormat="1" ht="24.95" customHeight="1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</row>
    <row r="2" spans="1:65" s="235" customFormat="1" ht="23.1" customHeight="1">
      <c r="A2" s="20" t="s">
        <v>1841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N2" s="234"/>
      <c r="O2" s="234"/>
      <c r="Q2" s="234"/>
      <c r="R2" s="234"/>
      <c r="S2" s="234"/>
      <c r="T2" s="234"/>
      <c r="U2" s="234"/>
      <c r="V2" s="234"/>
      <c r="W2" s="20" t="s">
        <v>824</v>
      </c>
      <c r="X2" s="234"/>
      <c r="Y2" s="234"/>
      <c r="Z2" s="20" t="s">
        <v>1841</v>
      </c>
      <c r="AA2" s="20"/>
      <c r="AD2" s="20"/>
      <c r="AQ2" s="20"/>
      <c r="AT2" s="20"/>
      <c r="BI2" s="20" t="s">
        <v>824</v>
      </c>
      <c r="BJ2" s="20"/>
      <c r="BK2" s="20"/>
    </row>
    <row r="3" spans="1:65" s="236" customFormat="1" ht="24.95" customHeight="1">
      <c r="A3" s="1454" t="s">
        <v>1785</v>
      </c>
      <c r="B3" s="1454"/>
      <c r="C3" s="1454"/>
      <c r="D3" s="1454"/>
      <c r="E3" s="1454"/>
      <c r="F3" s="1454"/>
      <c r="G3" s="1454"/>
      <c r="H3" s="1454"/>
      <c r="I3" s="1454"/>
      <c r="J3" s="1454"/>
      <c r="K3" s="1454"/>
      <c r="L3" s="1454"/>
      <c r="M3" s="1454"/>
      <c r="N3" s="1454"/>
      <c r="O3" s="1454"/>
      <c r="P3" s="1454"/>
      <c r="Q3" s="1454"/>
      <c r="R3" s="1454"/>
      <c r="S3" s="1454"/>
      <c r="T3" s="1454"/>
      <c r="U3" s="1454"/>
      <c r="V3" s="1454"/>
      <c r="W3" s="1454"/>
      <c r="X3" s="1454"/>
      <c r="Y3" s="1454"/>
      <c r="Z3" s="1453" t="s">
        <v>1842</v>
      </c>
      <c r="AA3" s="1453"/>
      <c r="AB3" s="1453"/>
      <c r="AC3" s="1453"/>
      <c r="AD3" s="1453"/>
      <c r="AE3" s="1453"/>
      <c r="AF3" s="1453"/>
      <c r="AG3" s="1453"/>
      <c r="AH3" s="1453"/>
      <c r="AI3" s="1453"/>
      <c r="AJ3" s="1453"/>
      <c r="AK3" s="1453"/>
      <c r="AL3" s="1453"/>
      <c r="AM3" s="1453"/>
      <c r="AN3" s="1453"/>
      <c r="AO3" s="1453"/>
      <c r="AP3" s="1453"/>
      <c r="AQ3" s="1453"/>
      <c r="AR3" s="1453"/>
      <c r="AS3" s="1453"/>
      <c r="AT3" s="1453"/>
      <c r="AU3" s="1453"/>
      <c r="AV3" s="1453"/>
      <c r="AW3" s="1453"/>
      <c r="AX3" s="1453"/>
      <c r="AY3" s="1453"/>
      <c r="AZ3" s="1453"/>
      <c r="BA3" s="1453"/>
      <c r="BB3" s="1453"/>
      <c r="BC3" s="1453"/>
      <c r="BD3" s="1453"/>
      <c r="BE3" s="1453"/>
      <c r="BF3" s="1453"/>
      <c r="BG3" s="1453"/>
      <c r="BH3" s="1453"/>
      <c r="BI3" s="1453"/>
      <c r="BJ3" s="1453"/>
      <c r="BK3" s="1453"/>
      <c r="BL3" s="1453"/>
      <c r="BM3" s="1453"/>
    </row>
    <row r="4" spans="1:65" s="238" customFormat="1" ht="9.9499999999999993" customHeight="1">
      <c r="A4" s="237"/>
      <c r="B4" s="237"/>
      <c r="C4" s="237"/>
      <c r="D4" s="237"/>
      <c r="E4" s="237"/>
      <c r="F4" s="237"/>
      <c r="G4" s="237"/>
    </row>
    <row r="5" spans="1:65" s="145" customFormat="1" ht="15" customHeight="1" thickBot="1">
      <c r="A5" s="239" t="s">
        <v>283</v>
      </c>
      <c r="B5" s="144"/>
      <c r="C5" s="144"/>
      <c r="D5" s="144"/>
      <c r="E5" s="144"/>
      <c r="F5" s="144"/>
      <c r="Y5" s="155" t="s">
        <v>895</v>
      </c>
      <c r="Z5" s="239" t="s">
        <v>283</v>
      </c>
      <c r="BC5" s="155"/>
      <c r="BD5" s="155"/>
      <c r="BE5" s="155"/>
      <c r="BF5" s="155"/>
      <c r="BG5" s="155"/>
      <c r="BM5" s="155" t="s">
        <v>895</v>
      </c>
    </row>
    <row r="6" spans="1:65" s="156" customFormat="1" ht="23.25" customHeight="1">
      <c r="A6" s="333" t="s">
        <v>86</v>
      </c>
      <c r="B6" s="1420" t="s">
        <v>1843</v>
      </c>
      <c r="C6" s="1399"/>
      <c r="D6" s="1399"/>
      <c r="E6" s="1399"/>
      <c r="F6" s="1399"/>
      <c r="G6" s="1399"/>
      <c r="H6" s="1399"/>
      <c r="I6" s="1399"/>
      <c r="J6" s="1399"/>
      <c r="K6" s="1399"/>
      <c r="L6" s="1399"/>
      <c r="M6" s="1399"/>
      <c r="N6" s="1399" t="s">
        <v>1844</v>
      </c>
      <c r="O6" s="1399"/>
      <c r="P6" s="1399"/>
      <c r="Q6" s="1399"/>
      <c r="R6" s="1399"/>
      <c r="S6" s="1399"/>
      <c r="T6" s="1399"/>
      <c r="U6" s="1399"/>
      <c r="V6" s="1399"/>
      <c r="W6" s="1399"/>
      <c r="X6" s="1399"/>
      <c r="Y6" s="1399"/>
      <c r="Z6" s="1399" t="s">
        <v>1684</v>
      </c>
      <c r="AA6" s="1399"/>
      <c r="AB6" s="1399"/>
      <c r="AC6" s="1399"/>
      <c r="AD6" s="1399"/>
      <c r="AE6" s="1399"/>
      <c r="AF6" s="1399"/>
      <c r="AG6" s="1399"/>
      <c r="AH6" s="1399"/>
      <c r="AI6" s="1399"/>
      <c r="AJ6" s="1399"/>
      <c r="AK6" s="1399"/>
      <c r="AL6" s="1200"/>
      <c r="AM6" s="1200"/>
      <c r="AN6" s="1399" t="s">
        <v>857</v>
      </c>
      <c r="AO6" s="1399"/>
      <c r="AP6" s="1399"/>
      <c r="AQ6" s="1399"/>
      <c r="AR6" s="1399"/>
      <c r="AS6" s="1399"/>
      <c r="AT6" s="1399"/>
      <c r="AU6" s="1399"/>
      <c r="AV6" s="1399"/>
      <c r="AW6" s="1399"/>
      <c r="AX6" s="1399"/>
      <c r="AY6" s="1399"/>
      <c r="AZ6" s="1399"/>
      <c r="BA6" s="1399"/>
      <c r="BB6" s="1399"/>
      <c r="BC6" s="1463"/>
      <c r="BD6" s="1204"/>
      <c r="BE6" s="1204"/>
      <c r="BF6" s="1204"/>
      <c r="BG6" s="1204"/>
      <c r="BH6" s="1204"/>
      <c r="BI6" s="1204"/>
      <c r="BJ6" s="1204"/>
      <c r="BK6" s="1204"/>
      <c r="BL6" s="1456" t="s">
        <v>1682</v>
      </c>
      <c r="BM6" s="1457"/>
    </row>
    <row r="7" spans="1:65" s="156" customFormat="1" ht="30" customHeight="1">
      <c r="A7" s="1206"/>
      <c r="B7" s="1401" t="s">
        <v>284</v>
      </c>
      <c r="C7" s="1401"/>
      <c r="D7" s="1401"/>
      <c r="E7" s="1401"/>
      <c r="F7" s="1401"/>
      <c r="G7" s="1402"/>
      <c r="H7" s="1405" t="s">
        <v>965</v>
      </c>
      <c r="I7" s="1405"/>
      <c r="J7" s="1405" t="s">
        <v>966</v>
      </c>
      <c r="K7" s="1405"/>
      <c r="L7" s="1405" t="s">
        <v>967</v>
      </c>
      <c r="M7" s="1405"/>
      <c r="N7" s="1405" t="s">
        <v>968</v>
      </c>
      <c r="O7" s="1405"/>
      <c r="P7" s="1405" t="s">
        <v>969</v>
      </c>
      <c r="Q7" s="1405"/>
      <c r="R7" s="1405" t="s">
        <v>970</v>
      </c>
      <c r="S7" s="1405"/>
      <c r="T7" s="1405" t="s">
        <v>971</v>
      </c>
      <c r="U7" s="1405"/>
      <c r="V7" s="1455" t="s">
        <v>1358</v>
      </c>
      <c r="W7" s="1452"/>
      <c r="X7" s="1455" t="s">
        <v>972</v>
      </c>
      <c r="Y7" s="1452"/>
      <c r="Z7" s="1451" t="s">
        <v>973</v>
      </c>
      <c r="AA7" s="1452"/>
      <c r="AB7" s="1451" t="s">
        <v>974</v>
      </c>
      <c r="AC7" s="1452"/>
      <c r="AD7" s="1451" t="s">
        <v>975</v>
      </c>
      <c r="AE7" s="1452"/>
      <c r="AF7" s="1451" t="s">
        <v>1653</v>
      </c>
      <c r="AG7" s="1452"/>
      <c r="AH7" s="1451" t="s">
        <v>976</v>
      </c>
      <c r="AI7" s="1452"/>
      <c r="AJ7" s="1466" t="s">
        <v>977</v>
      </c>
      <c r="AK7" s="1467"/>
      <c r="AL7" s="1451" t="s">
        <v>1360</v>
      </c>
      <c r="AM7" s="1452"/>
      <c r="AN7" s="1451" t="s">
        <v>978</v>
      </c>
      <c r="AO7" s="1452"/>
      <c r="AP7" s="1451" t="s">
        <v>979</v>
      </c>
      <c r="AQ7" s="1452"/>
      <c r="AR7" s="1464" t="s">
        <v>1362</v>
      </c>
      <c r="AS7" s="1465"/>
      <c r="AT7" s="1455" t="s">
        <v>980</v>
      </c>
      <c r="AU7" s="1452"/>
      <c r="AV7" s="1455" t="s">
        <v>981</v>
      </c>
      <c r="AW7" s="1452"/>
      <c r="AX7" s="1455" t="s">
        <v>982</v>
      </c>
      <c r="AY7" s="1452"/>
      <c r="AZ7" s="1451" t="s">
        <v>983</v>
      </c>
      <c r="BA7" s="1452"/>
      <c r="BB7" s="1455" t="s">
        <v>984</v>
      </c>
      <c r="BC7" s="1452"/>
      <c r="BD7" s="1451" t="s">
        <v>1778</v>
      </c>
      <c r="BE7" s="1452"/>
      <c r="BF7" s="1451" t="s">
        <v>1777</v>
      </c>
      <c r="BG7" s="1452"/>
      <c r="BH7" s="1455" t="s">
        <v>985</v>
      </c>
      <c r="BI7" s="1455"/>
      <c r="BJ7" s="1408" t="s">
        <v>1649</v>
      </c>
      <c r="BK7" s="1404"/>
      <c r="BL7" s="1458" t="s">
        <v>986</v>
      </c>
      <c r="BM7" s="1459"/>
    </row>
    <row r="8" spans="1:65" s="156" customFormat="1" ht="30" customHeight="1">
      <c r="A8" s="1206"/>
      <c r="B8" s="1417" t="s">
        <v>28</v>
      </c>
      <c r="C8" s="1418"/>
      <c r="D8" s="1418"/>
      <c r="E8" s="1418"/>
      <c r="F8" s="1418"/>
      <c r="G8" s="1419"/>
      <c r="H8" s="1409" t="s">
        <v>987</v>
      </c>
      <c r="I8" s="1409"/>
      <c r="J8" s="1409" t="s">
        <v>988</v>
      </c>
      <c r="K8" s="1409"/>
      <c r="L8" s="1409" t="s">
        <v>989</v>
      </c>
      <c r="M8" s="1409"/>
      <c r="N8" s="1409" t="s">
        <v>990</v>
      </c>
      <c r="O8" s="1409"/>
      <c r="P8" s="1409" t="s">
        <v>991</v>
      </c>
      <c r="Q8" s="1409"/>
      <c r="R8" s="1409" t="s">
        <v>992</v>
      </c>
      <c r="S8" s="1409"/>
      <c r="T8" s="1409" t="s">
        <v>993</v>
      </c>
      <c r="U8" s="1409"/>
      <c r="V8" s="1412" t="s">
        <v>1359</v>
      </c>
      <c r="W8" s="1450"/>
      <c r="X8" s="1412" t="s">
        <v>994</v>
      </c>
      <c r="Y8" s="1450"/>
      <c r="Z8" s="1412" t="s">
        <v>995</v>
      </c>
      <c r="AA8" s="1450"/>
      <c r="AB8" s="1412" t="s">
        <v>996</v>
      </c>
      <c r="AC8" s="1450"/>
      <c r="AD8" s="1412" t="s">
        <v>997</v>
      </c>
      <c r="AE8" s="1450"/>
      <c r="AF8" s="1449" t="s">
        <v>1654</v>
      </c>
      <c r="AG8" s="1450"/>
      <c r="AH8" s="1449" t="s">
        <v>998</v>
      </c>
      <c r="AI8" s="1450"/>
      <c r="AJ8" s="1412" t="s">
        <v>999</v>
      </c>
      <c r="AK8" s="1450"/>
      <c r="AL8" s="1412" t="s">
        <v>1000</v>
      </c>
      <c r="AM8" s="1450"/>
      <c r="AN8" s="1412" t="s">
        <v>1361</v>
      </c>
      <c r="AO8" s="1450"/>
      <c r="AP8" s="1412" t="s">
        <v>1001</v>
      </c>
      <c r="AQ8" s="1450"/>
      <c r="AR8" s="1412" t="s">
        <v>1363</v>
      </c>
      <c r="AS8" s="1450"/>
      <c r="AT8" s="1412" t="s">
        <v>1002</v>
      </c>
      <c r="AU8" s="1450"/>
      <c r="AV8" s="1412" t="s">
        <v>1003</v>
      </c>
      <c r="AW8" s="1450"/>
      <c r="AX8" s="1412" t="s">
        <v>1004</v>
      </c>
      <c r="AY8" s="1450"/>
      <c r="AZ8" s="1449" t="s">
        <v>1005</v>
      </c>
      <c r="BA8" s="1450"/>
      <c r="BB8" s="1412" t="s">
        <v>1006</v>
      </c>
      <c r="BC8" s="1450"/>
      <c r="BD8" s="1449" t="s">
        <v>1776</v>
      </c>
      <c r="BE8" s="1450"/>
      <c r="BF8" s="1449" t="s">
        <v>1776</v>
      </c>
      <c r="BG8" s="1450"/>
      <c r="BH8" s="1412" t="s">
        <v>1007</v>
      </c>
      <c r="BI8" s="1412"/>
      <c r="BJ8" s="1461" t="s">
        <v>1673</v>
      </c>
      <c r="BK8" s="1462"/>
      <c r="BL8" s="1449" t="s">
        <v>1683</v>
      </c>
      <c r="BM8" s="1412"/>
    </row>
    <row r="9" spans="1:65" s="156" customFormat="1" ht="15" customHeight="1">
      <c r="A9" s="1206"/>
      <c r="B9" s="1413" t="s">
        <v>1235</v>
      </c>
      <c r="C9" s="1414"/>
      <c r="D9" s="1415"/>
      <c r="E9" s="1413" t="s">
        <v>914</v>
      </c>
      <c r="F9" s="1414"/>
      <c r="G9" s="1415"/>
      <c r="H9" s="1202" t="s">
        <v>1236</v>
      </c>
      <c r="I9" s="61" t="s">
        <v>910</v>
      </c>
      <c r="J9" s="1202" t="s">
        <v>1236</v>
      </c>
      <c r="K9" s="61" t="s">
        <v>910</v>
      </c>
      <c r="L9" s="1202" t="s">
        <v>1236</v>
      </c>
      <c r="M9" s="61" t="s">
        <v>910</v>
      </c>
      <c r="N9" s="1202" t="s">
        <v>1236</v>
      </c>
      <c r="O9" s="61" t="s">
        <v>910</v>
      </c>
      <c r="P9" s="1202" t="s">
        <v>1236</v>
      </c>
      <c r="Q9" s="61" t="s">
        <v>910</v>
      </c>
      <c r="R9" s="1202" t="s">
        <v>1236</v>
      </c>
      <c r="S9" s="61" t="s">
        <v>910</v>
      </c>
      <c r="T9" s="1202" t="s">
        <v>1236</v>
      </c>
      <c r="U9" s="61" t="s">
        <v>910</v>
      </c>
      <c r="V9" s="61" t="s">
        <v>1236</v>
      </c>
      <c r="W9" s="61" t="s">
        <v>910</v>
      </c>
      <c r="X9" s="1202" t="s">
        <v>1236</v>
      </c>
      <c r="Y9" s="61" t="s">
        <v>910</v>
      </c>
      <c r="Z9" s="1202" t="s">
        <v>1236</v>
      </c>
      <c r="AA9" s="61" t="s">
        <v>910</v>
      </c>
      <c r="AB9" s="1202" t="s">
        <v>1236</v>
      </c>
      <c r="AC9" s="61" t="s">
        <v>910</v>
      </c>
      <c r="AD9" s="1202" t="s">
        <v>1236</v>
      </c>
      <c r="AE9" s="61" t="s">
        <v>910</v>
      </c>
      <c r="AF9" s="1202" t="s">
        <v>1236</v>
      </c>
      <c r="AG9" s="61" t="s">
        <v>910</v>
      </c>
      <c r="AH9" s="1202" t="s">
        <v>1236</v>
      </c>
      <c r="AI9" s="61" t="s">
        <v>910</v>
      </c>
      <c r="AJ9" s="1202" t="s">
        <v>1236</v>
      </c>
      <c r="AK9" s="61" t="s">
        <v>910</v>
      </c>
      <c r="AL9" s="61" t="s">
        <v>1236</v>
      </c>
      <c r="AM9" s="61" t="s">
        <v>910</v>
      </c>
      <c r="AN9" s="1202" t="s">
        <v>1236</v>
      </c>
      <c r="AO9" s="61" t="s">
        <v>910</v>
      </c>
      <c r="AP9" s="1202" t="s">
        <v>1236</v>
      </c>
      <c r="AQ9" s="61" t="s">
        <v>910</v>
      </c>
      <c r="AR9" s="61" t="s">
        <v>1236</v>
      </c>
      <c r="AS9" s="61" t="s">
        <v>910</v>
      </c>
      <c r="AT9" s="1202" t="s">
        <v>1236</v>
      </c>
      <c r="AU9" s="61" t="s">
        <v>910</v>
      </c>
      <c r="AV9" s="1202" t="s">
        <v>1236</v>
      </c>
      <c r="AW9" s="61" t="s">
        <v>910</v>
      </c>
      <c r="AX9" s="1202" t="s">
        <v>1236</v>
      </c>
      <c r="AY9" s="61" t="s">
        <v>910</v>
      </c>
      <c r="AZ9" s="1202" t="s">
        <v>1236</v>
      </c>
      <c r="BA9" s="61" t="s">
        <v>910</v>
      </c>
      <c r="BB9" s="1202" t="s">
        <v>1236</v>
      </c>
      <c r="BC9" s="61" t="s">
        <v>910</v>
      </c>
      <c r="BD9" s="1202" t="s">
        <v>1236</v>
      </c>
      <c r="BE9" s="61" t="s">
        <v>910</v>
      </c>
      <c r="BF9" s="1202" t="s">
        <v>1236</v>
      </c>
      <c r="BG9" s="61" t="s">
        <v>910</v>
      </c>
      <c r="BH9" s="1202" t="s">
        <v>1236</v>
      </c>
      <c r="BI9" s="1201" t="s">
        <v>910</v>
      </c>
      <c r="BJ9" s="1202" t="s">
        <v>1236</v>
      </c>
      <c r="BK9" s="61" t="s">
        <v>910</v>
      </c>
      <c r="BL9" s="1201" t="s">
        <v>1236</v>
      </c>
      <c r="BM9" s="1201" t="s">
        <v>910</v>
      </c>
    </row>
    <row r="10" spans="1:65" s="156" customFormat="1" ht="30" customHeight="1">
      <c r="A10" s="62"/>
      <c r="B10" s="63" t="s">
        <v>1237</v>
      </c>
      <c r="C10" s="63" t="s">
        <v>913</v>
      </c>
      <c r="D10" s="63" t="s">
        <v>1328</v>
      </c>
      <c r="E10" s="63" t="s">
        <v>1237</v>
      </c>
      <c r="F10" s="63" t="s">
        <v>913</v>
      </c>
      <c r="G10" s="63" t="s">
        <v>1328</v>
      </c>
      <c r="H10" s="1213" t="s">
        <v>911</v>
      </c>
      <c r="I10" s="64" t="s">
        <v>912</v>
      </c>
      <c r="J10" s="1213" t="s">
        <v>911</v>
      </c>
      <c r="K10" s="64" t="s">
        <v>912</v>
      </c>
      <c r="L10" s="1213" t="s">
        <v>911</v>
      </c>
      <c r="M10" s="64" t="s">
        <v>912</v>
      </c>
      <c r="N10" s="1213" t="s">
        <v>911</v>
      </c>
      <c r="O10" s="64" t="s">
        <v>912</v>
      </c>
      <c r="P10" s="1213" t="s">
        <v>911</v>
      </c>
      <c r="Q10" s="64" t="s">
        <v>912</v>
      </c>
      <c r="R10" s="1213" t="s">
        <v>911</v>
      </c>
      <c r="S10" s="64" t="s">
        <v>912</v>
      </c>
      <c r="T10" s="1213" t="s">
        <v>911</v>
      </c>
      <c r="U10" s="64" t="s">
        <v>912</v>
      </c>
      <c r="V10" s="64" t="s">
        <v>911</v>
      </c>
      <c r="W10" s="64" t="s">
        <v>912</v>
      </c>
      <c r="X10" s="1213" t="s">
        <v>911</v>
      </c>
      <c r="Y10" s="64" t="s">
        <v>912</v>
      </c>
      <c r="Z10" s="1213" t="s">
        <v>911</v>
      </c>
      <c r="AA10" s="64" t="s">
        <v>912</v>
      </c>
      <c r="AB10" s="1213" t="s">
        <v>911</v>
      </c>
      <c r="AC10" s="64" t="s">
        <v>912</v>
      </c>
      <c r="AD10" s="1213" t="s">
        <v>911</v>
      </c>
      <c r="AE10" s="64" t="s">
        <v>912</v>
      </c>
      <c r="AF10" s="1213" t="s">
        <v>911</v>
      </c>
      <c r="AG10" s="64" t="s">
        <v>912</v>
      </c>
      <c r="AH10" s="1213" t="s">
        <v>911</v>
      </c>
      <c r="AI10" s="64" t="s">
        <v>912</v>
      </c>
      <c r="AJ10" s="1213" t="s">
        <v>911</v>
      </c>
      <c r="AK10" s="64" t="s">
        <v>912</v>
      </c>
      <c r="AL10" s="64" t="s">
        <v>911</v>
      </c>
      <c r="AM10" s="64" t="s">
        <v>912</v>
      </c>
      <c r="AN10" s="1213" t="s">
        <v>911</v>
      </c>
      <c r="AO10" s="64" t="s">
        <v>912</v>
      </c>
      <c r="AP10" s="1213" t="s">
        <v>911</v>
      </c>
      <c r="AQ10" s="64" t="s">
        <v>912</v>
      </c>
      <c r="AR10" s="64" t="s">
        <v>911</v>
      </c>
      <c r="AS10" s="64" t="s">
        <v>912</v>
      </c>
      <c r="AT10" s="1213" t="s">
        <v>911</v>
      </c>
      <c r="AU10" s="64" t="s">
        <v>912</v>
      </c>
      <c r="AV10" s="1213" t="s">
        <v>911</v>
      </c>
      <c r="AW10" s="64" t="s">
        <v>912</v>
      </c>
      <c r="AX10" s="1213" t="s">
        <v>911</v>
      </c>
      <c r="AY10" s="64" t="s">
        <v>912</v>
      </c>
      <c r="AZ10" s="1213" t="s">
        <v>911</v>
      </c>
      <c r="BA10" s="64" t="s">
        <v>912</v>
      </c>
      <c r="BB10" s="1213" t="s">
        <v>911</v>
      </c>
      <c r="BC10" s="64" t="s">
        <v>912</v>
      </c>
      <c r="BD10" s="1213" t="s">
        <v>911</v>
      </c>
      <c r="BE10" s="64" t="s">
        <v>912</v>
      </c>
      <c r="BF10" s="1213" t="s">
        <v>911</v>
      </c>
      <c r="BG10" s="64" t="s">
        <v>912</v>
      </c>
      <c r="BH10" s="1213" t="s">
        <v>911</v>
      </c>
      <c r="BI10" s="1203" t="s">
        <v>912</v>
      </c>
      <c r="BJ10" s="1213" t="s">
        <v>911</v>
      </c>
      <c r="BK10" s="64" t="s">
        <v>912</v>
      </c>
      <c r="BL10" s="64" t="s">
        <v>911</v>
      </c>
      <c r="BM10" s="1203" t="s">
        <v>912</v>
      </c>
    </row>
    <row r="11" spans="1:65" s="1254" customFormat="1" ht="20.100000000000001" customHeight="1">
      <c r="A11" s="334">
        <v>2019</v>
      </c>
      <c r="B11" s="1167">
        <v>46</v>
      </c>
      <c r="C11" s="1036">
        <v>24</v>
      </c>
      <c r="D11" s="1036">
        <v>22</v>
      </c>
      <c r="E11" s="1036">
        <v>3</v>
      </c>
      <c r="F11" s="1036">
        <v>1</v>
      </c>
      <c r="G11" s="1036">
        <v>2</v>
      </c>
      <c r="H11" s="1036" t="s">
        <v>792</v>
      </c>
      <c r="I11" s="1036" t="s">
        <v>792</v>
      </c>
      <c r="J11" s="1036">
        <v>2</v>
      </c>
      <c r="K11" s="1036"/>
      <c r="L11" s="1036">
        <v>1</v>
      </c>
      <c r="M11" s="1036" t="s">
        <v>792</v>
      </c>
      <c r="N11" s="1036">
        <v>19</v>
      </c>
      <c r="O11" s="1036" t="s">
        <v>792</v>
      </c>
      <c r="P11" s="1036">
        <v>3</v>
      </c>
      <c r="Q11" s="1036" t="s">
        <v>792</v>
      </c>
      <c r="R11" s="1036" t="s">
        <v>792</v>
      </c>
      <c r="S11" s="1036" t="s">
        <v>792</v>
      </c>
      <c r="T11" s="1036" t="s">
        <v>792</v>
      </c>
      <c r="U11" s="1036" t="s">
        <v>792</v>
      </c>
      <c r="V11" s="1036" t="s">
        <v>792</v>
      </c>
      <c r="W11" s="1036" t="s">
        <v>792</v>
      </c>
      <c r="X11" s="1036" t="s">
        <v>792</v>
      </c>
      <c r="Y11" s="1036" t="s">
        <v>792</v>
      </c>
      <c r="Z11" s="1036">
        <v>8</v>
      </c>
      <c r="AA11" s="1036" t="s">
        <v>792</v>
      </c>
      <c r="AB11" s="1036">
        <v>3</v>
      </c>
      <c r="AC11" s="1036" t="s">
        <v>792</v>
      </c>
      <c r="AD11" s="1036" t="s">
        <v>792</v>
      </c>
      <c r="AE11" s="1036" t="s">
        <v>792</v>
      </c>
      <c r="AF11" s="1036">
        <v>0</v>
      </c>
      <c r="AG11" s="1036">
        <v>0</v>
      </c>
      <c r="AH11" s="1036">
        <v>4</v>
      </c>
      <c r="AI11" s="1036" t="s">
        <v>792</v>
      </c>
      <c r="AJ11" s="1036" t="s">
        <v>792</v>
      </c>
      <c r="AK11" s="1036" t="s">
        <v>792</v>
      </c>
      <c r="AL11" s="1036" t="s">
        <v>792</v>
      </c>
      <c r="AM11" s="1036" t="s">
        <v>792</v>
      </c>
      <c r="AN11" s="1036">
        <v>1</v>
      </c>
      <c r="AO11" s="1036" t="s">
        <v>792</v>
      </c>
      <c r="AP11" s="1036" t="s">
        <v>792</v>
      </c>
      <c r="AQ11" s="1036" t="s">
        <v>792</v>
      </c>
      <c r="AR11" s="1036" t="s">
        <v>792</v>
      </c>
      <c r="AS11" s="1036" t="s">
        <v>792</v>
      </c>
      <c r="AT11" s="1036" t="s">
        <v>792</v>
      </c>
      <c r="AU11" s="1036" t="s">
        <v>792</v>
      </c>
      <c r="AV11" s="1036" t="s">
        <v>792</v>
      </c>
      <c r="AW11" s="1036" t="s">
        <v>792</v>
      </c>
      <c r="AX11" s="1036" t="s">
        <v>792</v>
      </c>
      <c r="AY11" s="1036" t="s">
        <v>792</v>
      </c>
      <c r="AZ11" s="1036" t="s">
        <v>792</v>
      </c>
      <c r="BA11" s="1036" t="s">
        <v>792</v>
      </c>
      <c r="BB11" s="1036">
        <v>5</v>
      </c>
      <c r="BC11" s="1036">
        <v>3</v>
      </c>
      <c r="BD11" s="1036">
        <v>0</v>
      </c>
      <c r="BE11" s="1036">
        <v>0</v>
      </c>
      <c r="BF11" s="1036">
        <v>0</v>
      </c>
      <c r="BG11" s="1036">
        <v>0</v>
      </c>
      <c r="BH11" s="1036" t="s">
        <v>792</v>
      </c>
      <c r="BI11" s="1036" t="s">
        <v>792</v>
      </c>
      <c r="BJ11" s="1036">
        <v>0</v>
      </c>
      <c r="BK11" s="1036">
        <v>0</v>
      </c>
      <c r="BL11" s="1035" t="s">
        <v>792</v>
      </c>
      <c r="BM11" s="1035" t="s">
        <v>792</v>
      </c>
    </row>
    <row r="12" spans="1:65" s="1254" customFormat="1" ht="20.100000000000001" customHeight="1">
      <c r="A12" s="334">
        <v>2020</v>
      </c>
      <c r="B12" s="1167">
        <v>55</v>
      </c>
      <c r="C12" s="1036">
        <v>33</v>
      </c>
      <c r="D12" s="1036">
        <v>22</v>
      </c>
      <c r="E12" s="1036">
        <v>0</v>
      </c>
      <c r="F12" s="1036">
        <v>0</v>
      </c>
      <c r="G12" s="1036">
        <v>0</v>
      </c>
      <c r="H12" s="1036" t="s">
        <v>792</v>
      </c>
      <c r="I12" s="1036" t="s">
        <v>792</v>
      </c>
      <c r="J12" s="1036">
        <v>3</v>
      </c>
      <c r="K12" s="1036" t="s">
        <v>792</v>
      </c>
      <c r="L12" s="1036">
        <v>0</v>
      </c>
      <c r="M12" s="1036" t="s">
        <v>792</v>
      </c>
      <c r="N12" s="1036">
        <v>27</v>
      </c>
      <c r="O12" s="1036" t="s">
        <v>792</v>
      </c>
      <c r="P12" s="1036">
        <v>3</v>
      </c>
      <c r="Q12" s="1036" t="s">
        <v>792</v>
      </c>
      <c r="R12" s="1036">
        <v>1</v>
      </c>
      <c r="S12" s="1036" t="s">
        <v>792</v>
      </c>
      <c r="T12" s="1036" t="s">
        <v>792</v>
      </c>
      <c r="U12" s="1036" t="s">
        <v>792</v>
      </c>
      <c r="V12" s="1036" t="s">
        <v>792</v>
      </c>
      <c r="W12" s="1036" t="s">
        <v>792</v>
      </c>
      <c r="X12" s="1036" t="s">
        <v>792</v>
      </c>
      <c r="Y12" s="1036" t="s">
        <v>792</v>
      </c>
      <c r="Z12" s="1036">
        <v>5</v>
      </c>
      <c r="AA12" s="1036" t="s">
        <v>792</v>
      </c>
      <c r="AB12" s="1036">
        <v>2</v>
      </c>
      <c r="AC12" s="1036" t="s">
        <v>792</v>
      </c>
      <c r="AD12" s="1036" t="s">
        <v>792</v>
      </c>
      <c r="AE12" s="1036" t="s">
        <v>792</v>
      </c>
      <c r="AF12" s="1036">
        <v>0</v>
      </c>
      <c r="AG12" s="1036">
        <v>0</v>
      </c>
      <c r="AH12" s="1036">
        <v>10</v>
      </c>
      <c r="AI12" s="1169">
        <v>0</v>
      </c>
      <c r="AJ12" s="1036" t="s">
        <v>792</v>
      </c>
      <c r="AK12" s="1036" t="s">
        <v>792</v>
      </c>
      <c r="AL12" s="1036" t="s">
        <v>792</v>
      </c>
      <c r="AM12" s="1036" t="s">
        <v>792</v>
      </c>
      <c r="AN12" s="1036" t="s">
        <v>792</v>
      </c>
      <c r="AO12" s="1036" t="s">
        <v>792</v>
      </c>
      <c r="AP12" s="1036" t="s">
        <v>792</v>
      </c>
      <c r="AQ12" s="1036" t="s">
        <v>792</v>
      </c>
      <c r="AR12" s="1036" t="s">
        <v>792</v>
      </c>
      <c r="AS12" s="1036" t="s">
        <v>792</v>
      </c>
      <c r="AT12" s="1036">
        <v>1</v>
      </c>
      <c r="AU12" s="1036" t="s">
        <v>792</v>
      </c>
      <c r="AV12" s="1036" t="s">
        <v>792</v>
      </c>
      <c r="AW12" s="1036" t="s">
        <v>792</v>
      </c>
      <c r="AX12" s="1036" t="s">
        <v>792</v>
      </c>
      <c r="AY12" s="1036" t="s">
        <v>792</v>
      </c>
      <c r="AZ12" s="1036" t="s">
        <v>792</v>
      </c>
      <c r="BA12" s="1036" t="s">
        <v>792</v>
      </c>
      <c r="BB12" s="1036">
        <v>5</v>
      </c>
      <c r="BC12" s="1036">
        <v>0</v>
      </c>
      <c r="BD12" s="1036">
        <v>0</v>
      </c>
      <c r="BE12" s="1036">
        <v>0</v>
      </c>
      <c r="BF12" s="1036">
        <v>0</v>
      </c>
      <c r="BG12" s="1036">
        <v>0</v>
      </c>
      <c r="BH12" s="1036" t="s">
        <v>792</v>
      </c>
      <c r="BI12" s="1036" t="s">
        <v>792</v>
      </c>
      <c r="BJ12" s="1036">
        <v>0</v>
      </c>
      <c r="BK12" s="1036">
        <v>0</v>
      </c>
      <c r="BL12" s="1036">
        <v>6603</v>
      </c>
      <c r="BM12" s="1036" t="s">
        <v>792</v>
      </c>
    </row>
    <row r="13" spans="1:65" s="1254" customFormat="1" ht="20.100000000000001" customHeight="1">
      <c r="A13" s="334">
        <v>2021</v>
      </c>
      <c r="B13" s="1255">
        <v>48</v>
      </c>
      <c r="C13" s="1036">
        <v>30</v>
      </c>
      <c r="D13" s="1036">
        <v>18</v>
      </c>
      <c r="E13" s="1036">
        <v>1</v>
      </c>
      <c r="F13" s="1036">
        <v>1</v>
      </c>
      <c r="G13" s="1036" t="s">
        <v>792</v>
      </c>
      <c r="H13" s="1036" t="s">
        <v>792</v>
      </c>
      <c r="I13" s="1036" t="s">
        <v>792</v>
      </c>
      <c r="J13" s="1168">
        <v>6</v>
      </c>
      <c r="K13" s="1168" t="s">
        <v>792</v>
      </c>
      <c r="L13" s="1168" t="s">
        <v>792</v>
      </c>
      <c r="M13" s="1168" t="s">
        <v>792</v>
      </c>
      <c r="N13" s="1036">
        <v>25</v>
      </c>
      <c r="O13" s="1036" t="s">
        <v>792</v>
      </c>
      <c r="P13" s="1168">
        <v>1</v>
      </c>
      <c r="Q13" s="1168" t="s">
        <v>792</v>
      </c>
      <c r="R13" s="1036">
        <v>1</v>
      </c>
      <c r="S13" s="1036" t="s">
        <v>792</v>
      </c>
      <c r="T13" s="1036" t="s">
        <v>792</v>
      </c>
      <c r="U13" s="1036" t="s">
        <v>792</v>
      </c>
      <c r="V13" s="1036" t="s">
        <v>792</v>
      </c>
      <c r="W13" s="1036" t="s">
        <v>792</v>
      </c>
      <c r="X13" s="1036" t="s">
        <v>792</v>
      </c>
      <c r="Y13" s="1036" t="s">
        <v>792</v>
      </c>
      <c r="Z13" s="1168">
        <v>6</v>
      </c>
      <c r="AA13" s="1168" t="s">
        <v>792</v>
      </c>
      <c r="AB13" s="1168">
        <v>1</v>
      </c>
      <c r="AC13" s="1168" t="s">
        <v>792</v>
      </c>
      <c r="AD13" s="1168" t="s">
        <v>792</v>
      </c>
      <c r="AE13" s="1168" t="s">
        <v>792</v>
      </c>
      <c r="AF13" s="1168">
        <v>0</v>
      </c>
      <c r="AG13" s="1168">
        <v>0</v>
      </c>
      <c r="AH13" s="1168">
        <v>6</v>
      </c>
      <c r="AI13" s="1168" t="s">
        <v>792</v>
      </c>
      <c r="AJ13" s="1036" t="s">
        <v>792</v>
      </c>
      <c r="AK13" s="1036" t="s">
        <v>792</v>
      </c>
      <c r="AL13" s="1036" t="s">
        <v>792</v>
      </c>
      <c r="AM13" s="1036" t="s">
        <v>792</v>
      </c>
      <c r="AN13" s="1036" t="s">
        <v>792</v>
      </c>
      <c r="AO13" s="1036" t="s">
        <v>792</v>
      </c>
      <c r="AP13" s="1036" t="s">
        <v>792</v>
      </c>
      <c r="AQ13" s="1036" t="s">
        <v>792</v>
      </c>
      <c r="AR13" s="1036" t="s">
        <v>792</v>
      </c>
      <c r="AS13" s="1036" t="s">
        <v>792</v>
      </c>
      <c r="AT13" s="1036" t="s">
        <v>792</v>
      </c>
      <c r="AU13" s="1036" t="s">
        <v>792</v>
      </c>
      <c r="AV13" s="1036" t="s">
        <v>792</v>
      </c>
      <c r="AW13" s="1036" t="s">
        <v>792</v>
      </c>
      <c r="AX13" s="1036" t="s">
        <v>792</v>
      </c>
      <c r="AY13" s="1036" t="s">
        <v>792</v>
      </c>
      <c r="AZ13" s="1036" t="s">
        <v>792</v>
      </c>
      <c r="BA13" s="1036" t="s">
        <v>792</v>
      </c>
      <c r="BB13" s="1036">
        <v>2</v>
      </c>
      <c r="BC13" s="1036">
        <v>1</v>
      </c>
      <c r="BD13" s="1036">
        <v>0</v>
      </c>
      <c r="BE13" s="1036">
        <v>0</v>
      </c>
      <c r="BF13" s="1036">
        <v>0</v>
      </c>
      <c r="BG13" s="1036">
        <v>0</v>
      </c>
      <c r="BH13" s="1036" t="s">
        <v>792</v>
      </c>
      <c r="BI13" s="1036" t="s">
        <v>792</v>
      </c>
      <c r="BJ13" s="1036">
        <v>0</v>
      </c>
      <c r="BK13" s="1036">
        <v>0</v>
      </c>
      <c r="BL13" s="1036">
        <v>5307</v>
      </c>
      <c r="BM13" s="1036" t="s">
        <v>792</v>
      </c>
    </row>
    <row r="14" spans="1:65" s="1254" customFormat="1" ht="20.100000000000001" customHeight="1">
      <c r="A14" s="1256">
        <v>2022</v>
      </c>
      <c r="B14" s="1257">
        <v>35</v>
      </c>
      <c r="C14" s="1036">
        <v>24</v>
      </c>
      <c r="D14" s="1036">
        <v>11</v>
      </c>
      <c r="E14" s="1036">
        <v>1</v>
      </c>
      <c r="F14" s="1036">
        <v>1</v>
      </c>
      <c r="G14" s="1036">
        <v>0</v>
      </c>
      <c r="H14" s="1036">
        <v>0</v>
      </c>
      <c r="I14" s="1036">
        <v>0</v>
      </c>
      <c r="J14" s="1036">
        <v>0</v>
      </c>
      <c r="K14" s="1036">
        <v>0</v>
      </c>
      <c r="L14" s="1036">
        <v>0</v>
      </c>
      <c r="M14" s="1036">
        <v>0</v>
      </c>
      <c r="N14" s="1036">
        <v>14</v>
      </c>
      <c r="O14" s="1036">
        <v>0</v>
      </c>
      <c r="P14" s="1036">
        <v>3</v>
      </c>
      <c r="Q14" s="1036">
        <v>0</v>
      </c>
      <c r="R14" s="1036">
        <v>2</v>
      </c>
      <c r="S14" s="1036">
        <v>0</v>
      </c>
      <c r="T14" s="1036">
        <v>0</v>
      </c>
      <c r="U14" s="1036">
        <v>0</v>
      </c>
      <c r="V14" s="1036">
        <v>0</v>
      </c>
      <c r="W14" s="1036">
        <v>0</v>
      </c>
      <c r="X14" s="1036">
        <v>0</v>
      </c>
      <c r="Y14" s="1036">
        <v>0</v>
      </c>
      <c r="Z14" s="1036">
        <v>2</v>
      </c>
      <c r="AA14" s="1036">
        <v>0</v>
      </c>
      <c r="AB14" s="1036">
        <v>0</v>
      </c>
      <c r="AC14" s="1036">
        <v>0</v>
      </c>
      <c r="AD14" s="1036">
        <v>0</v>
      </c>
      <c r="AE14" s="1036">
        <v>0</v>
      </c>
      <c r="AF14" s="1036">
        <v>0</v>
      </c>
      <c r="AG14" s="1036">
        <v>0</v>
      </c>
      <c r="AH14" s="1036">
        <v>6</v>
      </c>
      <c r="AI14" s="1036">
        <v>0</v>
      </c>
      <c r="AJ14" s="1036">
        <v>0</v>
      </c>
      <c r="AK14" s="1036">
        <v>0</v>
      </c>
      <c r="AL14" s="1036">
        <v>0</v>
      </c>
      <c r="AM14" s="1036">
        <v>0</v>
      </c>
      <c r="AN14" s="1036">
        <v>2</v>
      </c>
      <c r="AO14" s="1036">
        <v>0</v>
      </c>
      <c r="AP14" s="1036">
        <v>0</v>
      </c>
      <c r="AQ14" s="1036">
        <v>0</v>
      </c>
      <c r="AR14" s="1036">
        <v>0</v>
      </c>
      <c r="AS14" s="1036">
        <v>0</v>
      </c>
      <c r="AT14" s="1036">
        <v>0</v>
      </c>
      <c r="AU14" s="1036">
        <v>0</v>
      </c>
      <c r="AV14" s="1036">
        <v>0</v>
      </c>
      <c r="AW14" s="1036">
        <v>0</v>
      </c>
      <c r="AX14" s="1036">
        <v>0</v>
      </c>
      <c r="AY14" s="1036">
        <v>0</v>
      </c>
      <c r="AZ14" s="1036">
        <v>0</v>
      </c>
      <c r="BA14" s="1036">
        <v>0</v>
      </c>
      <c r="BB14" s="1036">
        <v>6</v>
      </c>
      <c r="BC14" s="1036">
        <v>1</v>
      </c>
      <c r="BD14" s="1036">
        <v>0</v>
      </c>
      <c r="BE14" s="1036">
        <v>0</v>
      </c>
      <c r="BF14" s="1036">
        <v>0</v>
      </c>
      <c r="BG14" s="1036">
        <v>0</v>
      </c>
      <c r="BH14" s="1036">
        <v>0</v>
      </c>
      <c r="BI14" s="1036">
        <v>0</v>
      </c>
      <c r="BJ14" s="1036">
        <v>0</v>
      </c>
      <c r="BK14" s="1036">
        <v>0</v>
      </c>
      <c r="BL14" s="1036">
        <v>2926</v>
      </c>
      <c r="BM14" s="1036">
        <v>0</v>
      </c>
    </row>
    <row r="15" spans="1:65" s="1254" customFormat="1" ht="20.100000000000001" customHeight="1">
      <c r="A15" s="1256">
        <v>2023</v>
      </c>
      <c r="B15" s="1257">
        <v>43</v>
      </c>
      <c r="C15" s="1036">
        <v>27</v>
      </c>
      <c r="D15" s="1036">
        <v>16</v>
      </c>
      <c r="E15" s="1036">
        <v>0</v>
      </c>
      <c r="F15" s="1036">
        <v>0</v>
      </c>
      <c r="G15" s="1036">
        <v>0</v>
      </c>
      <c r="H15" s="1036">
        <v>0</v>
      </c>
      <c r="I15" s="1036">
        <v>0</v>
      </c>
      <c r="J15" s="1036">
        <v>2</v>
      </c>
      <c r="K15" s="1036">
        <v>0</v>
      </c>
      <c r="L15" s="1036">
        <v>0</v>
      </c>
      <c r="M15" s="1036">
        <v>0</v>
      </c>
      <c r="N15" s="1036">
        <v>18</v>
      </c>
      <c r="O15" s="1036">
        <v>0</v>
      </c>
      <c r="P15" s="1036">
        <v>3</v>
      </c>
      <c r="Q15" s="1036">
        <v>0</v>
      </c>
      <c r="R15" s="1036">
        <v>1</v>
      </c>
      <c r="S15" s="1036">
        <v>0</v>
      </c>
      <c r="T15" s="1036">
        <v>0</v>
      </c>
      <c r="U15" s="1036">
        <v>0</v>
      </c>
      <c r="V15" s="1036">
        <v>0</v>
      </c>
      <c r="W15" s="1036">
        <v>0</v>
      </c>
      <c r="X15" s="1036">
        <v>0</v>
      </c>
      <c r="Y15" s="1036">
        <v>0</v>
      </c>
      <c r="Z15" s="1036">
        <v>3</v>
      </c>
      <c r="AA15" s="1036">
        <v>0</v>
      </c>
      <c r="AB15" s="1036">
        <v>1</v>
      </c>
      <c r="AC15" s="1036">
        <v>0</v>
      </c>
      <c r="AD15" s="1036">
        <v>0</v>
      </c>
      <c r="AE15" s="1036">
        <v>0</v>
      </c>
      <c r="AF15" s="1036">
        <v>0</v>
      </c>
      <c r="AG15" s="1036">
        <v>0</v>
      </c>
      <c r="AH15" s="1036">
        <v>8</v>
      </c>
      <c r="AI15" s="1036">
        <v>0</v>
      </c>
      <c r="AJ15" s="1036">
        <v>0</v>
      </c>
      <c r="AK15" s="1036">
        <v>0</v>
      </c>
      <c r="AL15" s="1036">
        <v>0</v>
      </c>
      <c r="AM15" s="1036">
        <v>0</v>
      </c>
      <c r="AN15" s="1036">
        <v>2</v>
      </c>
      <c r="AO15" s="1036">
        <v>0</v>
      </c>
      <c r="AP15" s="1036">
        <v>0</v>
      </c>
      <c r="AQ15" s="1036">
        <v>0</v>
      </c>
      <c r="AR15" s="1036">
        <v>0</v>
      </c>
      <c r="AS15" s="1036">
        <v>0</v>
      </c>
      <c r="AT15" s="1036">
        <v>0</v>
      </c>
      <c r="AU15" s="1036">
        <v>0</v>
      </c>
      <c r="AV15" s="1036">
        <v>0</v>
      </c>
      <c r="AW15" s="1036">
        <v>0</v>
      </c>
      <c r="AX15" s="1036">
        <v>0</v>
      </c>
      <c r="AY15" s="1036">
        <v>0</v>
      </c>
      <c r="AZ15" s="1036">
        <v>0</v>
      </c>
      <c r="BA15" s="1036">
        <v>0</v>
      </c>
      <c r="BB15" s="1036">
        <v>5</v>
      </c>
      <c r="BC15" s="1036">
        <v>0</v>
      </c>
      <c r="BD15" s="1036">
        <v>0</v>
      </c>
      <c r="BE15" s="1036">
        <v>0</v>
      </c>
      <c r="BF15" s="1036">
        <v>0</v>
      </c>
      <c r="BG15" s="1036">
        <v>0</v>
      </c>
      <c r="BH15" s="1036">
        <v>0</v>
      </c>
      <c r="BI15" s="1036">
        <v>0</v>
      </c>
      <c r="BJ15" s="1036">
        <v>0</v>
      </c>
      <c r="BK15" s="1036">
        <v>0</v>
      </c>
      <c r="BL15" s="1036">
        <v>12057</v>
      </c>
      <c r="BM15" s="1036">
        <v>0</v>
      </c>
    </row>
    <row r="16" spans="1:65" s="1259" customFormat="1" ht="18.75" customHeight="1" thickBot="1">
      <c r="A16" s="1258">
        <v>2024</v>
      </c>
      <c r="B16" s="988">
        <f>C16+D16</f>
        <v>25</v>
      </c>
      <c r="C16" s="907">
        <v>12</v>
      </c>
      <c r="D16" s="907">
        <v>13</v>
      </c>
      <c r="E16" s="990">
        <f>F16+G16</f>
        <v>0</v>
      </c>
      <c r="F16" s="907">
        <v>0</v>
      </c>
      <c r="G16" s="907">
        <v>0</v>
      </c>
      <c r="H16" s="907">
        <v>0</v>
      </c>
      <c r="I16" s="907">
        <v>0</v>
      </c>
      <c r="J16" s="907">
        <v>0</v>
      </c>
      <c r="K16" s="907">
        <v>0</v>
      </c>
      <c r="L16" s="907">
        <v>0</v>
      </c>
      <c r="M16" s="907">
        <v>0</v>
      </c>
      <c r="N16" s="907">
        <v>7</v>
      </c>
      <c r="O16" s="907">
        <v>0</v>
      </c>
      <c r="P16" s="907">
        <v>1</v>
      </c>
      <c r="Q16" s="907">
        <v>0</v>
      </c>
      <c r="R16" s="907">
        <v>1</v>
      </c>
      <c r="S16" s="907">
        <v>0</v>
      </c>
      <c r="T16" s="907">
        <v>0</v>
      </c>
      <c r="U16" s="907">
        <v>0</v>
      </c>
      <c r="V16" s="907">
        <v>0</v>
      </c>
      <c r="W16" s="907">
        <v>0</v>
      </c>
      <c r="X16" s="907">
        <v>0</v>
      </c>
      <c r="Y16" s="907">
        <v>0</v>
      </c>
      <c r="Z16" s="993">
        <v>4</v>
      </c>
      <c r="AA16" s="993">
        <v>0</v>
      </c>
      <c r="AB16" s="993">
        <v>0</v>
      </c>
      <c r="AC16" s="993">
        <v>0</v>
      </c>
      <c r="AD16" s="993">
        <v>0</v>
      </c>
      <c r="AE16" s="993">
        <v>0</v>
      </c>
      <c r="AF16" s="993">
        <v>0</v>
      </c>
      <c r="AG16" s="993">
        <v>0</v>
      </c>
      <c r="AH16" s="993">
        <v>0</v>
      </c>
      <c r="AI16" s="993">
        <v>0</v>
      </c>
      <c r="AJ16" s="993">
        <v>1</v>
      </c>
      <c r="AK16" s="993">
        <v>0</v>
      </c>
      <c r="AL16" s="993">
        <v>0</v>
      </c>
      <c r="AM16" s="993">
        <v>0</v>
      </c>
      <c r="AN16" s="993">
        <v>0</v>
      </c>
      <c r="AO16" s="993">
        <v>0</v>
      </c>
      <c r="AP16" s="993">
        <v>0</v>
      </c>
      <c r="AQ16" s="993">
        <v>0</v>
      </c>
      <c r="AR16" s="993">
        <v>0</v>
      </c>
      <c r="AS16" s="993">
        <v>0</v>
      </c>
      <c r="AT16" s="993">
        <v>0</v>
      </c>
      <c r="AU16" s="993">
        <v>0</v>
      </c>
      <c r="AV16" s="993">
        <v>0</v>
      </c>
      <c r="AW16" s="993">
        <v>0</v>
      </c>
      <c r="AX16" s="993">
        <v>0</v>
      </c>
      <c r="AY16" s="993">
        <v>0</v>
      </c>
      <c r="AZ16" s="993">
        <v>0</v>
      </c>
      <c r="BA16" s="993">
        <v>0</v>
      </c>
      <c r="BB16" s="993">
        <v>5</v>
      </c>
      <c r="BC16" s="993">
        <v>0</v>
      </c>
      <c r="BD16" s="993">
        <v>6</v>
      </c>
      <c r="BE16" s="993">
        <v>0</v>
      </c>
      <c r="BF16" s="993">
        <v>0</v>
      </c>
      <c r="BG16" s="993">
        <v>0</v>
      </c>
      <c r="BH16" s="993">
        <v>0</v>
      </c>
      <c r="BI16" s="993">
        <v>0</v>
      </c>
      <c r="BJ16" s="993">
        <v>0</v>
      </c>
      <c r="BK16" s="993">
        <v>0</v>
      </c>
      <c r="BL16" s="993">
        <v>7354</v>
      </c>
      <c r="BM16" s="993"/>
    </row>
    <row r="17" spans="1:25" s="1260" customFormat="1" ht="15" customHeight="1">
      <c r="A17" s="967" t="s">
        <v>1736</v>
      </c>
      <c r="B17" s="966"/>
      <c r="C17" s="966"/>
      <c r="D17" s="966"/>
      <c r="E17" s="966"/>
      <c r="F17" s="966"/>
      <c r="G17" s="966"/>
      <c r="H17" s="966"/>
      <c r="I17" s="966"/>
      <c r="J17" s="966"/>
      <c r="K17" s="966"/>
      <c r="L17" s="966"/>
      <c r="M17" s="966"/>
      <c r="N17" s="966"/>
      <c r="O17" s="966"/>
      <c r="P17" s="966"/>
      <c r="Q17" s="966"/>
      <c r="R17" s="966"/>
      <c r="S17" s="966"/>
      <c r="T17" s="966"/>
      <c r="U17" s="966"/>
      <c r="V17" s="966"/>
      <c r="W17" s="966"/>
      <c r="X17" s="966"/>
      <c r="Y17" s="966"/>
    </row>
    <row r="18" spans="1:25" s="1260" customFormat="1" ht="12" customHeight="1">
      <c r="A18" s="967" t="s">
        <v>1217</v>
      </c>
      <c r="B18" s="967"/>
      <c r="C18" s="967"/>
      <c r="D18" s="967"/>
      <c r="E18" s="967"/>
      <c r="F18" s="967"/>
      <c r="G18" s="967"/>
      <c r="H18" s="967"/>
      <c r="I18" s="967"/>
      <c r="J18" s="967"/>
      <c r="K18" s="967"/>
      <c r="L18" s="967"/>
      <c r="M18" s="967"/>
      <c r="N18" s="967"/>
      <c r="O18" s="967"/>
      <c r="P18" s="967"/>
      <c r="Q18" s="967"/>
      <c r="R18" s="967"/>
      <c r="S18" s="967"/>
      <c r="T18" s="967"/>
      <c r="U18" s="967"/>
      <c r="V18" s="967"/>
      <c r="W18" s="967"/>
      <c r="X18" s="967"/>
      <c r="Y18" s="967"/>
    </row>
    <row r="19" spans="1:25" s="1260" customFormat="1" ht="12" customHeight="1">
      <c r="A19" s="1460" t="s">
        <v>1845</v>
      </c>
      <c r="B19" s="1460"/>
      <c r="C19" s="1460"/>
      <c r="D19" s="1460"/>
      <c r="E19" s="1460"/>
      <c r="F19" s="1460"/>
      <c r="G19" s="1460"/>
      <c r="H19" s="1460"/>
      <c r="I19" s="1460"/>
      <c r="J19" s="1460"/>
      <c r="K19" s="1460"/>
      <c r="L19" s="1460"/>
      <c r="M19" s="1460"/>
      <c r="N19" s="967"/>
      <c r="O19" s="967"/>
      <c r="P19" s="967"/>
      <c r="Q19" s="967"/>
      <c r="R19" s="967"/>
      <c r="S19" s="967"/>
      <c r="T19" s="967"/>
      <c r="U19" s="967"/>
      <c r="V19" s="967"/>
      <c r="W19" s="967"/>
      <c r="X19" s="967"/>
      <c r="Y19" s="967"/>
    </row>
    <row r="20" spans="1:25" s="1260" customFormat="1" ht="12" customHeight="1">
      <c r="A20" s="1199" t="s">
        <v>1716</v>
      </c>
      <c r="B20" s="1199"/>
      <c r="C20" s="1199"/>
      <c r="D20" s="1199"/>
      <c r="E20" s="1199"/>
      <c r="F20" s="967"/>
      <c r="G20" s="967"/>
      <c r="H20" s="967"/>
      <c r="I20" s="967"/>
      <c r="J20" s="967"/>
      <c r="K20" s="967"/>
      <c r="L20" s="967"/>
      <c r="M20" s="967"/>
      <c r="N20" s="967"/>
      <c r="O20" s="967"/>
      <c r="P20" s="967"/>
      <c r="Q20" s="967"/>
      <c r="R20" s="967"/>
      <c r="S20" s="967"/>
      <c r="T20" s="967"/>
      <c r="U20" s="967"/>
      <c r="V20" s="967"/>
      <c r="W20" s="967"/>
      <c r="X20" s="967"/>
      <c r="Y20" s="967"/>
    </row>
    <row r="26" spans="1:25">
      <c r="B26" s="1261"/>
    </row>
  </sheetData>
  <sheetProtection selectLockedCells="1"/>
  <mergeCells count="70">
    <mergeCell ref="A19:M19"/>
    <mergeCell ref="BJ7:BK7"/>
    <mergeCell ref="BJ8:BK8"/>
    <mergeCell ref="AN6:BC6"/>
    <mergeCell ref="BF7:BG7"/>
    <mergeCell ref="BF8:BG8"/>
    <mergeCell ref="BD7:BE7"/>
    <mergeCell ref="AP8:AQ8"/>
    <mergeCell ref="AN7:AO7"/>
    <mergeCell ref="AP7:AQ7"/>
    <mergeCell ref="AT7:AU7"/>
    <mergeCell ref="AL7:AM7"/>
    <mergeCell ref="AR7:AS7"/>
    <mergeCell ref="AJ7:AK7"/>
    <mergeCell ref="AD8:AE8"/>
    <mergeCell ref="AF8:AG8"/>
    <mergeCell ref="BH7:BI7"/>
    <mergeCell ref="BL7:BM7"/>
    <mergeCell ref="BH8:BI8"/>
    <mergeCell ref="BL8:BM8"/>
    <mergeCell ref="BD8:BE8"/>
    <mergeCell ref="AX8:AY8"/>
    <mergeCell ref="AZ8:BA8"/>
    <mergeCell ref="BB8:BC8"/>
    <mergeCell ref="AX7:AY7"/>
    <mergeCell ref="AZ7:BA7"/>
    <mergeCell ref="BB7:BC7"/>
    <mergeCell ref="AT8:AU8"/>
    <mergeCell ref="AV7:AW7"/>
    <mergeCell ref="AL8:AM8"/>
    <mergeCell ref="AR8:AS8"/>
    <mergeCell ref="AN8:AO8"/>
    <mergeCell ref="AV8:AW8"/>
    <mergeCell ref="E9:G9"/>
    <mergeCell ref="B8:G8"/>
    <mergeCell ref="H8:I8"/>
    <mergeCell ref="J8:K8"/>
    <mergeCell ref="AD7:AE7"/>
    <mergeCell ref="B9:D9"/>
    <mergeCell ref="V7:W7"/>
    <mergeCell ref="P7:Q7"/>
    <mergeCell ref="Z7:AA7"/>
    <mergeCell ref="AB7:AC7"/>
    <mergeCell ref="R8:S8"/>
    <mergeCell ref="T8:U8"/>
    <mergeCell ref="X8:Y8"/>
    <mergeCell ref="Z8:AA8"/>
    <mergeCell ref="AB8:AC8"/>
    <mergeCell ref="V8:W8"/>
    <mergeCell ref="AF7:AG7"/>
    <mergeCell ref="AH7:AI7"/>
    <mergeCell ref="Z3:BM3"/>
    <mergeCell ref="A3:Y3"/>
    <mergeCell ref="B7:G7"/>
    <mergeCell ref="H7:I7"/>
    <mergeCell ref="J7:K7"/>
    <mergeCell ref="L7:M7"/>
    <mergeCell ref="N7:O7"/>
    <mergeCell ref="X7:Y7"/>
    <mergeCell ref="R7:S7"/>
    <mergeCell ref="T7:U7"/>
    <mergeCell ref="B6:M6"/>
    <mergeCell ref="N6:Y6"/>
    <mergeCell ref="Z6:AK6"/>
    <mergeCell ref="BL6:BM6"/>
    <mergeCell ref="L8:M8"/>
    <mergeCell ref="N8:O8"/>
    <mergeCell ref="P8:Q8"/>
    <mergeCell ref="AH8:AI8"/>
    <mergeCell ref="AJ8:AK8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34" pageOrder="overThenDown" orientation="portrait" blackAndWhite="1" r:id="rId1"/>
  <headerFooter alignWithMargins="0"/>
  <colBreaks count="1" manualBreakCount="1">
    <brk id="25" max="13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S21"/>
  <sheetViews>
    <sheetView view="pageBreakPreview" zoomScaleNormal="100" zoomScaleSheetLayoutView="100" workbookViewId="0">
      <selection activeCell="A2" sqref="A2:Q2"/>
    </sheetView>
  </sheetViews>
  <sheetFormatPr defaultRowHeight="16.5"/>
  <cols>
    <col min="1" max="1" width="8.375" style="50" bestFit="1" customWidth="1"/>
    <col min="2" max="2" width="12.5" style="50" bestFit="1" customWidth="1"/>
    <col min="3" max="3" width="14.375" style="50" bestFit="1" customWidth="1"/>
    <col min="4" max="5" width="9" style="50"/>
    <col min="6" max="6" width="10.375" style="50" bestFit="1" customWidth="1"/>
    <col min="7" max="11" width="9" style="50"/>
    <col min="12" max="12" width="12.375" style="50" bestFit="1" customWidth="1"/>
    <col min="13" max="13" width="9" style="50"/>
    <col min="14" max="14" width="9.25" style="50" bestFit="1" customWidth="1"/>
    <col min="15" max="15" width="10.75" style="50" bestFit="1" customWidth="1"/>
    <col min="16" max="16" width="17.625" style="50" bestFit="1" customWidth="1"/>
    <col min="17" max="17" width="8.625" style="50" bestFit="1" customWidth="1"/>
    <col min="18" max="16384" width="9" style="50"/>
  </cols>
  <sheetData>
    <row r="1" spans="1:19" s="1198" customFormat="1" ht="24.95" customHeight="1">
      <c r="A1" s="1337" t="s">
        <v>1337</v>
      </c>
      <c r="B1" s="1337"/>
      <c r="C1" s="1337"/>
      <c r="D1" s="1337"/>
      <c r="E1" s="1337"/>
      <c r="F1" s="1337"/>
      <c r="G1" s="1337"/>
      <c r="H1" s="1337"/>
      <c r="I1" s="1337"/>
      <c r="J1" s="1337"/>
      <c r="K1" s="1337"/>
      <c r="L1" s="1337"/>
      <c r="N1" s="20"/>
      <c r="O1" s="20"/>
      <c r="P1" s="1198" t="s">
        <v>1577</v>
      </c>
      <c r="Q1" s="20"/>
      <c r="R1" s="20"/>
    </row>
    <row r="2" spans="1:19" s="75" customFormat="1" ht="24.95" customHeight="1">
      <c r="A2" s="1338" t="s">
        <v>1329</v>
      </c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232"/>
      <c r="S2" s="232"/>
    </row>
    <row r="3" spans="1:19" s="243" customFormat="1" ht="24.95" customHeight="1">
      <c r="A3" s="1339" t="s">
        <v>826</v>
      </c>
      <c r="B3" s="1339"/>
      <c r="C3" s="1339"/>
      <c r="D3" s="1339"/>
      <c r="E3" s="1339"/>
      <c r="F3" s="1339"/>
      <c r="G3" s="1339"/>
      <c r="H3" s="1339"/>
      <c r="I3" s="1339"/>
      <c r="J3" s="1339"/>
      <c r="K3" s="1339"/>
      <c r="L3" s="1339"/>
      <c r="M3" s="1339"/>
      <c r="N3" s="1339"/>
      <c r="O3" s="1339"/>
      <c r="P3" s="1339"/>
      <c r="Q3" s="1339"/>
      <c r="R3" s="245"/>
      <c r="S3" s="245"/>
    </row>
    <row r="4" spans="1:19" s="243" customFormat="1" ht="24.95" customHeight="1">
      <c r="A4" s="1369" t="s">
        <v>827</v>
      </c>
      <c r="B4" s="1369"/>
      <c r="C4" s="1369"/>
      <c r="D4" s="1369"/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245"/>
      <c r="S4" s="245"/>
    </row>
    <row r="5" spans="1:19" s="243" customFormat="1" ht="9.9499999999999993" customHeight="1">
      <c r="G5" s="244"/>
      <c r="J5" s="1205"/>
      <c r="K5" s="1205"/>
      <c r="L5" s="1205"/>
      <c r="M5" s="1205"/>
      <c r="N5" s="1205"/>
      <c r="O5" s="1205"/>
      <c r="P5" s="1205"/>
      <c r="Q5" s="1205"/>
      <c r="R5" s="245"/>
      <c r="S5" s="245"/>
    </row>
    <row r="6" spans="1:19" s="27" customFormat="1" ht="15" customHeight="1" thickBot="1">
      <c r="A6" s="77" t="s">
        <v>0</v>
      </c>
      <c r="B6" s="139"/>
      <c r="C6" s="139"/>
      <c r="D6" s="139"/>
      <c r="E6" s="139"/>
      <c r="F6" s="1226"/>
      <c r="Q6" s="79" t="s">
        <v>1075</v>
      </c>
    </row>
    <row r="7" spans="1:19" s="27" customFormat="1" ht="15" customHeight="1">
      <c r="A7" s="1197" t="s">
        <v>461</v>
      </c>
      <c r="B7" s="167" t="s">
        <v>625</v>
      </c>
      <c r="C7" s="1474" t="s">
        <v>626</v>
      </c>
      <c r="D7" s="1475"/>
      <c r="E7" s="1475"/>
      <c r="F7" s="1475"/>
      <c r="G7" s="1475"/>
      <c r="H7" s="1475"/>
      <c r="I7" s="1475"/>
      <c r="J7" s="1476" t="s">
        <v>627</v>
      </c>
      <c r="K7" s="1476"/>
      <c r="L7" s="1476"/>
      <c r="M7" s="1476"/>
      <c r="N7" s="1476"/>
      <c r="O7" s="1476"/>
      <c r="P7" s="1476"/>
      <c r="Q7" s="357"/>
    </row>
    <row r="8" spans="1:19" s="84" customFormat="1" ht="15.95" customHeight="1">
      <c r="A8" s="209"/>
      <c r="B8" s="381" t="s">
        <v>270</v>
      </c>
      <c r="C8" s="168" t="s">
        <v>628</v>
      </c>
      <c r="D8" s="381" t="s">
        <v>882</v>
      </c>
      <c r="E8" s="1468" t="s">
        <v>883</v>
      </c>
      <c r="F8" s="1469"/>
      <c r="G8" s="169" t="s">
        <v>629</v>
      </c>
      <c r="H8" s="1470" t="s">
        <v>1238</v>
      </c>
      <c r="I8" s="1470"/>
      <c r="J8" s="1471" t="s">
        <v>630</v>
      </c>
      <c r="K8" s="1472"/>
      <c r="L8" s="1470" t="s">
        <v>631</v>
      </c>
      <c r="M8" s="1470"/>
      <c r="N8" s="1473"/>
      <c r="O8" s="170" t="s">
        <v>1330</v>
      </c>
      <c r="P8" s="171"/>
      <c r="Q8" s="206"/>
    </row>
    <row r="9" spans="1:19" s="84" customFormat="1" ht="15.95" customHeight="1">
      <c r="A9" s="209"/>
      <c r="B9" s="381" t="s">
        <v>1331</v>
      </c>
      <c r="C9" s="381" t="s">
        <v>632</v>
      </c>
      <c r="D9" s="338"/>
      <c r="E9" s="338"/>
      <c r="F9" s="380" t="s">
        <v>633</v>
      </c>
      <c r="G9" s="338"/>
      <c r="H9" s="380" t="s">
        <v>55</v>
      </c>
      <c r="I9" s="375" t="s">
        <v>56</v>
      </c>
      <c r="J9" s="375" t="s">
        <v>634</v>
      </c>
      <c r="K9" s="147"/>
      <c r="L9" s="320" t="s">
        <v>635</v>
      </c>
      <c r="M9" s="376"/>
      <c r="N9" s="376" t="s">
        <v>636</v>
      </c>
      <c r="O9" s="380" t="s">
        <v>637</v>
      </c>
      <c r="P9" s="375" t="s">
        <v>884</v>
      </c>
      <c r="Q9" s="320"/>
    </row>
    <row r="10" spans="1:19" s="84" customFormat="1" ht="15.95" customHeight="1">
      <c r="A10" s="307"/>
      <c r="B10" s="173"/>
      <c r="C10" s="381" t="s">
        <v>885</v>
      </c>
      <c r="D10" s="370" t="s">
        <v>638</v>
      </c>
      <c r="E10" s="370" t="s">
        <v>639</v>
      </c>
      <c r="F10" s="91" t="s">
        <v>640</v>
      </c>
      <c r="G10" s="174"/>
      <c r="H10" s="94"/>
      <c r="I10" s="175"/>
      <c r="J10" s="141"/>
      <c r="K10" s="380" t="s">
        <v>641</v>
      </c>
      <c r="L10" s="370"/>
      <c r="M10" s="380" t="s">
        <v>641</v>
      </c>
      <c r="N10" s="381"/>
      <c r="O10" s="91" t="s">
        <v>642</v>
      </c>
      <c r="P10" s="374" t="s">
        <v>643</v>
      </c>
      <c r="Q10" s="375" t="s">
        <v>644</v>
      </c>
    </row>
    <row r="11" spans="1:19" s="84" customFormat="1" ht="24.95" customHeight="1">
      <c r="A11" s="1211"/>
      <c r="B11" s="384" t="s">
        <v>645</v>
      </c>
      <c r="C11" s="384" t="s">
        <v>646</v>
      </c>
      <c r="D11" s="384" t="s">
        <v>647</v>
      </c>
      <c r="E11" s="1212" t="s">
        <v>648</v>
      </c>
      <c r="F11" s="384" t="s">
        <v>649</v>
      </c>
      <c r="G11" s="1212" t="s">
        <v>650</v>
      </c>
      <c r="H11" s="384" t="s">
        <v>57</v>
      </c>
      <c r="I11" s="1210" t="s">
        <v>30</v>
      </c>
      <c r="J11" s="384" t="s">
        <v>651</v>
      </c>
      <c r="K11" s="384" t="s">
        <v>311</v>
      </c>
      <c r="L11" s="1212" t="s">
        <v>652</v>
      </c>
      <c r="M11" s="384" t="s">
        <v>311</v>
      </c>
      <c r="N11" s="384" t="s">
        <v>653</v>
      </c>
      <c r="O11" s="384" t="s">
        <v>654</v>
      </c>
      <c r="P11" s="1210" t="s">
        <v>655</v>
      </c>
      <c r="Q11" s="328" t="s">
        <v>656</v>
      </c>
    </row>
    <row r="12" spans="1:19" ht="30" customHeight="1">
      <c r="A12" s="23">
        <v>2019</v>
      </c>
      <c r="B12" s="183">
        <v>3</v>
      </c>
      <c r="C12" s="183">
        <v>3</v>
      </c>
      <c r="D12" s="183">
        <v>0</v>
      </c>
      <c r="E12" s="183">
        <v>0</v>
      </c>
      <c r="F12" s="183">
        <v>0</v>
      </c>
      <c r="G12" s="183">
        <v>0</v>
      </c>
      <c r="H12" s="183">
        <v>1</v>
      </c>
      <c r="I12" s="183">
        <v>2</v>
      </c>
      <c r="J12" s="183">
        <v>3</v>
      </c>
      <c r="K12" s="183">
        <v>0</v>
      </c>
      <c r="L12" s="183">
        <v>0</v>
      </c>
      <c r="M12" s="183">
        <v>0</v>
      </c>
      <c r="N12" s="183">
        <v>0</v>
      </c>
      <c r="O12" s="183">
        <v>2</v>
      </c>
      <c r="P12" s="183">
        <v>1</v>
      </c>
      <c r="Q12" s="183">
        <v>1</v>
      </c>
    </row>
    <row r="13" spans="1:19" ht="30" customHeight="1">
      <c r="A13" s="23">
        <v>2020</v>
      </c>
      <c r="B13" s="183">
        <v>3</v>
      </c>
      <c r="C13" s="183">
        <v>3</v>
      </c>
      <c r="D13" s="183" t="s">
        <v>792</v>
      </c>
      <c r="E13" s="183" t="s">
        <v>792</v>
      </c>
      <c r="F13" s="183" t="s">
        <v>792</v>
      </c>
      <c r="G13" s="183" t="s">
        <v>792</v>
      </c>
      <c r="H13" s="183">
        <v>1</v>
      </c>
      <c r="I13" s="183">
        <v>2</v>
      </c>
      <c r="J13" s="183">
        <v>3</v>
      </c>
      <c r="K13" s="183" t="s">
        <v>792</v>
      </c>
      <c r="L13" s="183" t="s">
        <v>792</v>
      </c>
      <c r="M13" s="183" t="s">
        <v>792</v>
      </c>
      <c r="N13" s="183" t="s">
        <v>792</v>
      </c>
      <c r="O13" s="183">
        <v>2</v>
      </c>
      <c r="P13" s="183">
        <v>1</v>
      </c>
      <c r="Q13" s="183">
        <v>1</v>
      </c>
    </row>
    <row r="14" spans="1:19" ht="30" customHeight="1">
      <c r="A14" s="23">
        <v>2021</v>
      </c>
      <c r="B14" s="183">
        <v>3</v>
      </c>
      <c r="C14" s="183">
        <v>3</v>
      </c>
      <c r="D14" s="183" t="s">
        <v>792</v>
      </c>
      <c r="E14" s="183" t="s">
        <v>792</v>
      </c>
      <c r="F14" s="183" t="s">
        <v>792</v>
      </c>
      <c r="G14" s="183" t="s">
        <v>792</v>
      </c>
      <c r="H14" s="183">
        <v>1</v>
      </c>
      <c r="I14" s="183">
        <v>2</v>
      </c>
      <c r="J14" s="183">
        <v>3</v>
      </c>
      <c r="K14" s="183" t="s">
        <v>792</v>
      </c>
      <c r="L14" s="183" t="s">
        <v>792</v>
      </c>
      <c r="M14" s="183" t="s">
        <v>792</v>
      </c>
      <c r="N14" s="183" t="s">
        <v>792</v>
      </c>
      <c r="O14" s="183">
        <v>2</v>
      </c>
      <c r="P14" s="183">
        <v>1</v>
      </c>
      <c r="Q14" s="183">
        <v>1</v>
      </c>
    </row>
    <row r="15" spans="1:19" ht="30" customHeight="1">
      <c r="A15" s="23">
        <v>2022</v>
      </c>
      <c r="B15" s="183">
        <v>3</v>
      </c>
      <c r="C15" s="183">
        <v>3</v>
      </c>
      <c r="D15" s="183">
        <v>0</v>
      </c>
      <c r="E15" s="183">
        <v>0</v>
      </c>
      <c r="F15" s="183">
        <v>0</v>
      </c>
      <c r="G15" s="183">
        <v>0</v>
      </c>
      <c r="H15" s="183">
        <v>1</v>
      </c>
      <c r="I15" s="183">
        <v>2</v>
      </c>
      <c r="J15" s="183">
        <v>3</v>
      </c>
      <c r="K15" s="183">
        <v>0</v>
      </c>
      <c r="L15" s="183">
        <v>0</v>
      </c>
      <c r="M15" s="183">
        <v>0</v>
      </c>
      <c r="N15" s="183">
        <v>0</v>
      </c>
      <c r="O15" s="183">
        <v>2</v>
      </c>
      <c r="P15" s="183">
        <v>1</v>
      </c>
      <c r="Q15" s="183">
        <v>1</v>
      </c>
    </row>
    <row r="16" spans="1:19" ht="30" customHeight="1">
      <c r="A16" s="23">
        <v>2023</v>
      </c>
      <c r="B16" s="183">
        <v>3</v>
      </c>
      <c r="C16" s="183">
        <v>3</v>
      </c>
      <c r="D16" s="183">
        <v>0</v>
      </c>
      <c r="E16" s="183">
        <v>0</v>
      </c>
      <c r="F16" s="183">
        <v>0</v>
      </c>
      <c r="G16" s="183">
        <v>0</v>
      </c>
      <c r="H16" s="183">
        <v>1</v>
      </c>
      <c r="I16" s="183">
        <v>2</v>
      </c>
      <c r="J16" s="183">
        <v>3</v>
      </c>
      <c r="K16" s="183">
        <v>0</v>
      </c>
      <c r="L16" s="183">
        <v>0</v>
      </c>
      <c r="M16" s="183">
        <v>0</v>
      </c>
      <c r="N16" s="183">
        <v>0</v>
      </c>
      <c r="O16" s="183">
        <v>2</v>
      </c>
      <c r="P16" s="183">
        <v>1</v>
      </c>
      <c r="Q16" s="183">
        <v>1</v>
      </c>
    </row>
    <row r="17" spans="1:17" ht="30" customHeight="1" thickBot="1">
      <c r="A17" s="353">
        <v>2024</v>
      </c>
      <c r="B17" s="1119">
        <v>4</v>
      </c>
      <c r="C17" s="1119">
        <v>4</v>
      </c>
      <c r="D17" s="1119">
        <v>0</v>
      </c>
      <c r="E17" s="1119">
        <v>0</v>
      </c>
      <c r="F17" s="1119">
        <v>0</v>
      </c>
      <c r="G17" s="1119">
        <v>0</v>
      </c>
      <c r="H17" s="1119">
        <v>1</v>
      </c>
      <c r="I17" s="1119">
        <v>3</v>
      </c>
      <c r="J17" s="1119">
        <v>4</v>
      </c>
      <c r="K17" s="1119">
        <v>0</v>
      </c>
      <c r="L17" s="1119">
        <v>0</v>
      </c>
      <c r="M17" s="1119">
        <v>0</v>
      </c>
      <c r="N17" s="1119">
        <v>0</v>
      </c>
      <c r="O17" s="1119">
        <v>3</v>
      </c>
      <c r="P17" s="1119">
        <v>1</v>
      </c>
      <c r="Q17" s="1119">
        <v>1</v>
      </c>
    </row>
    <row r="18" spans="1:17">
      <c r="A18" s="97" t="s">
        <v>1742</v>
      </c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</row>
    <row r="19" spans="1:17">
      <c r="A19" s="97" t="s">
        <v>1743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</row>
    <row r="20" spans="1:17">
      <c r="A20" s="97" t="s">
        <v>1744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</row>
    <row r="21" spans="1:17" ht="13.5" customHeight="1">
      <c r="A21" s="246" t="s">
        <v>1846</v>
      </c>
    </row>
  </sheetData>
  <mergeCells count="10">
    <mergeCell ref="E8:F8"/>
    <mergeCell ref="H8:I8"/>
    <mergeCell ref="J8:K8"/>
    <mergeCell ref="L8:N8"/>
    <mergeCell ref="A1:L1"/>
    <mergeCell ref="C7:I7"/>
    <mergeCell ref="J7:P7"/>
    <mergeCell ref="A2:Q2"/>
    <mergeCell ref="A3:Q3"/>
    <mergeCell ref="A4:Q4"/>
  </mergeCells>
  <phoneticPr fontId="3" type="noConversion"/>
  <pageMargins left="0.7" right="0.7" top="0.75" bottom="0.75" header="0.3" footer="0.3"/>
  <pageSetup paperSize="9" scale="45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81BD"/>
    <outlinePr summaryBelow="0" summaryRight="0"/>
  </sheetPr>
  <dimension ref="A1:AN32"/>
  <sheetViews>
    <sheetView view="pageBreakPreview" zoomScaleNormal="100" zoomScaleSheetLayoutView="100" workbookViewId="0">
      <selection activeCell="W34" sqref="W34"/>
    </sheetView>
  </sheetViews>
  <sheetFormatPr defaultColWidth="9" defaultRowHeight="12" outlineLevelRow="1"/>
  <cols>
    <col min="1" max="1" width="7.75" style="390" customWidth="1"/>
    <col min="2" max="2" width="7.25" style="390" customWidth="1"/>
    <col min="3" max="4" width="6.5" style="390" customWidth="1"/>
    <col min="5" max="5" width="7.625" style="390" customWidth="1"/>
    <col min="6" max="7" width="7.25" style="390" customWidth="1"/>
    <col min="8" max="8" width="9.625" style="390" customWidth="1"/>
    <col min="9" max="9" width="9.75" style="390" customWidth="1"/>
    <col min="10" max="10" width="8.625" style="390" customWidth="1"/>
    <col min="11" max="11" width="9.5" style="390" customWidth="1"/>
    <col min="12" max="20" width="6.625" style="390" customWidth="1"/>
    <col min="21" max="21" width="8.625" style="390" customWidth="1"/>
    <col min="22" max="23" width="6.625" style="390" customWidth="1"/>
    <col min="24" max="25" width="9.125" style="390" customWidth="1"/>
    <col min="26" max="26" width="8.625" style="390" customWidth="1"/>
    <col min="27" max="28" width="6.625" style="390" customWidth="1"/>
    <col min="29" max="29" width="8.5" style="390" customWidth="1"/>
    <col min="30" max="30" width="12" style="390" customWidth="1"/>
    <col min="31" max="32" width="6.625" style="390" customWidth="1"/>
    <col min="33" max="33" width="12" style="390" customWidth="1"/>
    <col min="34" max="34" width="12.375" style="390" customWidth="1"/>
    <col min="35" max="35" width="12" style="390" customWidth="1"/>
    <col min="36" max="16384" width="9" style="390"/>
  </cols>
  <sheetData>
    <row r="1" spans="1:40" s="348" customFormat="1" ht="24.95" customHeight="1">
      <c r="A1" s="347" t="s">
        <v>1410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1492" t="s">
        <v>830</v>
      </c>
      <c r="S1" s="1492"/>
      <c r="T1" s="1492"/>
      <c r="U1" s="1498" t="s">
        <v>1607</v>
      </c>
      <c r="V1" s="1498"/>
      <c r="AG1" s="1492" t="s">
        <v>830</v>
      </c>
      <c r="AH1" s="1492"/>
      <c r="AI1" s="1492"/>
    </row>
    <row r="2" spans="1:40" s="385" customFormat="1" ht="24.95" customHeight="1">
      <c r="A2" s="1335" t="s">
        <v>828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  <c r="L2" s="1335"/>
      <c r="M2" s="1335"/>
      <c r="N2" s="1335"/>
      <c r="O2" s="1335"/>
      <c r="P2" s="1335"/>
      <c r="Q2" s="1335"/>
      <c r="R2" s="1335"/>
      <c r="S2" s="1335"/>
      <c r="T2" s="1335"/>
      <c r="U2" s="1335" t="s">
        <v>1608</v>
      </c>
      <c r="V2" s="1335"/>
      <c r="W2" s="1335"/>
      <c r="X2" s="1335"/>
      <c r="Y2" s="1335"/>
      <c r="Z2" s="1335"/>
      <c r="AA2" s="1335"/>
      <c r="AB2" s="1335"/>
      <c r="AC2" s="1335"/>
      <c r="AD2" s="1335"/>
      <c r="AE2" s="1335"/>
      <c r="AF2" s="1335"/>
      <c r="AG2" s="1335"/>
      <c r="AH2" s="1335"/>
      <c r="AI2" s="1335"/>
      <c r="AJ2" s="19"/>
      <c r="AK2" s="19"/>
      <c r="AL2" s="19"/>
      <c r="AM2" s="19"/>
      <c r="AN2" s="19"/>
    </row>
    <row r="3" spans="1:40" s="18" customFormat="1" ht="24.95" customHeight="1">
      <c r="A3" s="1320" t="s">
        <v>1076</v>
      </c>
      <c r="B3" s="1320"/>
      <c r="C3" s="1320"/>
      <c r="D3" s="1320"/>
      <c r="E3" s="1320"/>
      <c r="F3" s="1320"/>
      <c r="G3" s="1320"/>
      <c r="H3" s="1320"/>
      <c r="I3" s="1320"/>
      <c r="J3" s="1320"/>
      <c r="K3" s="1320"/>
      <c r="L3" s="1320"/>
      <c r="M3" s="1320"/>
      <c r="N3" s="1320"/>
      <c r="O3" s="1320"/>
      <c r="P3" s="1320"/>
      <c r="Q3" s="1320"/>
      <c r="R3" s="1320"/>
      <c r="S3" s="1320"/>
      <c r="T3" s="1320"/>
      <c r="U3" s="1320" t="s">
        <v>1609</v>
      </c>
      <c r="V3" s="1320"/>
      <c r="W3" s="1320"/>
      <c r="X3" s="1320"/>
      <c r="Y3" s="1320"/>
      <c r="Z3" s="1320"/>
      <c r="AA3" s="1320"/>
      <c r="AB3" s="1320"/>
      <c r="AC3" s="1320"/>
      <c r="AD3" s="1320"/>
      <c r="AE3" s="1320"/>
      <c r="AF3" s="1320"/>
      <c r="AG3" s="1320"/>
      <c r="AH3" s="1320"/>
      <c r="AI3" s="1320"/>
      <c r="AJ3" s="17"/>
      <c r="AK3" s="17"/>
      <c r="AL3" s="17"/>
      <c r="AM3" s="17"/>
      <c r="AN3" s="17"/>
    </row>
    <row r="4" spans="1:40" s="18" customFormat="1" ht="9.9499999999999993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  <c r="N4" s="792"/>
      <c r="O4" s="792"/>
      <c r="P4" s="792"/>
      <c r="Q4" s="792"/>
      <c r="R4" s="792"/>
      <c r="S4" s="792"/>
      <c r="T4" s="792"/>
      <c r="V4" s="412"/>
    </row>
    <row r="5" spans="1:40" s="6" customFormat="1" ht="15" customHeight="1" thickBot="1">
      <c r="A5" s="48" t="s">
        <v>1077</v>
      </c>
      <c r="B5" s="22"/>
      <c r="C5" s="22"/>
      <c r="D5" s="22"/>
      <c r="E5" s="22"/>
      <c r="F5" s="22"/>
      <c r="G5" s="22"/>
      <c r="H5" s="22"/>
      <c r="I5" s="22"/>
      <c r="T5" s="387" t="s">
        <v>1078</v>
      </c>
      <c r="U5" s="48" t="s">
        <v>1077</v>
      </c>
      <c r="AI5" s="387" t="s">
        <v>1078</v>
      </c>
    </row>
    <row r="6" spans="1:40" s="7" customFormat="1" ht="15.6" customHeight="1">
      <c r="A6" s="184" t="s">
        <v>86</v>
      </c>
      <c r="B6" s="413" t="s">
        <v>285</v>
      </c>
      <c r="C6" s="413"/>
      <c r="D6" s="413"/>
      <c r="E6" s="414"/>
      <c r="F6" s="414"/>
      <c r="G6" s="414"/>
      <c r="H6" s="413"/>
      <c r="I6" s="413"/>
      <c r="J6" s="413"/>
      <c r="K6" s="413"/>
      <c r="L6" s="413"/>
      <c r="M6" s="1326" t="s">
        <v>286</v>
      </c>
      <c r="N6" s="1493"/>
      <c r="O6" s="1493"/>
      <c r="P6" s="1493"/>
      <c r="Q6" s="1493"/>
      <c r="R6" s="1493"/>
      <c r="S6" s="1493"/>
      <c r="T6" s="1327"/>
      <c r="U6" s="1493" t="s">
        <v>286</v>
      </c>
      <c r="V6" s="1493"/>
      <c r="W6" s="1493"/>
      <c r="X6" s="1493"/>
      <c r="Y6" s="1327"/>
      <c r="Z6" s="1326" t="s">
        <v>287</v>
      </c>
      <c r="AA6" s="1493"/>
      <c r="AB6" s="1493"/>
      <c r="AC6" s="1493"/>
      <c r="AD6" s="1496" t="s">
        <v>1084</v>
      </c>
      <c r="AE6" s="1496"/>
      <c r="AF6" s="1496"/>
      <c r="AG6" s="1496"/>
      <c r="AH6" s="1496"/>
      <c r="AI6" s="1496"/>
    </row>
    <row r="7" spans="1:40" s="7" customFormat="1" ht="15.6" customHeight="1">
      <c r="A7" s="65"/>
      <c r="B7" s="1321" t="s">
        <v>1058</v>
      </c>
      <c r="C7" s="1497"/>
      <c r="D7" s="1497"/>
      <c r="E7" s="1497"/>
      <c r="F7" s="1497"/>
      <c r="G7" s="1497"/>
      <c r="H7" s="1497"/>
      <c r="I7" s="1497"/>
      <c r="J7" s="1497"/>
      <c r="K7" s="1497"/>
      <c r="L7" s="1322"/>
      <c r="M7" s="1321" t="s">
        <v>1083</v>
      </c>
      <c r="N7" s="1497"/>
      <c r="O7" s="1497"/>
      <c r="P7" s="1497"/>
      <c r="Q7" s="1497"/>
      <c r="R7" s="1497"/>
      <c r="S7" s="1497"/>
      <c r="T7" s="1322"/>
      <c r="U7" s="1497" t="s">
        <v>1083</v>
      </c>
      <c r="V7" s="1497"/>
      <c r="W7" s="1497"/>
      <c r="X7" s="1497"/>
      <c r="Y7" s="1322"/>
      <c r="Z7" s="1494"/>
      <c r="AA7" s="1495"/>
      <c r="AB7" s="1495"/>
      <c r="AC7" s="1495"/>
      <c r="AD7" s="1497"/>
      <c r="AE7" s="1497"/>
      <c r="AF7" s="1497"/>
      <c r="AG7" s="1497"/>
      <c r="AH7" s="1497"/>
      <c r="AI7" s="1497"/>
    </row>
    <row r="8" spans="1:40" s="7" customFormat="1" ht="15.6" customHeight="1">
      <c r="A8" s="65"/>
      <c r="B8" s="1487" t="s">
        <v>1411</v>
      </c>
      <c r="C8" s="1479"/>
      <c r="D8" s="1480"/>
      <c r="E8" s="1490" t="s">
        <v>1412</v>
      </c>
      <c r="F8" s="1487" t="s">
        <v>1413</v>
      </c>
      <c r="G8" s="1479"/>
      <c r="H8" s="1479"/>
      <c r="I8" s="1479"/>
      <c r="J8" s="1480"/>
      <c r="K8" s="415" t="s">
        <v>288</v>
      </c>
      <c r="L8" s="1490" t="s">
        <v>1414</v>
      </c>
      <c r="M8" s="1487" t="s">
        <v>1415</v>
      </c>
      <c r="N8" s="1479"/>
      <c r="O8" s="1480"/>
      <c r="P8" s="1332" t="s">
        <v>1416</v>
      </c>
      <c r="Q8" s="1489"/>
      <c r="R8" s="1489"/>
      <c r="S8" s="1489"/>
      <c r="T8" s="1333"/>
      <c r="U8" s="1484" t="s">
        <v>1417</v>
      </c>
      <c r="V8" s="1485"/>
      <c r="W8" s="1485"/>
      <c r="X8" s="1485"/>
      <c r="Y8" s="1486"/>
      <c r="Z8" s="1487" t="s">
        <v>1418</v>
      </c>
      <c r="AA8" s="1479"/>
      <c r="AB8" s="1479"/>
      <c r="AC8" s="1479"/>
      <c r="AD8" s="1479" t="s">
        <v>1419</v>
      </c>
      <c r="AE8" s="1479"/>
      <c r="AF8" s="1479"/>
      <c r="AG8" s="1479"/>
      <c r="AH8" s="1480"/>
      <c r="AI8" s="416" t="s">
        <v>58</v>
      </c>
    </row>
    <row r="9" spans="1:40" s="428" customFormat="1" ht="15.6" customHeight="1">
      <c r="A9" s="417"/>
      <c r="B9" s="418"/>
      <c r="C9" s="419"/>
      <c r="D9" s="420"/>
      <c r="E9" s="1491"/>
      <c r="F9" s="421"/>
      <c r="G9" s="422" t="s">
        <v>289</v>
      </c>
      <c r="H9" s="422" t="s">
        <v>290</v>
      </c>
      <c r="I9" s="422" t="s">
        <v>59</v>
      </c>
      <c r="J9" s="423" t="s">
        <v>291</v>
      </c>
      <c r="K9" s="424" t="s">
        <v>292</v>
      </c>
      <c r="L9" s="1491"/>
      <c r="M9" s="425"/>
      <c r="N9" s="419"/>
      <c r="O9" s="420"/>
      <c r="P9" s="1481" t="s">
        <v>1420</v>
      </c>
      <c r="Q9" s="1482"/>
      <c r="R9" s="1483"/>
      <c r="S9" s="422" t="s">
        <v>293</v>
      </c>
      <c r="T9" s="426" t="s">
        <v>294</v>
      </c>
      <c r="U9" s="1481" t="s">
        <v>1421</v>
      </c>
      <c r="V9" s="1482"/>
      <c r="W9" s="1483"/>
      <c r="X9" s="426" t="s">
        <v>293</v>
      </c>
      <c r="Y9" s="422" t="s">
        <v>294</v>
      </c>
      <c r="Z9" s="1481" t="s">
        <v>1421</v>
      </c>
      <c r="AA9" s="1482"/>
      <c r="AB9" s="1483"/>
      <c r="AC9" s="427" t="s">
        <v>1422</v>
      </c>
      <c r="AD9" s="1482" t="s">
        <v>1421</v>
      </c>
      <c r="AE9" s="1482"/>
      <c r="AF9" s="1483"/>
      <c r="AG9" s="422" t="s">
        <v>295</v>
      </c>
      <c r="AH9" s="426" t="s">
        <v>296</v>
      </c>
      <c r="AI9" s="418"/>
    </row>
    <row r="10" spans="1:40" s="428" customFormat="1" ht="15.6" customHeight="1">
      <c r="A10" s="429"/>
      <c r="B10" s="429"/>
      <c r="C10" s="1477" t="s">
        <v>297</v>
      </c>
      <c r="D10" s="1477" t="s">
        <v>298</v>
      </c>
      <c r="E10" s="1491"/>
      <c r="F10" s="424" t="s">
        <v>1423</v>
      </c>
      <c r="G10" s="430"/>
      <c r="H10" s="417" t="s">
        <v>299</v>
      </c>
      <c r="I10" s="424" t="s">
        <v>1066</v>
      </c>
      <c r="J10" s="431" t="s">
        <v>300</v>
      </c>
      <c r="K10" s="424" t="s">
        <v>1424</v>
      </c>
      <c r="L10" s="1491"/>
      <c r="M10" s="432"/>
      <c r="N10" s="1477" t="s">
        <v>297</v>
      </c>
      <c r="O10" s="1477" t="s">
        <v>298</v>
      </c>
      <c r="P10" s="432"/>
      <c r="Q10" s="1477" t="s">
        <v>297</v>
      </c>
      <c r="R10" s="1477" t="s">
        <v>298</v>
      </c>
      <c r="S10" s="424" t="s">
        <v>301</v>
      </c>
      <c r="T10" s="417" t="s">
        <v>302</v>
      </c>
      <c r="U10" s="433"/>
      <c r="V10" s="1477" t="s">
        <v>297</v>
      </c>
      <c r="W10" s="1477" t="s">
        <v>298</v>
      </c>
      <c r="X10" s="417" t="s">
        <v>301</v>
      </c>
      <c r="Y10" s="431" t="s">
        <v>302</v>
      </c>
      <c r="Z10" s="433"/>
      <c r="AA10" s="1477" t="s">
        <v>297</v>
      </c>
      <c r="AB10" s="1477" t="s">
        <v>298</v>
      </c>
      <c r="AC10" s="434"/>
      <c r="AD10" s="435"/>
      <c r="AE10" s="1477" t="s">
        <v>297</v>
      </c>
      <c r="AF10" s="1477" t="s">
        <v>298</v>
      </c>
      <c r="AG10" s="436"/>
      <c r="AH10" s="417"/>
      <c r="AI10" s="418"/>
    </row>
    <row r="11" spans="1:40" s="428" customFormat="1" ht="15.6" customHeight="1">
      <c r="A11" s="429"/>
      <c r="B11" s="429"/>
      <c r="C11" s="1478"/>
      <c r="D11" s="1478"/>
      <c r="E11" s="432"/>
      <c r="F11" s="432"/>
      <c r="G11" s="430"/>
      <c r="H11" s="429"/>
      <c r="I11" s="429"/>
      <c r="J11" s="437" t="s">
        <v>303</v>
      </c>
      <c r="K11" s="434"/>
      <c r="L11" s="425"/>
      <c r="M11" s="432"/>
      <c r="N11" s="1478"/>
      <c r="O11" s="1478"/>
      <c r="P11" s="432"/>
      <c r="Q11" s="1478"/>
      <c r="R11" s="1478"/>
      <c r="S11" s="434"/>
      <c r="T11" s="429"/>
      <c r="U11" s="438"/>
      <c r="V11" s="1478"/>
      <c r="W11" s="1478"/>
      <c r="X11" s="439"/>
      <c r="Y11" s="434"/>
      <c r="Z11" s="438"/>
      <c r="AA11" s="1478"/>
      <c r="AB11" s="1478"/>
      <c r="AC11" s="434"/>
      <c r="AD11" s="440"/>
      <c r="AE11" s="1478"/>
      <c r="AF11" s="1478"/>
      <c r="AG11" s="434"/>
      <c r="AH11" s="429"/>
      <c r="AI11" s="418"/>
    </row>
    <row r="12" spans="1:40" s="428" customFormat="1" ht="15.6" customHeight="1">
      <c r="A12" s="429"/>
      <c r="B12" s="429"/>
      <c r="C12" s="1478"/>
      <c r="D12" s="1478"/>
      <c r="E12" s="432"/>
      <c r="F12" s="432"/>
      <c r="G12" s="432"/>
      <c r="H12" s="429"/>
      <c r="I12" s="429"/>
      <c r="J12" s="441" t="s">
        <v>1070</v>
      </c>
      <c r="K12" s="434" t="s">
        <v>1071</v>
      </c>
      <c r="L12" s="425"/>
      <c r="M12" s="432"/>
      <c r="N12" s="1478"/>
      <c r="O12" s="1478"/>
      <c r="P12" s="432"/>
      <c r="Q12" s="1478"/>
      <c r="R12" s="1478"/>
      <c r="S12" s="434"/>
      <c r="T12" s="429"/>
      <c r="U12" s="438"/>
      <c r="V12" s="1478"/>
      <c r="W12" s="1478"/>
      <c r="X12" s="439"/>
      <c r="Y12" s="441"/>
      <c r="Z12" s="438"/>
      <c r="AA12" s="1478"/>
      <c r="AB12" s="1478"/>
      <c r="AC12" s="434"/>
      <c r="AD12" s="440"/>
      <c r="AE12" s="1478"/>
      <c r="AF12" s="1478"/>
      <c r="AG12" s="434"/>
      <c r="AH12" s="429"/>
      <c r="AI12" s="418"/>
    </row>
    <row r="13" spans="1:40" s="428" customFormat="1" ht="15.6" customHeight="1">
      <c r="A13" s="429"/>
      <c r="B13" s="429"/>
      <c r="C13" s="429"/>
      <c r="D13" s="429"/>
      <c r="E13" s="432"/>
      <c r="F13" s="432"/>
      <c r="G13" s="432"/>
      <c r="H13" s="429" t="s">
        <v>1061</v>
      </c>
      <c r="I13" s="429"/>
      <c r="J13" s="441" t="s">
        <v>1069</v>
      </c>
      <c r="K13" s="434" t="s">
        <v>1072</v>
      </c>
      <c r="L13" s="425"/>
      <c r="M13" s="432"/>
      <c r="N13" s="429"/>
      <c r="O13" s="429"/>
      <c r="P13" s="432"/>
      <c r="Q13" s="429"/>
      <c r="R13" s="429"/>
      <c r="S13" s="434" t="s">
        <v>1079</v>
      </c>
      <c r="T13" s="429"/>
      <c r="U13" s="438"/>
      <c r="V13" s="432"/>
      <c r="W13" s="429"/>
      <c r="X13" s="434" t="s">
        <v>1079</v>
      </c>
      <c r="Y13" s="429"/>
      <c r="Z13" s="438"/>
      <c r="AA13" s="432"/>
      <c r="AB13" s="429"/>
      <c r="AC13" s="434"/>
      <c r="AD13" s="440"/>
      <c r="AE13" s="432"/>
      <c r="AF13" s="429"/>
      <c r="AG13" s="434"/>
      <c r="AH13" s="429"/>
      <c r="AI13" s="418"/>
    </row>
    <row r="14" spans="1:40" s="428" customFormat="1" ht="15.6" customHeight="1">
      <c r="A14" s="429"/>
      <c r="B14" s="429"/>
      <c r="C14" s="429"/>
      <c r="D14" s="429"/>
      <c r="E14" s="432" t="s">
        <v>1059</v>
      </c>
      <c r="F14" s="432"/>
      <c r="G14" s="432"/>
      <c r="H14" s="429" t="s">
        <v>1062</v>
      </c>
      <c r="I14" s="429" t="s">
        <v>1065</v>
      </c>
      <c r="J14" s="441" t="s">
        <v>1067</v>
      </c>
      <c r="K14" s="434" t="s">
        <v>1073</v>
      </c>
      <c r="L14" s="425"/>
      <c r="M14" s="432"/>
      <c r="N14" s="429"/>
      <c r="O14" s="429"/>
      <c r="P14" s="432"/>
      <c r="Q14" s="429"/>
      <c r="R14" s="429"/>
      <c r="S14" s="434" t="s">
        <v>1081</v>
      </c>
      <c r="T14" s="429" t="s">
        <v>1079</v>
      </c>
      <c r="U14" s="438"/>
      <c r="V14" s="432"/>
      <c r="W14" s="429"/>
      <c r="X14" s="434" t="s">
        <v>1081</v>
      </c>
      <c r="Y14" s="429" t="s">
        <v>1079</v>
      </c>
      <c r="Z14" s="438"/>
      <c r="AA14" s="432"/>
      <c r="AB14" s="429"/>
      <c r="AC14" s="434" t="s">
        <v>304</v>
      </c>
      <c r="AD14" s="440"/>
      <c r="AE14" s="432"/>
      <c r="AF14" s="429"/>
      <c r="AG14" s="434" t="s">
        <v>305</v>
      </c>
      <c r="AH14" s="429" t="s">
        <v>305</v>
      </c>
      <c r="AI14" s="418"/>
    </row>
    <row r="15" spans="1:40" s="428" customFormat="1" ht="15.6" customHeight="1">
      <c r="A15" s="442"/>
      <c r="B15" s="420"/>
      <c r="C15" s="420" t="s">
        <v>307</v>
      </c>
      <c r="D15" s="420" t="s">
        <v>308</v>
      </c>
      <c r="E15" s="443" t="s">
        <v>1060</v>
      </c>
      <c r="F15" s="443" t="s">
        <v>887</v>
      </c>
      <c r="G15" s="443" t="s">
        <v>309</v>
      </c>
      <c r="H15" s="420" t="s">
        <v>1063</v>
      </c>
      <c r="I15" s="443" t="s">
        <v>1064</v>
      </c>
      <c r="J15" s="444" t="s">
        <v>1068</v>
      </c>
      <c r="K15" s="434" t="s">
        <v>1074</v>
      </c>
      <c r="L15" s="445" t="s">
        <v>310</v>
      </c>
      <c r="M15" s="443"/>
      <c r="N15" s="420" t="s">
        <v>307</v>
      </c>
      <c r="O15" s="420" t="s">
        <v>308</v>
      </c>
      <c r="P15" s="443"/>
      <c r="Q15" s="420" t="s">
        <v>307</v>
      </c>
      <c r="R15" s="420" t="s">
        <v>308</v>
      </c>
      <c r="S15" s="446" t="s">
        <v>1080</v>
      </c>
      <c r="T15" s="420" t="s">
        <v>1082</v>
      </c>
      <c r="U15" s="447"/>
      <c r="V15" s="443" t="s">
        <v>307</v>
      </c>
      <c r="W15" s="420" t="s">
        <v>308</v>
      </c>
      <c r="X15" s="446" t="s">
        <v>1080</v>
      </c>
      <c r="Y15" s="420" t="s">
        <v>1082</v>
      </c>
      <c r="Z15" s="447"/>
      <c r="AA15" s="443" t="s">
        <v>307</v>
      </c>
      <c r="AB15" s="420" t="s">
        <v>308</v>
      </c>
      <c r="AC15" s="446" t="s">
        <v>1085</v>
      </c>
      <c r="AD15" s="448"/>
      <c r="AE15" s="443" t="s">
        <v>307</v>
      </c>
      <c r="AF15" s="420" t="s">
        <v>308</v>
      </c>
      <c r="AG15" s="446" t="s">
        <v>311</v>
      </c>
      <c r="AH15" s="420" t="s">
        <v>312</v>
      </c>
      <c r="AI15" s="419" t="s">
        <v>313</v>
      </c>
    </row>
    <row r="16" spans="1:40" s="8" customFormat="1" ht="21" customHeight="1">
      <c r="A16" s="15">
        <v>2019</v>
      </c>
      <c r="B16" s="449">
        <v>161</v>
      </c>
      <c r="C16" s="449">
        <v>97</v>
      </c>
      <c r="D16" s="449">
        <v>64</v>
      </c>
      <c r="E16" s="449">
        <v>136</v>
      </c>
      <c r="F16" s="449">
        <v>20</v>
      </c>
      <c r="G16" s="449">
        <v>19</v>
      </c>
      <c r="H16" s="449">
        <v>0</v>
      </c>
      <c r="I16" s="449">
        <v>1</v>
      </c>
      <c r="J16" s="449">
        <v>0</v>
      </c>
      <c r="K16" s="449">
        <v>0</v>
      </c>
      <c r="L16" s="450">
        <v>5</v>
      </c>
      <c r="M16" s="449">
        <v>1346</v>
      </c>
      <c r="N16" s="449" t="s">
        <v>1802</v>
      </c>
      <c r="O16" s="449" t="s">
        <v>1802</v>
      </c>
      <c r="P16" s="449">
        <v>1051</v>
      </c>
      <c r="Q16" s="449" t="s">
        <v>1802</v>
      </c>
      <c r="R16" s="449" t="s">
        <v>1802</v>
      </c>
      <c r="S16" s="449">
        <v>1051</v>
      </c>
      <c r="T16" s="450">
        <v>0</v>
      </c>
      <c r="U16" s="449">
        <v>295</v>
      </c>
      <c r="V16" s="449" t="s">
        <v>1802</v>
      </c>
      <c r="W16" s="449" t="s">
        <v>1802</v>
      </c>
      <c r="X16" s="449">
        <v>295</v>
      </c>
      <c r="Y16" s="450">
        <v>0</v>
      </c>
      <c r="Z16" s="451">
        <v>54913</v>
      </c>
      <c r="AA16" s="449" t="s">
        <v>1802</v>
      </c>
      <c r="AB16" s="449" t="s">
        <v>1802</v>
      </c>
      <c r="AC16" s="449">
        <v>54913</v>
      </c>
      <c r="AD16" s="451">
        <v>14</v>
      </c>
      <c r="AE16" s="451">
        <v>8</v>
      </c>
      <c r="AF16" s="451">
        <v>6</v>
      </c>
      <c r="AG16" s="449">
        <v>1</v>
      </c>
      <c r="AH16" s="449">
        <v>13</v>
      </c>
      <c r="AI16" s="449">
        <v>74</v>
      </c>
    </row>
    <row r="17" spans="1:35" s="8" customFormat="1" ht="21" customHeight="1">
      <c r="A17" s="15">
        <v>2020</v>
      </c>
      <c r="B17" s="449">
        <v>102</v>
      </c>
      <c r="C17" s="449">
        <v>62</v>
      </c>
      <c r="D17" s="449">
        <v>40</v>
      </c>
      <c r="E17" s="449">
        <v>84</v>
      </c>
      <c r="F17" s="449">
        <v>16</v>
      </c>
      <c r="G17" s="449">
        <v>15</v>
      </c>
      <c r="H17" s="449">
        <v>0</v>
      </c>
      <c r="I17" s="449">
        <v>1</v>
      </c>
      <c r="J17" s="449">
        <v>0</v>
      </c>
      <c r="K17" s="449">
        <v>0</v>
      </c>
      <c r="L17" s="450">
        <v>2</v>
      </c>
      <c r="M17" s="449">
        <v>882</v>
      </c>
      <c r="N17" s="449" t="s">
        <v>1802</v>
      </c>
      <c r="O17" s="449" t="s">
        <v>1802</v>
      </c>
      <c r="P17" s="449">
        <v>121</v>
      </c>
      <c r="Q17" s="449" t="s">
        <v>1802</v>
      </c>
      <c r="R17" s="449" t="s">
        <v>1802</v>
      </c>
      <c r="S17" s="449">
        <v>121</v>
      </c>
      <c r="T17" s="450">
        <v>0</v>
      </c>
      <c r="U17" s="449">
        <v>761</v>
      </c>
      <c r="V17" s="449" t="s">
        <v>1802</v>
      </c>
      <c r="W17" s="449" t="s">
        <v>1802</v>
      </c>
      <c r="X17" s="449">
        <v>761</v>
      </c>
      <c r="Y17" s="450">
        <v>0</v>
      </c>
      <c r="Z17" s="451">
        <v>9891</v>
      </c>
      <c r="AA17" s="449" t="s">
        <v>1802</v>
      </c>
      <c r="AB17" s="449" t="s">
        <v>1802</v>
      </c>
      <c r="AC17" s="449">
        <v>9891</v>
      </c>
      <c r="AD17" s="451">
        <v>5</v>
      </c>
      <c r="AE17" s="451">
        <v>2</v>
      </c>
      <c r="AF17" s="451">
        <v>3</v>
      </c>
      <c r="AG17" s="449">
        <v>2</v>
      </c>
      <c r="AH17" s="449">
        <v>3</v>
      </c>
      <c r="AI17" s="449">
        <v>49</v>
      </c>
    </row>
    <row r="18" spans="1:35" s="8" customFormat="1" ht="21" customHeight="1">
      <c r="A18" s="15">
        <v>2021</v>
      </c>
      <c r="B18" s="452">
        <v>118</v>
      </c>
      <c r="C18" s="449">
        <v>76</v>
      </c>
      <c r="D18" s="449">
        <v>42</v>
      </c>
      <c r="E18" s="449">
        <v>96</v>
      </c>
      <c r="F18" s="449">
        <v>19</v>
      </c>
      <c r="G18" s="449">
        <v>16</v>
      </c>
      <c r="H18" s="449">
        <v>2</v>
      </c>
      <c r="I18" s="449">
        <v>1</v>
      </c>
      <c r="J18" s="449">
        <v>0</v>
      </c>
      <c r="K18" s="449">
        <v>2</v>
      </c>
      <c r="L18" s="450">
        <v>1</v>
      </c>
      <c r="M18" s="449">
        <v>883</v>
      </c>
      <c r="N18" s="449" t="s">
        <v>1802</v>
      </c>
      <c r="O18" s="449" t="s">
        <v>1802</v>
      </c>
      <c r="P18" s="449">
        <v>60</v>
      </c>
      <c r="Q18" s="449" t="s">
        <v>1802</v>
      </c>
      <c r="R18" s="449" t="s">
        <v>1802</v>
      </c>
      <c r="S18" s="449">
        <v>60</v>
      </c>
      <c r="T18" s="450">
        <v>0</v>
      </c>
      <c r="U18" s="449">
        <v>823</v>
      </c>
      <c r="V18" s="449" t="s">
        <v>1802</v>
      </c>
      <c r="W18" s="449" t="s">
        <v>1802</v>
      </c>
      <c r="X18" s="449">
        <v>823</v>
      </c>
      <c r="Y18" s="450">
        <v>0</v>
      </c>
      <c r="Z18" s="449">
        <v>9451</v>
      </c>
      <c r="AA18" s="449" t="s">
        <v>1802</v>
      </c>
      <c r="AB18" s="449" t="s">
        <v>1802</v>
      </c>
      <c r="AC18" s="449">
        <v>9451</v>
      </c>
      <c r="AD18" s="449">
        <v>5</v>
      </c>
      <c r="AE18" s="449">
        <v>3</v>
      </c>
      <c r="AF18" s="449">
        <v>2</v>
      </c>
      <c r="AG18" s="449">
        <v>5</v>
      </c>
      <c r="AH18" s="449">
        <v>0</v>
      </c>
      <c r="AI18" s="449">
        <v>47</v>
      </c>
    </row>
    <row r="19" spans="1:35" s="8" customFormat="1" ht="21" customHeight="1">
      <c r="A19" s="15">
        <v>2022</v>
      </c>
      <c r="B19" s="452">
        <v>133</v>
      </c>
      <c r="C19" s="449">
        <v>81</v>
      </c>
      <c r="D19" s="449">
        <v>52</v>
      </c>
      <c r="E19" s="449">
        <v>103</v>
      </c>
      <c r="F19" s="449">
        <v>20</v>
      </c>
      <c r="G19" s="449">
        <v>19</v>
      </c>
      <c r="H19" s="449">
        <v>0</v>
      </c>
      <c r="I19" s="449">
        <v>1</v>
      </c>
      <c r="J19" s="449">
        <v>0</v>
      </c>
      <c r="K19" s="449">
        <v>0</v>
      </c>
      <c r="L19" s="450">
        <v>10</v>
      </c>
      <c r="M19" s="449">
        <v>708</v>
      </c>
      <c r="N19" s="449">
        <v>347</v>
      </c>
      <c r="O19" s="449">
        <v>361</v>
      </c>
      <c r="P19" s="449">
        <v>0</v>
      </c>
      <c r="Q19" s="449">
        <v>0</v>
      </c>
      <c r="R19" s="449">
        <v>0</v>
      </c>
      <c r="S19" s="449">
        <v>0</v>
      </c>
      <c r="T19" s="450">
        <v>0</v>
      </c>
      <c r="U19" s="449">
        <v>708</v>
      </c>
      <c r="V19" s="449">
        <v>347</v>
      </c>
      <c r="W19" s="449">
        <v>361</v>
      </c>
      <c r="X19" s="449">
        <v>708</v>
      </c>
      <c r="Y19" s="450">
        <v>0</v>
      </c>
      <c r="Z19" s="449">
        <v>25518</v>
      </c>
      <c r="AA19" s="449" t="s">
        <v>1802</v>
      </c>
      <c r="AB19" s="449" t="s">
        <v>1802</v>
      </c>
      <c r="AC19" s="449">
        <v>25518</v>
      </c>
      <c r="AD19" s="449">
        <v>3</v>
      </c>
      <c r="AE19" s="449">
        <v>2</v>
      </c>
      <c r="AF19" s="449">
        <v>1</v>
      </c>
      <c r="AG19" s="449">
        <v>1</v>
      </c>
      <c r="AH19" s="449">
        <v>2</v>
      </c>
      <c r="AI19" s="449">
        <v>58</v>
      </c>
    </row>
    <row r="20" spans="1:35" s="8" customFormat="1" ht="21" customHeight="1">
      <c r="A20" s="15">
        <v>2023</v>
      </c>
      <c r="B20" s="452">
        <v>92</v>
      </c>
      <c r="C20" s="449">
        <v>49</v>
      </c>
      <c r="D20" s="449">
        <v>43</v>
      </c>
      <c r="E20" s="449">
        <v>79</v>
      </c>
      <c r="F20" s="449">
        <v>11</v>
      </c>
      <c r="G20" s="449">
        <v>9</v>
      </c>
      <c r="H20" s="449">
        <v>0</v>
      </c>
      <c r="I20" s="449">
        <v>0</v>
      </c>
      <c r="J20" s="449">
        <v>2</v>
      </c>
      <c r="K20" s="449">
        <v>0</v>
      </c>
      <c r="L20" s="450">
        <v>2</v>
      </c>
      <c r="M20" s="449">
        <v>0</v>
      </c>
      <c r="N20" s="449">
        <v>0</v>
      </c>
      <c r="O20" s="449">
        <v>0</v>
      </c>
      <c r="P20" s="449">
        <v>0</v>
      </c>
      <c r="Q20" s="449">
        <v>0</v>
      </c>
      <c r="R20" s="449">
        <v>0</v>
      </c>
      <c r="S20" s="449">
        <v>0</v>
      </c>
      <c r="T20" s="450"/>
      <c r="U20" s="449">
        <v>0</v>
      </c>
      <c r="V20" s="449">
        <v>0</v>
      </c>
      <c r="W20" s="449">
        <v>0</v>
      </c>
      <c r="X20" s="449">
        <v>0</v>
      </c>
      <c r="Y20" s="450">
        <v>0</v>
      </c>
      <c r="Z20" s="449">
        <v>25403</v>
      </c>
      <c r="AA20" s="449" t="s">
        <v>1802</v>
      </c>
      <c r="AB20" s="449" t="s">
        <v>1802</v>
      </c>
      <c r="AC20" s="449">
        <v>25403</v>
      </c>
      <c r="AD20" s="449">
        <v>8</v>
      </c>
      <c r="AE20" s="449">
        <v>4</v>
      </c>
      <c r="AF20" s="449">
        <v>4</v>
      </c>
      <c r="AG20" s="449">
        <v>3</v>
      </c>
      <c r="AH20" s="449">
        <v>5</v>
      </c>
      <c r="AI20" s="449">
        <v>41</v>
      </c>
    </row>
    <row r="21" spans="1:35" s="8" customFormat="1" ht="20.100000000000001" customHeight="1" outlineLevel="1" thickBot="1">
      <c r="A21" s="359">
        <v>2024</v>
      </c>
      <c r="B21" s="1120">
        <f>C21+D21</f>
        <v>75</v>
      </c>
      <c r="C21" s="1121">
        <v>52</v>
      </c>
      <c r="D21" s="1121">
        <v>23</v>
      </c>
      <c r="E21" s="1121">
        <v>64</v>
      </c>
      <c r="F21" s="1122">
        <f>SUM(G21:J21)</f>
        <v>8</v>
      </c>
      <c r="G21" s="1121">
        <v>8</v>
      </c>
      <c r="H21" s="1121">
        <v>0</v>
      </c>
      <c r="I21" s="1121">
        <v>0</v>
      </c>
      <c r="J21" s="1123">
        <v>0</v>
      </c>
      <c r="K21" s="1123">
        <v>0</v>
      </c>
      <c r="L21" s="1124">
        <v>3</v>
      </c>
      <c r="M21" s="1125">
        <v>626</v>
      </c>
      <c r="N21" s="1123" t="s">
        <v>1779</v>
      </c>
      <c r="O21" s="1123" t="s">
        <v>1779</v>
      </c>
      <c r="P21" s="1123">
        <v>17</v>
      </c>
      <c r="Q21" s="1123" t="s">
        <v>1779</v>
      </c>
      <c r="R21" s="1123" t="s">
        <v>1779</v>
      </c>
      <c r="S21" s="1123">
        <v>17</v>
      </c>
      <c r="T21" s="1124">
        <v>0</v>
      </c>
      <c r="U21" s="1121">
        <v>609</v>
      </c>
      <c r="V21" s="1123" t="s">
        <v>1779</v>
      </c>
      <c r="W21" s="1123" t="s">
        <v>1779</v>
      </c>
      <c r="X21" s="1121">
        <v>609</v>
      </c>
      <c r="Y21" s="1126">
        <v>0</v>
      </c>
      <c r="Z21" s="1123">
        <v>29369</v>
      </c>
      <c r="AA21" s="1123" t="s">
        <v>1715</v>
      </c>
      <c r="AB21" s="1123" t="s">
        <v>1715</v>
      </c>
      <c r="AC21" s="1123">
        <v>29369</v>
      </c>
      <c r="AD21" s="1123">
        <v>5</v>
      </c>
      <c r="AE21" s="1123">
        <v>4</v>
      </c>
      <c r="AF21" s="1123">
        <v>1</v>
      </c>
      <c r="AG21" s="1123">
        <v>2</v>
      </c>
      <c r="AH21" s="1123">
        <v>3</v>
      </c>
      <c r="AI21" s="1123">
        <v>26</v>
      </c>
    </row>
    <row r="22" spans="1:35" s="455" customFormat="1" ht="15" customHeight="1">
      <c r="A22" s="453" t="s">
        <v>1801</v>
      </c>
      <c r="B22" s="453"/>
      <c r="C22" s="453"/>
      <c r="D22" s="453"/>
      <c r="E22" s="453"/>
      <c r="F22" s="453"/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4"/>
      <c r="AD22" s="454"/>
      <c r="AE22" s="454"/>
      <c r="AF22" s="454"/>
      <c r="AG22" s="454"/>
      <c r="AH22" s="454"/>
      <c r="AI22" s="454"/>
    </row>
    <row r="23" spans="1:35" s="455" customFormat="1" ht="12" customHeight="1">
      <c r="A23" s="456" t="s">
        <v>314</v>
      </c>
      <c r="B23" s="453"/>
      <c r="C23" s="453"/>
      <c r="D23" s="453"/>
      <c r="E23" s="453"/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  <c r="W23" s="453"/>
      <c r="X23" s="453"/>
      <c r="Y23" s="453"/>
      <c r="Z23" s="453"/>
      <c r="AA23" s="453"/>
      <c r="AB23" s="453"/>
      <c r="AC23" s="454"/>
      <c r="AD23" s="454"/>
      <c r="AE23" s="454"/>
      <c r="AF23" s="454"/>
      <c r="AG23" s="454"/>
      <c r="AH23" s="454"/>
      <c r="AI23" s="454"/>
    </row>
    <row r="24" spans="1:35" s="455" customFormat="1" ht="12" customHeight="1">
      <c r="A24" s="456" t="s">
        <v>1408</v>
      </c>
      <c r="B24" s="453"/>
      <c r="C24" s="453"/>
      <c r="D24" s="453"/>
      <c r="E24" s="453"/>
      <c r="F24" s="453"/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  <c r="AA24" s="453"/>
      <c r="AB24" s="453"/>
      <c r="AC24" s="454"/>
      <c r="AD24" s="454"/>
      <c r="AE24" s="454"/>
      <c r="AF24" s="454"/>
      <c r="AG24" s="454"/>
      <c r="AH24" s="454"/>
      <c r="AI24" s="454"/>
    </row>
    <row r="25" spans="1:35" s="455" customFormat="1" ht="12" customHeight="1">
      <c r="A25" s="456" t="s">
        <v>315</v>
      </c>
      <c r="B25" s="453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  <c r="O25" s="453"/>
      <c r="P25" s="453"/>
      <c r="Q25" s="453"/>
      <c r="R25" s="453"/>
      <c r="S25" s="453"/>
      <c r="T25" s="453"/>
      <c r="U25" s="453"/>
      <c r="V25" s="453"/>
      <c r="W25" s="453"/>
      <c r="X25" s="453"/>
      <c r="Y25" s="453"/>
      <c r="Z25" s="453"/>
      <c r="AA25" s="453"/>
      <c r="AB25" s="453"/>
      <c r="AC25" s="454"/>
      <c r="AD25" s="454"/>
      <c r="AE25" s="454"/>
      <c r="AF25" s="454"/>
      <c r="AG25" s="454"/>
      <c r="AH25" s="454"/>
      <c r="AI25" s="454"/>
    </row>
    <row r="26" spans="1:35" s="455" customFormat="1" ht="12" customHeight="1">
      <c r="A26" s="456" t="s">
        <v>1409</v>
      </c>
      <c r="B26" s="453"/>
      <c r="C26" s="453"/>
      <c r="D26" s="453"/>
      <c r="E26" s="453"/>
      <c r="F26" s="453"/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  <c r="AA26" s="453"/>
      <c r="AB26" s="453"/>
      <c r="AC26" s="454"/>
      <c r="AD26" s="454"/>
      <c r="AE26" s="454"/>
      <c r="AF26" s="454"/>
      <c r="AG26" s="454"/>
      <c r="AH26" s="454"/>
      <c r="AI26" s="454"/>
    </row>
    <row r="27" spans="1:35" s="455" customFormat="1" ht="12" customHeight="1">
      <c r="A27" s="456" t="s">
        <v>316</v>
      </c>
      <c r="B27" s="453"/>
      <c r="C27" s="453"/>
      <c r="D27" s="453"/>
      <c r="E27" s="453"/>
      <c r="F27" s="453"/>
      <c r="G27" s="453"/>
      <c r="H27" s="453"/>
      <c r="I27" s="453"/>
      <c r="J27" s="453"/>
      <c r="K27" s="453"/>
      <c r="L27" s="453"/>
      <c r="M27" s="453"/>
      <c r="N27" s="453"/>
      <c r="O27" s="453"/>
      <c r="P27" s="453"/>
      <c r="Q27" s="453"/>
      <c r="R27" s="453"/>
      <c r="S27" s="453"/>
      <c r="T27" s="453"/>
      <c r="U27" s="453"/>
      <c r="V27" s="453"/>
      <c r="W27" s="453"/>
      <c r="X27" s="453"/>
      <c r="Y27" s="453"/>
      <c r="Z27" s="453"/>
      <c r="AA27" s="453"/>
      <c r="AB27" s="453"/>
      <c r="AC27" s="454"/>
      <c r="AD27" s="454"/>
      <c r="AE27" s="454"/>
      <c r="AF27" s="454"/>
      <c r="AG27" s="454"/>
      <c r="AH27" s="454"/>
      <c r="AI27" s="454"/>
    </row>
    <row r="28" spans="1:35" s="10" customFormat="1" ht="12" customHeight="1">
      <c r="A28" s="1488" t="s">
        <v>1717</v>
      </c>
      <c r="B28" s="1488"/>
      <c r="C28" s="1488"/>
      <c r="D28" s="1488"/>
      <c r="E28" s="1488"/>
      <c r="F28" s="1488"/>
      <c r="G28" s="1488"/>
      <c r="H28" s="1488"/>
      <c r="Z28" s="457"/>
      <c r="AA28" s="457"/>
      <c r="AB28" s="457"/>
      <c r="AC28" s="457"/>
      <c r="AD28" s="457"/>
      <c r="AE28" s="457"/>
      <c r="AF28" s="457"/>
      <c r="AG28" s="457"/>
      <c r="AH28" s="457"/>
      <c r="AI28" s="457"/>
    </row>
    <row r="29" spans="1:35">
      <c r="A29" s="458"/>
      <c r="B29" s="458"/>
    </row>
    <row r="30" spans="1:35">
      <c r="A30" s="459"/>
      <c r="B30" s="459"/>
    </row>
    <row r="31" spans="1:35">
      <c r="A31" s="458"/>
      <c r="B31" s="458"/>
    </row>
    <row r="32" spans="1:35">
      <c r="A32" s="460"/>
      <c r="B32" s="460"/>
    </row>
  </sheetData>
  <sheetProtection selectLockedCells="1"/>
  <mergeCells count="40">
    <mergeCell ref="AG1:AI1"/>
    <mergeCell ref="M6:T6"/>
    <mergeCell ref="U6:Y6"/>
    <mergeCell ref="Z6:AC7"/>
    <mergeCell ref="AD6:AI7"/>
    <mergeCell ref="U7:Y7"/>
    <mergeCell ref="R1:T1"/>
    <mergeCell ref="U1:V1"/>
    <mergeCell ref="A2:T2"/>
    <mergeCell ref="A3:T3"/>
    <mergeCell ref="U2:AI2"/>
    <mergeCell ref="U3:AI3"/>
    <mergeCell ref="B7:L7"/>
    <mergeCell ref="M7:T7"/>
    <mergeCell ref="A28:H28"/>
    <mergeCell ref="B8:D8"/>
    <mergeCell ref="F8:J8"/>
    <mergeCell ref="M8:O8"/>
    <mergeCell ref="P8:T8"/>
    <mergeCell ref="E8:E10"/>
    <mergeCell ref="L8:L10"/>
    <mergeCell ref="C10:C12"/>
    <mergeCell ref="D10:D12"/>
    <mergeCell ref="N10:N12"/>
    <mergeCell ref="O10:O12"/>
    <mergeCell ref="R10:R12"/>
    <mergeCell ref="Q10:Q12"/>
    <mergeCell ref="AD8:AH8"/>
    <mergeCell ref="P9:R9"/>
    <mergeCell ref="U9:W9"/>
    <mergeCell ref="Z9:AB9"/>
    <mergeCell ref="AD9:AF9"/>
    <mergeCell ref="U8:Y8"/>
    <mergeCell ref="Z8:AC8"/>
    <mergeCell ref="AB10:AB12"/>
    <mergeCell ref="AA10:AA12"/>
    <mergeCell ref="W10:W12"/>
    <mergeCell ref="V10:V12"/>
    <mergeCell ref="AF10:AF12"/>
    <mergeCell ref="AE10:AE12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46" pageOrder="overThenDown" orientation="portrait" blackAndWhite="1" r:id="rId1"/>
  <headerFooter alignWithMargins="0"/>
  <colBreaks count="1" manualBreakCount="1">
    <brk id="20" max="2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F81BD"/>
    <outlinePr summaryBelow="0" summaryRight="0"/>
  </sheetPr>
  <dimension ref="A1:F20"/>
  <sheetViews>
    <sheetView view="pageBreakPreview" zoomScaleNormal="100" zoomScaleSheetLayoutView="100" workbookViewId="0">
      <selection sqref="A1:XFD1048576"/>
    </sheetView>
  </sheetViews>
  <sheetFormatPr defaultColWidth="9" defaultRowHeight="14.25" outlineLevelRow="1"/>
  <cols>
    <col min="1" max="1" width="11.5" style="163" customWidth="1"/>
    <col min="2" max="2" width="20.625" style="163" customWidth="1"/>
    <col min="3" max="3" width="22.75" style="163" customWidth="1"/>
    <col min="4" max="5" width="20.625" style="163" customWidth="1"/>
    <col min="6" max="6" width="9" style="163"/>
    <col min="7" max="7" width="14.5" style="163" customWidth="1"/>
    <col min="8" max="16384" width="9" style="163"/>
  </cols>
  <sheetData>
    <row r="1" spans="1:6" s="1198" customFormat="1" ht="24.95" customHeight="1">
      <c r="A1" s="20" t="s">
        <v>1337</v>
      </c>
      <c r="B1" s="20"/>
      <c r="C1" s="1379" t="s">
        <v>830</v>
      </c>
      <c r="D1" s="1379"/>
      <c r="E1" s="1379"/>
      <c r="F1" s="20"/>
    </row>
    <row r="2" spans="1:6" s="227" customFormat="1" ht="24.95" customHeight="1">
      <c r="A2" s="1338" t="s">
        <v>845</v>
      </c>
      <c r="B2" s="1338"/>
      <c r="C2" s="1338"/>
      <c r="D2" s="1338"/>
      <c r="E2" s="1338"/>
    </row>
    <row r="3" spans="1:6" s="76" customFormat="1" ht="24.95" customHeight="1">
      <c r="A3" s="1369" t="s">
        <v>1086</v>
      </c>
      <c r="B3" s="1369"/>
      <c r="C3" s="1369"/>
      <c r="D3" s="1369"/>
      <c r="E3" s="1369"/>
      <c r="F3" s="245"/>
    </row>
    <row r="4" spans="1:6" s="76" customFormat="1" ht="9.9499999999999993" customHeight="1">
      <c r="A4" s="1205"/>
      <c r="B4" s="1205"/>
      <c r="C4" s="1205"/>
      <c r="D4" s="1205"/>
      <c r="E4" s="1205"/>
      <c r="F4" s="245"/>
    </row>
    <row r="5" spans="1:6" s="78" customFormat="1" ht="15" customHeight="1" thickBot="1">
      <c r="A5" s="77" t="s">
        <v>482</v>
      </c>
      <c r="B5" s="1226"/>
      <c r="C5" s="1226"/>
      <c r="D5" s="1226"/>
      <c r="E5" s="79" t="s">
        <v>1088</v>
      </c>
    </row>
    <row r="6" spans="1:6" ht="18" customHeight="1">
      <c r="A6" s="1209" t="s">
        <v>86</v>
      </c>
      <c r="B6" s="1209" t="s">
        <v>483</v>
      </c>
      <c r="C6" s="1209" t="s">
        <v>860</v>
      </c>
      <c r="D6" s="1209" t="s">
        <v>485</v>
      </c>
      <c r="E6" s="1197" t="s">
        <v>859</v>
      </c>
    </row>
    <row r="7" spans="1:6" ht="18" customHeight="1">
      <c r="A7" s="338"/>
      <c r="B7" s="29"/>
      <c r="C7" s="29"/>
      <c r="D7" s="66"/>
      <c r="E7" s="358"/>
    </row>
    <row r="8" spans="1:6" ht="18" customHeight="1">
      <c r="A8" s="338"/>
      <c r="B8" s="327" t="s">
        <v>484</v>
      </c>
      <c r="C8" s="327" t="s">
        <v>1087</v>
      </c>
      <c r="D8" s="327" t="s">
        <v>486</v>
      </c>
      <c r="E8" s="326" t="s">
        <v>487</v>
      </c>
    </row>
    <row r="9" spans="1:6" ht="18" customHeight="1">
      <c r="A9" s="370"/>
      <c r="B9" s="338" t="s">
        <v>18</v>
      </c>
      <c r="C9" s="338" t="s">
        <v>18</v>
      </c>
      <c r="D9" s="338" t="s">
        <v>18</v>
      </c>
      <c r="E9" s="209" t="s">
        <v>529</v>
      </c>
    </row>
    <row r="10" spans="1:6" ht="18" customHeight="1">
      <c r="A10" s="57"/>
      <c r="B10" s="1212" t="s">
        <v>317</v>
      </c>
      <c r="C10" s="1212" t="s">
        <v>60</v>
      </c>
      <c r="D10" s="1212" t="s">
        <v>60</v>
      </c>
      <c r="E10" s="1211" t="s">
        <v>60</v>
      </c>
    </row>
    <row r="11" spans="1:6" ht="21" customHeight="1">
      <c r="A11" s="23">
        <v>2019</v>
      </c>
      <c r="B11" s="24">
        <v>12342</v>
      </c>
      <c r="C11" s="24">
        <v>2119</v>
      </c>
      <c r="D11" s="24">
        <v>26991</v>
      </c>
      <c r="E11" s="24">
        <v>6704</v>
      </c>
    </row>
    <row r="12" spans="1:6" ht="21" customHeight="1">
      <c r="A12" s="23">
        <v>2020</v>
      </c>
      <c r="B12" s="59">
        <v>210</v>
      </c>
      <c r="C12" s="59">
        <v>700</v>
      </c>
      <c r="D12" s="59">
        <v>5148</v>
      </c>
      <c r="E12" s="59">
        <v>1463</v>
      </c>
    </row>
    <row r="13" spans="1:6" ht="21" customHeight="1" outlineLevel="1">
      <c r="A13" s="23">
        <v>2021</v>
      </c>
      <c r="B13" s="38">
        <v>69</v>
      </c>
      <c r="C13" s="38">
        <v>64</v>
      </c>
      <c r="D13" s="38">
        <v>3177</v>
      </c>
      <c r="E13" s="38">
        <v>66</v>
      </c>
    </row>
    <row r="14" spans="1:6" ht="21" customHeight="1" outlineLevel="1">
      <c r="A14" s="23">
        <v>2022</v>
      </c>
      <c r="B14" s="38">
        <v>398</v>
      </c>
      <c r="C14" s="38">
        <v>26</v>
      </c>
      <c r="D14" s="38">
        <v>45</v>
      </c>
      <c r="E14" s="38">
        <v>1835</v>
      </c>
    </row>
    <row r="15" spans="1:6" ht="21" customHeight="1" outlineLevel="1">
      <c r="A15" s="23">
        <v>2023</v>
      </c>
      <c r="B15" s="38">
        <v>2092</v>
      </c>
      <c r="C15" s="38">
        <v>1274</v>
      </c>
      <c r="D15" s="38">
        <v>7171</v>
      </c>
      <c r="E15" s="38">
        <v>1777</v>
      </c>
    </row>
    <row r="16" spans="1:6" ht="21" customHeight="1" outlineLevel="1" thickBot="1">
      <c r="A16" s="353">
        <v>2024</v>
      </c>
      <c r="B16" s="993">
        <v>2479</v>
      </c>
      <c r="C16" s="993">
        <v>184</v>
      </c>
      <c r="D16" s="993">
        <v>7330</v>
      </c>
      <c r="E16" s="993">
        <v>2446</v>
      </c>
    </row>
    <row r="17" spans="1:5" s="26" customFormat="1" ht="15" customHeight="1">
      <c r="A17" s="26" t="s">
        <v>1847</v>
      </c>
      <c r="B17" s="299"/>
      <c r="C17" s="299"/>
      <c r="D17" s="299"/>
      <c r="E17" s="299"/>
    </row>
    <row r="18" spans="1:5" s="26" customFormat="1" ht="12" customHeight="1">
      <c r="B18" s="97"/>
      <c r="C18" s="97"/>
      <c r="D18" s="97"/>
      <c r="E18" s="97"/>
    </row>
    <row r="19" spans="1:5" s="26" customFormat="1" ht="12" customHeight="1"/>
    <row r="20" spans="1:5" ht="24.95" customHeight="1">
      <c r="A20" s="95"/>
    </row>
  </sheetData>
  <sheetProtection selectLockedCells="1"/>
  <mergeCells count="3">
    <mergeCell ref="A2:E2"/>
    <mergeCell ref="A3:E3"/>
    <mergeCell ref="C1:E1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91" pageOrder="overThenDown" orientation="portrait" blackAndWhite="1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81BD"/>
    <outlinePr summaryBelow="0" summaryRight="0"/>
  </sheetPr>
  <dimension ref="A1:H17"/>
  <sheetViews>
    <sheetView view="pageBreakPreview" zoomScale="112" zoomScaleNormal="112" zoomScaleSheetLayoutView="112" workbookViewId="0">
      <selection sqref="A1:XFD1048576"/>
    </sheetView>
  </sheetViews>
  <sheetFormatPr defaultColWidth="9" defaultRowHeight="14.25" outlineLevelRow="1"/>
  <cols>
    <col min="1" max="1" width="11.25" style="163" customWidth="1"/>
    <col min="2" max="3" width="30.625" style="163" customWidth="1"/>
    <col min="4" max="16384" width="9" style="163"/>
  </cols>
  <sheetData>
    <row r="1" spans="1:8" s="78" customFormat="1" ht="24.75" customHeight="1">
      <c r="A1" s="1262" t="s">
        <v>1848</v>
      </c>
      <c r="B1" s="20"/>
      <c r="C1" s="1198" t="s">
        <v>848</v>
      </c>
      <c r="D1" s="20"/>
    </row>
    <row r="2" spans="1:8" ht="24.95" customHeight="1">
      <c r="A2" s="1338" t="s">
        <v>846</v>
      </c>
      <c r="B2" s="1338"/>
      <c r="C2" s="1338"/>
      <c r="D2" s="227"/>
      <c r="E2" s="227"/>
      <c r="F2" s="227"/>
    </row>
    <row r="3" spans="1:8" ht="24.95" customHeight="1">
      <c r="A3" s="1499" t="s">
        <v>847</v>
      </c>
      <c r="B3" s="1499"/>
      <c r="C3" s="1499"/>
      <c r="D3" s="1263"/>
      <c r="E3" s="1263"/>
      <c r="F3" s="1263"/>
      <c r="G3" s="232"/>
      <c r="H3" s="232"/>
    </row>
    <row r="4" spans="1:8" ht="9.9499999999999993" customHeight="1">
      <c r="A4" s="1264"/>
      <c r="B4" s="1264"/>
      <c r="C4" s="1263"/>
      <c r="D4" s="1263"/>
      <c r="E4" s="1263"/>
      <c r="F4" s="1263"/>
      <c r="G4" s="232"/>
      <c r="H4" s="232"/>
    </row>
    <row r="5" spans="1:8" ht="17.45" customHeight="1" thickBot="1">
      <c r="A5" s="77" t="s">
        <v>0</v>
      </c>
      <c r="B5" s="1226"/>
      <c r="C5" s="79" t="s">
        <v>1088</v>
      </c>
      <c r="D5" s="78"/>
    </row>
    <row r="6" spans="1:8" ht="24.95" customHeight="1">
      <c r="A6" s="1209" t="s">
        <v>530</v>
      </c>
      <c r="B6" s="164" t="s">
        <v>1234</v>
      </c>
      <c r="C6" s="164"/>
    </row>
    <row r="7" spans="1:8" ht="24.95" customHeight="1">
      <c r="A7" s="338"/>
      <c r="B7" s="380" t="s">
        <v>257</v>
      </c>
      <c r="C7" s="375" t="s">
        <v>258</v>
      </c>
    </row>
    <row r="8" spans="1:8" ht="24.95" customHeight="1">
      <c r="A8" s="57"/>
      <c r="B8" s="58" t="s">
        <v>1089</v>
      </c>
      <c r="C8" s="339" t="s">
        <v>1090</v>
      </c>
    </row>
    <row r="9" spans="1:8" ht="21.95" customHeight="1" outlineLevel="1">
      <c r="A9" s="23">
        <v>2019</v>
      </c>
      <c r="B9" s="24">
        <v>1921</v>
      </c>
      <c r="C9" s="24">
        <v>1675</v>
      </c>
    </row>
    <row r="10" spans="1:8" ht="21.95" customHeight="1" outlineLevel="1">
      <c r="A10" s="23">
        <v>2020</v>
      </c>
      <c r="B10" s="24">
        <v>1539</v>
      </c>
      <c r="C10" s="24">
        <v>1592</v>
      </c>
    </row>
    <row r="11" spans="1:8" s="26" customFormat="1" ht="21.95" customHeight="1">
      <c r="A11" s="23">
        <v>2021</v>
      </c>
      <c r="B11" s="25">
        <v>1534</v>
      </c>
      <c r="C11" s="25">
        <v>1487</v>
      </c>
      <c r="D11" s="163"/>
    </row>
    <row r="12" spans="1:8" s="26" customFormat="1" ht="21.95" customHeight="1">
      <c r="A12" s="23">
        <v>2022</v>
      </c>
      <c r="B12" s="25">
        <v>1620</v>
      </c>
      <c r="C12" s="25">
        <v>3995</v>
      </c>
      <c r="D12" s="163"/>
    </row>
    <row r="13" spans="1:8" s="26" customFormat="1" ht="21.95" customHeight="1">
      <c r="A13" s="23">
        <v>2023</v>
      </c>
      <c r="B13" s="25">
        <v>1685</v>
      </c>
      <c r="C13" s="25">
        <v>2118</v>
      </c>
      <c r="D13" s="163"/>
    </row>
    <row r="14" spans="1:8" ht="21.95" customHeight="1" thickBot="1">
      <c r="A14" s="353">
        <v>2024</v>
      </c>
      <c r="B14" s="1021">
        <v>1654</v>
      </c>
      <c r="C14" s="1021">
        <v>1331</v>
      </c>
    </row>
    <row r="15" spans="1:8">
      <c r="A15" s="1196" t="s">
        <v>1745</v>
      </c>
      <c r="B15" s="26"/>
      <c r="C15" s="26"/>
      <c r="D15" s="26"/>
    </row>
    <row r="16" spans="1:8">
      <c r="A16" s="26" t="s">
        <v>1849</v>
      </c>
      <c r="B16" s="26"/>
      <c r="C16" s="26"/>
      <c r="D16" s="26"/>
    </row>
    <row r="17" spans="3:3">
      <c r="C17" s="1265"/>
    </row>
  </sheetData>
  <sheetProtection selectLockedCells="1"/>
  <mergeCells count="2">
    <mergeCell ref="A2:C2"/>
    <mergeCell ref="A3:C3"/>
  </mergeCells>
  <phoneticPr fontId="3" type="noConversion"/>
  <printOptions horizontalCentered="1"/>
  <pageMargins left="0.39370078740157483" right="0.39370078740157483" top="0.55118110236220474" bottom="0.55118110236220474" header="0.51181102362204722" footer="0.51181102362204722"/>
  <pageSetup paperSize="9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181BD"/>
  </sheetPr>
  <dimension ref="A1:R74"/>
  <sheetViews>
    <sheetView view="pageBreakPreview" zoomScaleNormal="100" zoomScaleSheetLayoutView="100" workbookViewId="0">
      <selection activeCell="A19" sqref="A19:F19"/>
    </sheetView>
  </sheetViews>
  <sheetFormatPr defaultColWidth="9" defaultRowHeight="12"/>
  <cols>
    <col min="1" max="1" width="10.875" style="390" customWidth="1"/>
    <col min="2" max="17" width="9.625" style="390" customWidth="1"/>
    <col min="18" max="18" width="9.375" style="390" bestFit="1" customWidth="1"/>
    <col min="19" max="16384" width="9" style="390"/>
  </cols>
  <sheetData>
    <row r="1" spans="1:17" ht="20.100000000000001" customHeight="1">
      <c r="A1" s="16" t="s">
        <v>1493</v>
      </c>
      <c r="B1" s="16"/>
      <c r="C1" s="16"/>
      <c r="D1" s="16"/>
      <c r="E1" s="16"/>
      <c r="F1" s="16"/>
      <c r="G1" s="16"/>
      <c r="I1" s="830"/>
      <c r="J1" s="830"/>
      <c r="K1" s="830"/>
      <c r="L1" s="830"/>
      <c r="O1" s="1492" t="s">
        <v>855</v>
      </c>
      <c r="P1" s="1492"/>
      <c r="Q1" s="1492"/>
    </row>
    <row r="2" spans="1:17" ht="24.95" customHeight="1">
      <c r="A2" s="1335" t="s">
        <v>1525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  <c r="L2" s="1335"/>
      <c r="M2" s="1335"/>
      <c r="N2" s="1335"/>
      <c r="O2" s="1335"/>
      <c r="P2" s="1335"/>
      <c r="Q2" s="1335"/>
    </row>
    <row r="3" spans="1:17" ht="24.95" customHeight="1">
      <c r="A3" s="1320" t="s">
        <v>854</v>
      </c>
      <c r="B3" s="1320"/>
      <c r="C3" s="1320"/>
      <c r="D3" s="1320"/>
      <c r="E3" s="1320"/>
      <c r="F3" s="1320"/>
      <c r="G3" s="1320"/>
      <c r="H3" s="1320"/>
      <c r="I3" s="1320"/>
      <c r="J3" s="1320"/>
      <c r="K3" s="1320"/>
      <c r="L3" s="1320"/>
      <c r="M3" s="1320"/>
      <c r="N3" s="1320"/>
      <c r="O3" s="1320"/>
      <c r="P3" s="1320"/>
      <c r="Q3" s="1320"/>
    </row>
    <row r="4" spans="1:17" ht="9.9499999999999993" customHeight="1">
      <c r="A4" s="776"/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</row>
    <row r="5" spans="1:17" s="6" customFormat="1" ht="15" customHeight="1" thickBot="1">
      <c r="A5" s="48" t="s">
        <v>455</v>
      </c>
      <c r="B5" s="688"/>
      <c r="C5" s="688"/>
      <c r="D5" s="688"/>
      <c r="E5" s="688"/>
      <c r="F5" s="688"/>
      <c r="G5" s="688"/>
      <c r="H5" s="688"/>
      <c r="I5" s="688"/>
      <c r="J5" s="688"/>
      <c r="K5" s="689"/>
      <c r="Q5" s="387" t="s">
        <v>1091</v>
      </c>
    </row>
    <row r="6" spans="1:17" s="7" customFormat="1" ht="15" customHeight="1">
      <c r="A6" s="668"/>
      <c r="B6" s="1326" t="s">
        <v>87</v>
      </c>
      <c r="C6" s="1493"/>
      <c r="D6" s="1493"/>
      <c r="E6" s="1493"/>
      <c r="F6" s="1327"/>
      <c r="G6" s="690"/>
      <c r="H6" s="1493" t="s">
        <v>1526</v>
      </c>
      <c r="I6" s="1493"/>
      <c r="J6" s="1493"/>
      <c r="K6" s="1493"/>
      <c r="L6" s="1327"/>
      <c r="M6" s="1501" t="s">
        <v>1674</v>
      </c>
      <c r="N6" s="1502"/>
      <c r="O6" s="1502"/>
      <c r="P6" s="1502"/>
      <c r="Q6" s="1502"/>
    </row>
    <row r="7" spans="1:17" s="7" customFormat="1" ht="18" customHeight="1">
      <c r="A7" s="665"/>
      <c r="B7" s="1328" t="s">
        <v>456</v>
      </c>
      <c r="C7" s="1324"/>
      <c r="D7" s="1324"/>
      <c r="E7" s="1324"/>
      <c r="F7" s="1325"/>
      <c r="G7" s="526"/>
      <c r="H7" s="1507" t="s">
        <v>1268</v>
      </c>
      <c r="I7" s="1507"/>
      <c r="J7" s="1507"/>
      <c r="K7" s="1507"/>
      <c r="L7" s="1508"/>
      <c r="M7" s="1503" t="s">
        <v>460</v>
      </c>
      <c r="N7" s="1504"/>
      <c r="O7" s="1504"/>
      <c r="P7" s="1504"/>
      <c r="Q7" s="1504"/>
    </row>
    <row r="8" spans="1:17" s="7" customFormat="1" ht="19.5" customHeight="1">
      <c r="A8" s="681" t="s">
        <v>82</v>
      </c>
      <c r="B8" s="1484" t="s">
        <v>1527</v>
      </c>
      <c r="C8" s="1485"/>
      <c r="D8" s="1485"/>
      <c r="E8" s="1485"/>
      <c r="F8" s="1485"/>
      <c r="G8" s="670" t="s">
        <v>457</v>
      </c>
      <c r="H8" s="1484" t="s">
        <v>1527</v>
      </c>
      <c r="I8" s="1485"/>
      <c r="J8" s="1485"/>
      <c r="K8" s="1485"/>
      <c r="L8" s="1486"/>
      <c r="M8" s="1484" t="s">
        <v>1528</v>
      </c>
      <c r="N8" s="1485"/>
      <c r="O8" s="1485"/>
      <c r="P8" s="1485"/>
      <c r="Q8" s="1485"/>
    </row>
    <row r="9" spans="1:17" s="7" customFormat="1" ht="15.95" customHeight="1">
      <c r="A9" s="665"/>
      <c r="B9" s="1332" t="s">
        <v>1529</v>
      </c>
      <c r="C9" s="1489"/>
      <c r="D9" s="1333"/>
      <c r="E9" s="670" t="s">
        <v>458</v>
      </c>
      <c r="F9" s="670" t="s">
        <v>83</v>
      </c>
      <c r="G9" s="669" t="s">
        <v>1092</v>
      </c>
      <c r="H9" s="1332" t="s">
        <v>1529</v>
      </c>
      <c r="I9" s="1489"/>
      <c r="J9" s="1333"/>
      <c r="K9" s="670" t="s">
        <v>458</v>
      </c>
      <c r="L9" s="677" t="s">
        <v>83</v>
      </c>
      <c r="M9" s="1505" t="s">
        <v>1530</v>
      </c>
      <c r="N9" s="664"/>
      <c r="O9" s="664"/>
      <c r="P9" s="677" t="s">
        <v>1281</v>
      </c>
      <c r="Q9" s="676" t="s">
        <v>856</v>
      </c>
    </row>
    <row r="10" spans="1:17" s="7" customFormat="1" ht="15" customHeight="1">
      <c r="A10" s="667"/>
      <c r="B10" s="685"/>
      <c r="C10" s="691" t="s">
        <v>1531</v>
      </c>
      <c r="D10" s="691" t="s">
        <v>1532</v>
      </c>
      <c r="E10" s="666" t="s">
        <v>84</v>
      </c>
      <c r="F10" s="666" t="s">
        <v>85</v>
      </c>
      <c r="G10" s="666" t="s">
        <v>459</v>
      </c>
      <c r="H10" s="685"/>
      <c r="I10" s="691" t="s">
        <v>1533</v>
      </c>
      <c r="J10" s="691" t="s">
        <v>1534</v>
      </c>
      <c r="K10" s="666" t="s">
        <v>84</v>
      </c>
      <c r="L10" s="685" t="s">
        <v>85</v>
      </c>
      <c r="M10" s="1506"/>
      <c r="N10" s="692" t="s">
        <v>1535</v>
      </c>
      <c r="O10" s="673" t="s">
        <v>1536</v>
      </c>
      <c r="P10" s="685" t="s">
        <v>1093</v>
      </c>
      <c r="Q10" s="679" t="s">
        <v>84</v>
      </c>
    </row>
    <row r="11" spans="1:17" s="8" customFormat="1" ht="30" customHeight="1">
      <c r="A11" s="564">
        <v>2019</v>
      </c>
      <c r="B11" s="693">
        <v>271440</v>
      </c>
      <c r="C11" s="694">
        <v>133879</v>
      </c>
      <c r="D11" s="694">
        <v>137021</v>
      </c>
      <c r="E11" s="694">
        <v>166373</v>
      </c>
      <c r="F11" s="695">
        <v>105067</v>
      </c>
      <c r="G11" s="696">
        <v>8766</v>
      </c>
      <c r="H11" s="697">
        <v>198942</v>
      </c>
      <c r="I11" s="697">
        <v>98256</v>
      </c>
      <c r="J11" s="697">
        <v>100686</v>
      </c>
      <c r="K11" s="697">
        <v>94415</v>
      </c>
      <c r="L11" s="698">
        <v>105067</v>
      </c>
      <c r="M11" s="408">
        <v>71958</v>
      </c>
      <c r="N11" s="697">
        <v>35623</v>
      </c>
      <c r="O11" s="694">
        <v>36335</v>
      </c>
      <c r="P11" s="472">
        <v>42715</v>
      </c>
      <c r="Q11" s="472">
        <v>71958</v>
      </c>
    </row>
    <row r="12" spans="1:17" s="8" customFormat="1" ht="30" customHeight="1">
      <c r="A12" s="564">
        <v>2020</v>
      </c>
      <c r="B12" s="693">
        <v>272720</v>
      </c>
      <c r="C12" s="694">
        <v>135047</v>
      </c>
      <c r="D12" s="694">
        <v>137673</v>
      </c>
      <c r="E12" s="694">
        <v>170683</v>
      </c>
      <c r="F12" s="695">
        <v>102037</v>
      </c>
      <c r="G12" s="696">
        <v>9191</v>
      </c>
      <c r="H12" s="697">
        <v>199912</v>
      </c>
      <c r="I12" s="697">
        <v>99049</v>
      </c>
      <c r="J12" s="697">
        <v>100863</v>
      </c>
      <c r="K12" s="697">
        <v>97875</v>
      </c>
      <c r="L12" s="698">
        <v>102037</v>
      </c>
      <c r="M12" s="408">
        <v>72808</v>
      </c>
      <c r="N12" s="697">
        <v>35998</v>
      </c>
      <c r="O12" s="694">
        <v>36810</v>
      </c>
      <c r="P12" s="472">
        <v>44157</v>
      </c>
      <c r="Q12" s="472">
        <v>72808</v>
      </c>
    </row>
    <row r="13" spans="1:17" s="8" customFormat="1" ht="31.5" customHeight="1">
      <c r="A13" s="564">
        <v>2021</v>
      </c>
      <c r="B13" s="693">
        <v>276512</v>
      </c>
      <c r="C13" s="694">
        <v>136885</v>
      </c>
      <c r="D13" s="694">
        <v>139627</v>
      </c>
      <c r="E13" s="694">
        <v>176517</v>
      </c>
      <c r="F13" s="695">
        <v>99995</v>
      </c>
      <c r="G13" s="696">
        <v>9796</v>
      </c>
      <c r="H13" s="697">
        <v>202664</v>
      </c>
      <c r="I13" s="697">
        <v>100464</v>
      </c>
      <c r="J13" s="697">
        <v>102200</v>
      </c>
      <c r="K13" s="697">
        <v>102669</v>
      </c>
      <c r="L13" s="698">
        <v>99995</v>
      </c>
      <c r="M13" s="408">
        <v>73848</v>
      </c>
      <c r="N13" s="697">
        <v>36421</v>
      </c>
      <c r="O13" s="694">
        <v>37427</v>
      </c>
      <c r="P13" s="472">
        <v>46093</v>
      </c>
      <c r="Q13" s="472">
        <v>73848</v>
      </c>
    </row>
    <row r="14" spans="1:17" s="8" customFormat="1" ht="31.5" customHeight="1">
      <c r="A14" s="564">
        <v>2022</v>
      </c>
      <c r="B14" s="694">
        <v>279494</v>
      </c>
      <c r="C14" s="694">
        <v>138222</v>
      </c>
      <c r="D14" s="694">
        <v>141272</v>
      </c>
      <c r="E14" s="694">
        <v>179716</v>
      </c>
      <c r="F14" s="695">
        <v>93574</v>
      </c>
      <c r="G14" s="696">
        <v>10069</v>
      </c>
      <c r="H14" s="697">
        <v>199442</v>
      </c>
      <c r="I14" s="697">
        <v>98789</v>
      </c>
      <c r="J14" s="697">
        <v>100653</v>
      </c>
      <c r="K14" s="697">
        <v>105868</v>
      </c>
      <c r="L14" s="698">
        <v>93574</v>
      </c>
      <c r="M14" s="408">
        <v>80052</v>
      </c>
      <c r="N14" s="697">
        <v>39433</v>
      </c>
      <c r="O14" s="694">
        <v>40619</v>
      </c>
      <c r="P14" s="472">
        <v>50592</v>
      </c>
      <c r="Q14" s="472">
        <v>73848</v>
      </c>
    </row>
    <row r="15" spans="1:17" s="8" customFormat="1" ht="31.5" customHeight="1">
      <c r="A15" s="564">
        <v>2023</v>
      </c>
      <c r="B15" s="694">
        <v>280133</v>
      </c>
      <c r="C15" s="694">
        <v>138444</v>
      </c>
      <c r="D15" s="694">
        <v>141689</v>
      </c>
      <c r="E15" s="694">
        <v>188671</v>
      </c>
      <c r="F15" s="695">
        <v>91462</v>
      </c>
      <c r="G15" s="696">
        <v>10190</v>
      </c>
      <c r="H15" s="697">
        <v>198321</v>
      </c>
      <c r="I15" s="697">
        <v>98320</v>
      </c>
      <c r="J15" s="697">
        <v>100001</v>
      </c>
      <c r="K15" s="697">
        <v>106859</v>
      </c>
      <c r="L15" s="698">
        <v>91462</v>
      </c>
      <c r="M15" s="408">
        <v>81812</v>
      </c>
      <c r="N15" s="697">
        <v>40124</v>
      </c>
      <c r="O15" s="694">
        <v>41688</v>
      </c>
      <c r="P15" s="472">
        <v>52072</v>
      </c>
      <c r="Q15" s="472">
        <v>81812</v>
      </c>
    </row>
    <row r="16" spans="1:17" s="8" customFormat="1" ht="31.5" customHeight="1" thickBot="1">
      <c r="A16" s="583">
        <v>2024</v>
      </c>
      <c r="B16" s="850">
        <f>C16+D16</f>
        <v>280776</v>
      </c>
      <c r="C16" s="850">
        <v>138755</v>
      </c>
      <c r="D16" s="850">
        <v>142021</v>
      </c>
      <c r="E16" s="850">
        <f>K16+Q16</f>
        <v>192415</v>
      </c>
      <c r="F16" s="851">
        <f>L16</f>
        <v>88361</v>
      </c>
      <c r="G16" s="699">
        <v>9959</v>
      </c>
      <c r="H16" s="849">
        <f>I16+J16</f>
        <v>195041</v>
      </c>
      <c r="I16" s="700">
        <v>96747</v>
      </c>
      <c r="J16" s="700">
        <v>98294</v>
      </c>
      <c r="K16" s="700">
        <v>106680</v>
      </c>
      <c r="L16" s="701">
        <v>88361</v>
      </c>
      <c r="M16" s="848">
        <f>N16+O16</f>
        <v>85735</v>
      </c>
      <c r="N16" s="702">
        <v>42008</v>
      </c>
      <c r="O16" s="702">
        <v>43727</v>
      </c>
      <c r="P16" s="354">
        <v>54946</v>
      </c>
      <c r="Q16" s="360">
        <v>85735</v>
      </c>
    </row>
    <row r="17" spans="1:18" s="8" customFormat="1" ht="12" customHeight="1">
      <c r="A17" s="689" t="s">
        <v>2</v>
      </c>
      <c r="B17" s="689"/>
      <c r="C17" s="689"/>
      <c r="D17" s="689"/>
      <c r="E17" s="689"/>
      <c r="F17" s="689"/>
      <c r="G17" s="689"/>
      <c r="H17" s="689"/>
      <c r="I17" s="689"/>
      <c r="J17" s="689"/>
      <c r="K17" s="689"/>
      <c r="L17" s="689"/>
    </row>
    <row r="18" spans="1:18" s="8" customFormat="1" ht="18" customHeight="1">
      <c r="A18" s="1500" t="s">
        <v>1537</v>
      </c>
      <c r="B18" s="1500"/>
      <c r="C18" s="1500"/>
      <c r="D18" s="1500"/>
      <c r="E18" s="1500"/>
      <c r="F18" s="1500"/>
      <c r="G18" s="703"/>
      <c r="H18" s="704"/>
      <c r="I18" s="705"/>
      <c r="J18" s="705"/>
      <c r="K18" s="300"/>
      <c r="L18" s="706"/>
      <c r="M18" s="707"/>
      <c r="N18" s="707"/>
      <c r="O18" s="707"/>
      <c r="P18" s="707"/>
      <c r="Q18" s="707"/>
      <c r="R18" s="707"/>
    </row>
    <row r="19" spans="1:18" s="8" customFormat="1" ht="18" customHeight="1">
      <c r="A19" s="1500" t="s">
        <v>1768</v>
      </c>
      <c r="B19" s="1500"/>
      <c r="C19" s="1500"/>
      <c r="D19" s="1500"/>
      <c r="E19" s="1500"/>
      <c r="F19" s="1500"/>
      <c r="G19" s="703"/>
      <c r="H19" s="704"/>
      <c r="I19" s="705"/>
      <c r="J19" s="705"/>
      <c r="K19" s="300"/>
      <c r="L19" s="706"/>
    </row>
    <row r="20" spans="1:18" ht="14.25" customHeight="1">
      <c r="A20" s="2" t="s">
        <v>1769</v>
      </c>
      <c r="M20" s="708"/>
      <c r="N20" s="708"/>
      <c r="O20" s="708"/>
      <c r="P20" s="708"/>
      <c r="Q20" s="708"/>
      <c r="R20" s="708"/>
    </row>
    <row r="21" spans="1:18" ht="13.5">
      <c r="M21" s="708"/>
      <c r="N21" s="708"/>
      <c r="O21" s="708"/>
      <c r="P21" s="708"/>
      <c r="Q21" s="708"/>
      <c r="R21" s="708"/>
    </row>
    <row r="22" spans="1:18" ht="13.5">
      <c r="M22" s="708"/>
      <c r="N22" s="708"/>
      <c r="O22" s="708"/>
      <c r="P22" s="708"/>
      <c r="Q22" s="708"/>
      <c r="R22" s="708"/>
    </row>
    <row r="23" spans="1:18">
      <c r="M23" s="709"/>
      <c r="N23" s="709"/>
      <c r="O23" s="709"/>
      <c r="P23" s="709"/>
      <c r="Q23" s="709"/>
      <c r="R23" s="709"/>
    </row>
    <row r="24" spans="1:18">
      <c r="M24" s="709"/>
      <c r="N24" s="709"/>
      <c r="O24" s="709"/>
      <c r="P24" s="709"/>
      <c r="Q24" s="709"/>
      <c r="R24" s="709"/>
    </row>
    <row r="25" spans="1:18">
      <c r="M25" s="709"/>
      <c r="N25" s="709"/>
      <c r="O25" s="709"/>
      <c r="P25" s="709"/>
      <c r="Q25" s="709"/>
      <c r="R25" s="709"/>
    </row>
    <row r="26" spans="1:18">
      <c r="M26" s="709"/>
      <c r="N26" s="709"/>
      <c r="O26" s="709"/>
      <c r="P26" s="709"/>
      <c r="Q26" s="709"/>
      <c r="R26" s="709"/>
    </row>
    <row r="27" spans="1:18">
      <c r="M27" s="709"/>
      <c r="N27" s="709"/>
      <c r="O27" s="709"/>
      <c r="P27" s="709"/>
      <c r="Q27" s="709"/>
      <c r="R27" s="709"/>
    </row>
    <row r="28" spans="1:18">
      <c r="M28" s="709"/>
      <c r="N28" s="709"/>
      <c r="O28" s="709"/>
      <c r="P28" s="709"/>
      <c r="Q28" s="709"/>
      <c r="R28" s="709"/>
    </row>
    <row r="29" spans="1:18">
      <c r="M29" s="709"/>
      <c r="N29" s="709"/>
      <c r="O29" s="709"/>
      <c r="P29" s="709"/>
      <c r="Q29" s="709"/>
      <c r="R29" s="709"/>
    </row>
    <row r="30" spans="1:18">
      <c r="M30" s="709"/>
      <c r="N30" s="709"/>
      <c r="O30" s="709"/>
      <c r="P30" s="709"/>
      <c r="Q30" s="709"/>
      <c r="R30" s="709"/>
    </row>
    <row r="31" spans="1:18">
      <c r="M31" s="709"/>
      <c r="N31" s="709"/>
      <c r="O31" s="709"/>
      <c r="P31" s="709"/>
      <c r="Q31" s="709"/>
      <c r="R31" s="709"/>
    </row>
    <row r="32" spans="1:18">
      <c r="M32" s="709"/>
      <c r="N32" s="709"/>
      <c r="O32" s="709"/>
      <c r="P32" s="709"/>
      <c r="Q32" s="709"/>
      <c r="R32" s="709"/>
    </row>
    <row r="73" ht="24.95" customHeight="1"/>
    <row r="74" ht="24.95" customHeight="1"/>
  </sheetData>
  <sheetProtection selectLockedCells="1"/>
  <mergeCells count="17">
    <mergeCell ref="A19:F19"/>
    <mergeCell ref="M6:Q6"/>
    <mergeCell ref="M7:Q7"/>
    <mergeCell ref="M8:Q8"/>
    <mergeCell ref="M9:M10"/>
    <mergeCell ref="B7:F7"/>
    <mergeCell ref="H7:L7"/>
    <mergeCell ref="B8:F8"/>
    <mergeCell ref="H8:L8"/>
    <mergeCell ref="B9:D9"/>
    <mergeCell ref="H9:J9"/>
    <mergeCell ref="B6:F6"/>
    <mergeCell ref="H6:L6"/>
    <mergeCell ref="A2:Q2"/>
    <mergeCell ref="A3:Q3"/>
    <mergeCell ref="O1:Q1"/>
    <mergeCell ref="A18:F18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38" pageOrder="overThenDown" orientation="portrait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181BD"/>
  </sheetPr>
  <dimension ref="A2:H22"/>
  <sheetViews>
    <sheetView view="pageBreakPreview" topLeftCell="A4" zoomScaleNormal="100" zoomScaleSheetLayoutView="100" workbookViewId="0">
      <selection activeCell="L12" sqref="L12"/>
    </sheetView>
  </sheetViews>
  <sheetFormatPr defaultRowHeight="16.5"/>
  <cols>
    <col min="1" max="1" width="10.625" style="518" customWidth="1"/>
    <col min="2" max="2" width="13" style="736" customWidth="1"/>
    <col min="3" max="3" width="14.875" style="736" customWidth="1"/>
    <col min="4" max="4" width="13" style="736" customWidth="1"/>
    <col min="5" max="5" width="14.375" style="736" customWidth="1"/>
    <col min="6" max="6" width="13" style="736" customWidth="1"/>
    <col min="7" max="7" width="13.5" style="736" customWidth="1"/>
    <col min="8" max="16384" width="9" style="518"/>
  </cols>
  <sheetData>
    <row r="2" spans="1:8">
      <c r="A2" s="518" t="s">
        <v>1578</v>
      </c>
      <c r="E2" s="1509" t="s">
        <v>855</v>
      </c>
      <c r="F2" s="1509"/>
      <c r="G2" s="1509"/>
    </row>
    <row r="4" spans="1:8" s="713" customFormat="1" ht="24.95" customHeight="1">
      <c r="A4" s="710" t="s">
        <v>831</v>
      </c>
      <c r="B4" s="711"/>
      <c r="C4" s="710"/>
      <c r="D4" s="712"/>
      <c r="E4" s="712"/>
      <c r="F4" s="712"/>
      <c r="G4" s="712"/>
      <c r="H4" s="712"/>
    </row>
    <row r="5" spans="1:8" s="716" customFormat="1" ht="24.95" customHeight="1">
      <c r="A5" s="714" t="s">
        <v>1094</v>
      </c>
      <c r="B5" s="715"/>
      <c r="C5" s="714"/>
      <c r="D5" s="714"/>
      <c r="E5" s="714"/>
      <c r="F5" s="714"/>
      <c r="G5" s="714"/>
      <c r="H5" s="714"/>
    </row>
    <row r="6" spans="1:8" s="716" customFormat="1" ht="9.9499999999999993" customHeight="1">
      <c r="A6" s="714"/>
      <c r="B6" s="715"/>
      <c r="C6" s="714"/>
      <c r="D6" s="714"/>
      <c r="E6" s="714"/>
      <c r="F6" s="714"/>
      <c r="G6" s="714"/>
      <c r="H6" s="714"/>
    </row>
    <row r="7" spans="1:8" s="6" customFormat="1" ht="15" customHeight="1" thickBot="1">
      <c r="A7" s="48" t="s">
        <v>1797</v>
      </c>
      <c r="B7" s="717"/>
      <c r="C7" s="717"/>
      <c r="D7" s="718"/>
      <c r="E7" s="708"/>
      <c r="F7" s="708"/>
      <c r="G7" s="719" t="s">
        <v>1798</v>
      </c>
    </row>
    <row r="8" spans="1:8" s="7" customFormat="1" ht="32.25" customHeight="1">
      <c r="A8" s="720" t="s">
        <v>1332</v>
      </c>
      <c r="B8" s="1510" t="s">
        <v>1272</v>
      </c>
      <c r="C8" s="1515"/>
      <c r="D8" s="1510" t="s">
        <v>1269</v>
      </c>
      <c r="E8" s="1515"/>
      <c r="F8" s="1510" t="s">
        <v>739</v>
      </c>
      <c r="G8" s="1511"/>
    </row>
    <row r="9" spans="1:8" s="7" customFormat="1" ht="32.25" customHeight="1">
      <c r="A9" s="721"/>
      <c r="B9" s="1512" t="s">
        <v>29</v>
      </c>
      <c r="C9" s="1513"/>
      <c r="D9" s="722" t="s">
        <v>1273</v>
      </c>
      <c r="E9" s="723"/>
      <c r="F9" s="1512" t="s">
        <v>740</v>
      </c>
      <c r="G9" s="1514"/>
    </row>
    <row r="10" spans="1:8" s="7" customFormat="1" ht="32.25" customHeight="1">
      <c r="A10" s="682" t="s">
        <v>1270</v>
      </c>
      <c r="B10" s="724" t="s">
        <v>741</v>
      </c>
      <c r="C10" s="724" t="s">
        <v>742</v>
      </c>
      <c r="D10" s="724" t="s">
        <v>741</v>
      </c>
      <c r="E10" s="724" t="s">
        <v>742</v>
      </c>
      <c r="F10" s="724" t="s">
        <v>741</v>
      </c>
      <c r="G10" s="725" t="s">
        <v>742</v>
      </c>
    </row>
    <row r="11" spans="1:8" s="7" customFormat="1" ht="32.25" customHeight="1">
      <c r="A11" s="726" t="s">
        <v>1271</v>
      </c>
      <c r="B11" s="727" t="s">
        <v>1095</v>
      </c>
      <c r="C11" s="727" t="s">
        <v>743</v>
      </c>
      <c r="D11" s="727" t="s">
        <v>1096</v>
      </c>
      <c r="E11" s="727" t="s">
        <v>744</v>
      </c>
      <c r="F11" s="727" t="s">
        <v>1096</v>
      </c>
      <c r="G11" s="728" t="s">
        <v>744</v>
      </c>
    </row>
    <row r="12" spans="1:8" ht="32.25" customHeight="1">
      <c r="A12" s="564">
        <v>2019</v>
      </c>
      <c r="B12" s="613">
        <v>7345719</v>
      </c>
      <c r="C12" s="614">
        <v>344245158</v>
      </c>
      <c r="D12" s="614">
        <v>5371428</v>
      </c>
      <c r="E12" s="614">
        <v>237860443</v>
      </c>
      <c r="F12" s="614">
        <v>1974291</v>
      </c>
      <c r="G12" s="614">
        <v>106384715.5</v>
      </c>
    </row>
    <row r="13" spans="1:8" ht="32.25" customHeight="1">
      <c r="A13" s="564">
        <v>2020</v>
      </c>
      <c r="B13" s="613">
        <v>6625852</v>
      </c>
      <c r="C13" s="614">
        <v>351490914</v>
      </c>
      <c r="D13" s="614">
        <v>4817390</v>
      </c>
      <c r="E13" s="614">
        <v>243032468</v>
      </c>
      <c r="F13" s="614">
        <v>1808462</v>
      </c>
      <c r="G13" s="614">
        <v>108458446</v>
      </c>
    </row>
    <row r="14" spans="1:8" ht="32.25" customHeight="1">
      <c r="A14" s="564">
        <v>2021</v>
      </c>
      <c r="B14" s="613">
        <v>6633477</v>
      </c>
      <c r="C14" s="614">
        <v>383070361</v>
      </c>
      <c r="D14" s="614">
        <v>4785841</v>
      </c>
      <c r="E14" s="614">
        <v>260956590</v>
      </c>
      <c r="F14" s="614">
        <v>1847636</v>
      </c>
      <c r="G14" s="614">
        <v>122113771</v>
      </c>
    </row>
    <row r="15" spans="1:8" ht="32.25" customHeight="1">
      <c r="A15" s="564">
        <v>2022</v>
      </c>
      <c r="B15" s="613">
        <v>7486340</v>
      </c>
      <c r="C15" s="614">
        <v>414823454</v>
      </c>
      <c r="D15" s="614">
        <v>5434078</v>
      </c>
      <c r="E15" s="614">
        <v>282760547</v>
      </c>
      <c r="F15" s="614">
        <v>2052262</v>
      </c>
      <c r="G15" s="614">
        <v>132062907</v>
      </c>
    </row>
    <row r="16" spans="1:8" ht="32.25" customHeight="1">
      <c r="A16" s="564">
        <v>2023</v>
      </c>
      <c r="B16" s="613">
        <v>7786128</v>
      </c>
      <c r="C16" s="614">
        <v>447085092</v>
      </c>
      <c r="D16" s="614">
        <v>5478107</v>
      </c>
      <c r="E16" s="614">
        <v>286484810</v>
      </c>
      <c r="F16" s="614">
        <v>2308021</v>
      </c>
      <c r="G16" s="614">
        <v>160600282</v>
      </c>
    </row>
    <row r="17" spans="1:7" s="520" customFormat="1" ht="32.25" customHeight="1">
      <c r="A17" s="729">
        <v>2024</v>
      </c>
      <c r="B17" s="852">
        <v>7723069</v>
      </c>
      <c r="C17" s="853">
        <v>461089529</v>
      </c>
      <c r="D17" s="853">
        <v>5362697</v>
      </c>
      <c r="E17" s="853">
        <v>290808665</v>
      </c>
      <c r="F17" s="853">
        <v>2360372</v>
      </c>
      <c r="G17" s="853">
        <v>170280864</v>
      </c>
    </row>
    <row r="18" spans="1:7" ht="32.25" customHeight="1">
      <c r="A18" s="730" t="s">
        <v>745</v>
      </c>
      <c r="B18" s="613">
        <f>D18+F18</f>
        <v>79038</v>
      </c>
      <c r="C18" s="614">
        <f>E18+G18</f>
        <v>169706582</v>
      </c>
      <c r="D18" s="607">
        <v>48033</v>
      </c>
      <c r="E18" s="607">
        <v>98688467</v>
      </c>
      <c r="F18" s="607">
        <v>31005</v>
      </c>
      <c r="G18" s="607">
        <v>71018115</v>
      </c>
    </row>
    <row r="19" spans="1:7" ht="32.25" customHeight="1">
      <c r="A19" s="730" t="s">
        <v>746</v>
      </c>
      <c r="B19" s="613">
        <f t="shared" ref="B19:B20" si="0">D19+F19</f>
        <v>4861766</v>
      </c>
      <c r="C19" s="614">
        <f t="shared" ref="C19:C20" si="1">E19+G19</f>
        <v>192131220</v>
      </c>
      <c r="D19" s="607">
        <v>3364840</v>
      </c>
      <c r="E19" s="607">
        <v>128205980</v>
      </c>
      <c r="F19" s="607">
        <v>1496926</v>
      </c>
      <c r="G19" s="607">
        <v>63925240</v>
      </c>
    </row>
    <row r="20" spans="1:7" ht="32.25" customHeight="1" thickBot="1">
      <c r="A20" s="731" t="s">
        <v>747</v>
      </c>
      <c r="B20" s="616">
        <f t="shared" si="0"/>
        <v>2782295</v>
      </c>
      <c r="C20" s="880">
        <f t="shared" si="1"/>
        <v>99251727</v>
      </c>
      <c r="D20" s="609">
        <v>1949854</v>
      </c>
      <c r="E20" s="609">
        <v>63914219</v>
      </c>
      <c r="F20" s="609">
        <v>832441</v>
      </c>
      <c r="G20" s="609">
        <v>35337508</v>
      </c>
    </row>
    <row r="21" spans="1:7" s="734" customFormat="1" ht="13.5">
      <c r="A21" s="732" t="s">
        <v>1746</v>
      </c>
      <c r="B21" s="5"/>
      <c r="C21" s="5"/>
      <c r="D21" s="733"/>
      <c r="E21" s="733"/>
      <c r="F21" s="733"/>
      <c r="G21" s="733"/>
    </row>
    <row r="22" spans="1:7">
      <c r="A22" s="735" t="s">
        <v>1622</v>
      </c>
    </row>
  </sheetData>
  <mergeCells count="6">
    <mergeCell ref="E2:G2"/>
    <mergeCell ref="F8:G8"/>
    <mergeCell ref="B9:C9"/>
    <mergeCell ref="F9:G9"/>
    <mergeCell ref="B8:C8"/>
    <mergeCell ref="D8:E8"/>
  </mergeCells>
  <phoneticPr fontId="3" type="noConversion"/>
  <pageMargins left="0.7" right="0.7" top="0.75" bottom="0.75" header="0.3" footer="0.3"/>
  <pageSetup paperSize="9" scale="87" orientation="portrait" verticalDpi="0" r:id="rId1"/>
  <colBreaks count="1" manualBreakCount="1">
    <brk id="7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F81BD"/>
  </sheetPr>
  <dimension ref="A1:G23"/>
  <sheetViews>
    <sheetView view="pageBreakPreview" topLeftCell="A2" zoomScaleNormal="100" zoomScaleSheetLayoutView="100" workbookViewId="0">
      <selection activeCell="I21" sqref="I21"/>
    </sheetView>
  </sheetViews>
  <sheetFormatPr defaultRowHeight="16.5"/>
  <cols>
    <col min="1" max="1" width="11.875" style="50" customWidth="1"/>
    <col min="2" max="7" width="19" style="252" customWidth="1"/>
    <col min="8" max="16384" width="9" style="50"/>
  </cols>
  <sheetData>
    <row r="1" spans="1:7" s="255" customFormat="1" ht="24.95" customHeight="1">
      <c r="A1" s="925" t="s">
        <v>1663</v>
      </c>
      <c r="B1" s="926"/>
      <c r="C1" s="926"/>
      <c r="D1" s="926"/>
      <c r="E1" s="1520" t="s">
        <v>855</v>
      </c>
      <c r="F1" s="1520"/>
      <c r="G1" s="1520"/>
    </row>
    <row r="2" spans="1:7" s="249" customFormat="1" ht="24.95" customHeight="1">
      <c r="A2" s="927" t="s">
        <v>1664</v>
      </c>
      <c r="B2" s="928"/>
      <c r="C2" s="928"/>
      <c r="D2" s="928"/>
      <c r="E2" s="928"/>
      <c r="F2" s="928"/>
      <c r="G2" s="928"/>
    </row>
    <row r="3" spans="1:7" s="251" customFormat="1" ht="24.95" customHeight="1">
      <c r="A3" s="250" t="s">
        <v>832</v>
      </c>
      <c r="B3" s="256"/>
      <c r="C3" s="256"/>
      <c r="D3" s="256"/>
      <c r="E3" s="256"/>
      <c r="F3" s="256"/>
      <c r="G3" s="256"/>
    </row>
    <row r="4" spans="1:7" s="251" customFormat="1" ht="9.9499999999999993" customHeight="1">
      <c r="A4" s="250"/>
      <c r="B4" s="256"/>
      <c r="C4" s="256"/>
      <c r="D4" s="256"/>
      <c r="E4" s="256"/>
      <c r="F4" s="256"/>
      <c r="G4" s="256"/>
    </row>
    <row r="5" spans="1:7" s="78" customFormat="1" ht="15" customHeight="1" thickBot="1">
      <c r="A5" s="1187" t="s">
        <v>1792</v>
      </c>
      <c r="B5" s="160"/>
      <c r="C5" s="160"/>
      <c r="D5" s="161"/>
      <c r="E5" s="161" t="s">
        <v>2</v>
      </c>
      <c r="F5" s="161"/>
      <c r="G5" s="929" t="s">
        <v>1097</v>
      </c>
    </row>
    <row r="6" spans="1:7" s="84" customFormat="1" ht="16.5" customHeight="1">
      <c r="A6" s="930"/>
      <c r="B6" s="931" t="s">
        <v>1656</v>
      </c>
      <c r="C6" s="257" t="s">
        <v>1665</v>
      </c>
      <c r="D6" s="257"/>
      <c r="E6" s="1516" t="s">
        <v>1657</v>
      </c>
      <c r="F6" s="1517"/>
      <c r="G6" s="1517"/>
    </row>
    <row r="7" spans="1:7" s="84" customFormat="1" ht="16.5" customHeight="1">
      <c r="A7" s="370"/>
      <c r="B7" s="258"/>
      <c r="C7" s="259" t="s">
        <v>1241</v>
      </c>
      <c r="D7" s="259"/>
      <c r="E7" s="1518" t="s">
        <v>1242</v>
      </c>
      <c r="F7" s="1519"/>
      <c r="G7" s="1519"/>
    </row>
    <row r="8" spans="1:7" s="84" customFormat="1" ht="16.5" customHeight="1">
      <c r="A8" s="370" t="s">
        <v>1666</v>
      </c>
      <c r="B8" s="258"/>
      <c r="C8" s="932" t="s">
        <v>1667</v>
      </c>
      <c r="D8" s="258" t="s">
        <v>1668</v>
      </c>
      <c r="E8" s="258"/>
      <c r="F8" s="933" t="s">
        <v>1658</v>
      </c>
      <c r="G8" s="934" t="s">
        <v>1659</v>
      </c>
    </row>
    <row r="9" spans="1:7" s="84" customFormat="1" ht="16.5" customHeight="1">
      <c r="A9" s="370"/>
      <c r="B9" s="258" t="s">
        <v>1243</v>
      </c>
      <c r="C9" s="258"/>
      <c r="D9" s="258" t="s">
        <v>1244</v>
      </c>
      <c r="E9" s="258"/>
      <c r="F9" s="258" t="s">
        <v>1245</v>
      </c>
      <c r="G9" s="329" t="s">
        <v>1246</v>
      </c>
    </row>
    <row r="10" spans="1:7" s="84" customFormat="1" ht="16.5" customHeight="1">
      <c r="A10" s="897"/>
      <c r="B10" s="162" t="s">
        <v>1247</v>
      </c>
      <c r="C10" s="260" t="s">
        <v>1248</v>
      </c>
      <c r="D10" s="162" t="s">
        <v>1249</v>
      </c>
      <c r="E10" s="162"/>
      <c r="F10" s="162" t="s">
        <v>1250</v>
      </c>
      <c r="G10" s="362" t="s">
        <v>1251</v>
      </c>
    </row>
    <row r="11" spans="1:7" ht="30" customHeight="1">
      <c r="A11" s="804">
        <v>2019</v>
      </c>
      <c r="B11" s="935">
        <v>7345719</v>
      </c>
      <c r="C11" s="936" t="s">
        <v>1252</v>
      </c>
      <c r="D11" s="818">
        <v>53731875</v>
      </c>
      <c r="E11" s="818">
        <v>452943965.59999996</v>
      </c>
      <c r="F11" s="818">
        <v>344245157.89999998</v>
      </c>
      <c r="G11" s="818">
        <v>108698807.7</v>
      </c>
    </row>
    <row r="12" spans="1:7" ht="30" customHeight="1">
      <c r="A12" s="804">
        <v>2020</v>
      </c>
      <c r="B12" s="935">
        <v>6625852</v>
      </c>
      <c r="C12" s="936">
        <v>4879235</v>
      </c>
      <c r="D12" s="818">
        <v>54230971</v>
      </c>
      <c r="E12" s="818">
        <v>462278941</v>
      </c>
      <c r="F12" s="818">
        <v>351490915</v>
      </c>
      <c r="G12" s="818">
        <v>110788026</v>
      </c>
    </row>
    <row r="13" spans="1:7" ht="30" customHeight="1">
      <c r="A13" s="804">
        <v>2021</v>
      </c>
      <c r="B13" s="935">
        <v>6633477</v>
      </c>
      <c r="C13" s="818">
        <v>4917896</v>
      </c>
      <c r="D13" s="818">
        <v>57153636</v>
      </c>
      <c r="E13" s="818">
        <v>504213003</v>
      </c>
      <c r="F13" s="818">
        <v>383070361</v>
      </c>
      <c r="G13" s="818">
        <v>121142642</v>
      </c>
    </row>
    <row r="14" spans="1:7" ht="30" customHeight="1">
      <c r="A14" s="804">
        <v>2022</v>
      </c>
      <c r="B14" s="935">
        <v>7486340</v>
      </c>
      <c r="C14" s="818">
        <v>5449072</v>
      </c>
      <c r="D14" s="818">
        <v>61147412</v>
      </c>
      <c r="E14" s="818">
        <v>548350088</v>
      </c>
      <c r="F14" s="818">
        <v>414823454</v>
      </c>
      <c r="G14" s="818">
        <v>133526634</v>
      </c>
    </row>
    <row r="15" spans="1:7" ht="30" customHeight="1">
      <c r="A15" s="804">
        <v>2023</v>
      </c>
      <c r="B15" s="935">
        <v>7786128</v>
      </c>
      <c r="C15" s="818">
        <v>8255990</v>
      </c>
      <c r="D15" s="818">
        <v>65029518</v>
      </c>
      <c r="E15" s="818">
        <v>588549886</v>
      </c>
      <c r="F15" s="818">
        <v>447085091</v>
      </c>
      <c r="G15" s="818">
        <v>141464795</v>
      </c>
    </row>
    <row r="16" spans="1:7" ht="30" customHeight="1">
      <c r="A16" s="937">
        <v>2024</v>
      </c>
      <c r="B16" s="938">
        <f>SUM(B17:B19)</f>
        <v>7723069</v>
      </c>
      <c r="C16" s="939">
        <f>SUM(C17:C19)</f>
        <v>8175553</v>
      </c>
      <c r="D16" s="939">
        <f>SUM(D17:D19)</f>
        <v>66851094</v>
      </c>
      <c r="E16" s="939">
        <f>SUM(F16:G16)</f>
        <v>604537160</v>
      </c>
      <c r="F16" s="939">
        <f>SUM(F17:F19)</f>
        <v>461089529</v>
      </c>
      <c r="G16" s="939">
        <f>SUM(G17:G19)</f>
        <v>143447631</v>
      </c>
    </row>
    <row r="17" spans="1:7" ht="30" customHeight="1">
      <c r="A17" s="940" t="s">
        <v>1660</v>
      </c>
      <c r="B17" s="941">
        <v>79038</v>
      </c>
      <c r="C17" s="942">
        <v>545627</v>
      </c>
      <c r="D17" s="942">
        <v>909450</v>
      </c>
      <c r="E17" s="943">
        <f>F17+G17</f>
        <v>202452777</v>
      </c>
      <c r="F17" s="942">
        <v>169706582</v>
      </c>
      <c r="G17" s="942">
        <v>32746195</v>
      </c>
    </row>
    <row r="18" spans="1:7" ht="30" customHeight="1">
      <c r="A18" s="940" t="s">
        <v>1661</v>
      </c>
      <c r="B18" s="941">
        <v>4861736</v>
      </c>
      <c r="C18" s="942">
        <v>4847631</v>
      </c>
      <c r="D18" s="942">
        <v>7714183</v>
      </c>
      <c r="E18" s="943">
        <f t="shared" ref="E18:E19" si="0">F18+G18</f>
        <v>266690354</v>
      </c>
      <c r="F18" s="942">
        <v>192131220</v>
      </c>
      <c r="G18" s="942">
        <v>74559134</v>
      </c>
    </row>
    <row r="19" spans="1:7" ht="30" customHeight="1" thickBot="1">
      <c r="A19" s="944" t="s">
        <v>1662</v>
      </c>
      <c r="B19" s="945">
        <v>2782295</v>
      </c>
      <c r="C19" s="946">
        <v>2782295</v>
      </c>
      <c r="D19" s="946">
        <v>58227461</v>
      </c>
      <c r="E19" s="947">
        <f t="shared" si="0"/>
        <v>135394029</v>
      </c>
      <c r="F19" s="946">
        <v>99251727</v>
      </c>
      <c r="G19" s="946">
        <v>36142302</v>
      </c>
    </row>
    <row r="20" spans="1:7" ht="14.25" customHeight="1">
      <c r="A20" s="948" t="s">
        <v>1669</v>
      </c>
      <c r="B20" s="949"/>
      <c r="C20" s="949"/>
      <c r="D20" s="949"/>
      <c r="E20" s="949"/>
      <c r="F20" s="949"/>
      <c r="G20" s="949"/>
    </row>
    <row r="21" spans="1:7">
      <c r="A21" s="96" t="s">
        <v>1670</v>
      </c>
      <c r="B21" s="949"/>
      <c r="C21" s="949"/>
      <c r="D21" s="949"/>
      <c r="E21" s="949"/>
      <c r="F21" s="949"/>
      <c r="G21" s="949"/>
    </row>
    <row r="22" spans="1:7">
      <c r="A22" s="21"/>
      <c r="B22" s="261"/>
      <c r="C22" s="261"/>
      <c r="D22" s="261"/>
      <c r="E22" s="261"/>
      <c r="F22" s="261"/>
      <c r="G22" s="261"/>
    </row>
    <row r="23" spans="1:7">
      <c r="A23" s="21"/>
      <c r="B23" s="261"/>
      <c r="C23" s="261"/>
      <c r="D23" s="261"/>
      <c r="E23" s="261"/>
      <c r="F23" s="261"/>
      <c r="G23" s="261"/>
    </row>
  </sheetData>
  <mergeCells count="3">
    <mergeCell ref="E6:G6"/>
    <mergeCell ref="E7:G7"/>
    <mergeCell ref="E1:G1"/>
  </mergeCells>
  <phoneticPr fontId="3" type="noConversion"/>
  <pageMargins left="0.7" right="0.7" top="0.75" bottom="0.75" header="0.3" footer="0.3"/>
  <pageSetup paperSize="9" scale="64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/>
    <outlinePr summaryBelow="0" summaryRight="0"/>
  </sheetPr>
  <dimension ref="A1:I17"/>
  <sheetViews>
    <sheetView view="pageBreakPreview" zoomScaleNormal="100" zoomScaleSheetLayoutView="100" workbookViewId="0">
      <selection activeCell="G27" sqref="G27"/>
    </sheetView>
  </sheetViews>
  <sheetFormatPr defaultColWidth="9" defaultRowHeight="12"/>
  <cols>
    <col min="1" max="1" width="9.75" style="46" customWidth="1"/>
    <col min="2" max="5" width="9.625" style="46" customWidth="1"/>
    <col min="6" max="6" width="11.5" style="46" customWidth="1"/>
    <col min="7" max="7" width="12.5" style="46" customWidth="1"/>
    <col min="8" max="8" width="10.75" style="46" customWidth="1"/>
    <col min="9" max="9" width="14.125" style="46" customWidth="1"/>
    <col min="10" max="16384" width="9" style="46"/>
  </cols>
  <sheetData>
    <row r="1" spans="1:9" ht="15.75">
      <c r="A1" s="253" t="s">
        <v>1333</v>
      </c>
      <c r="B1" s="254"/>
      <c r="C1" s="254"/>
      <c r="D1" s="254"/>
      <c r="F1" s="803"/>
      <c r="G1" s="803"/>
      <c r="H1" s="803" t="s">
        <v>855</v>
      </c>
    </row>
    <row r="2" spans="1:9" ht="9" customHeight="1">
      <c r="A2" s="253"/>
      <c r="B2" s="254"/>
      <c r="C2" s="254"/>
      <c r="D2" s="254"/>
      <c r="E2" s="784"/>
      <c r="F2" s="784"/>
      <c r="G2" s="784"/>
    </row>
    <row r="3" spans="1:9" ht="24.95" customHeight="1">
      <c r="A3" s="1521" t="s">
        <v>815</v>
      </c>
      <c r="B3" s="1521"/>
      <c r="C3" s="1521"/>
      <c r="D3" s="1521"/>
      <c r="E3" s="1521"/>
      <c r="F3" s="1521"/>
      <c r="G3" s="1521"/>
      <c r="H3" s="1521"/>
      <c r="I3" s="1521"/>
    </row>
    <row r="4" spans="1:9" s="262" customFormat="1" ht="24.95" customHeight="1">
      <c r="A4" s="1522" t="s">
        <v>1108</v>
      </c>
      <c r="B4" s="1523"/>
      <c r="C4" s="1523"/>
      <c r="D4" s="1523"/>
      <c r="E4" s="1523"/>
      <c r="F4" s="1523"/>
      <c r="G4" s="1523"/>
      <c r="H4" s="1523"/>
      <c r="I4" s="1523"/>
    </row>
    <row r="5" spans="1:9" s="262" customFormat="1" ht="9.9499999999999993" customHeight="1">
      <c r="A5" s="785"/>
      <c r="B5" s="786"/>
      <c r="C5" s="786"/>
      <c r="D5" s="786"/>
      <c r="E5" s="786"/>
      <c r="F5" s="786"/>
      <c r="G5" s="786"/>
      <c r="H5" s="786"/>
      <c r="I5" s="786"/>
    </row>
    <row r="6" spans="1:9" s="145" customFormat="1" ht="15" customHeight="1" thickBot="1">
      <c r="A6" s="239" t="s">
        <v>1747</v>
      </c>
      <c r="B6" s="144"/>
      <c r="C6" s="144"/>
      <c r="D6" s="144"/>
      <c r="E6" s="144"/>
      <c r="G6" s="145" t="s">
        <v>2</v>
      </c>
      <c r="I6" s="155" t="s">
        <v>1098</v>
      </c>
    </row>
    <row r="7" spans="1:9" s="156" customFormat="1" ht="17.100000000000001" customHeight="1">
      <c r="A7" s="333" t="s">
        <v>1334</v>
      </c>
      <c r="B7" s="1524" t="s">
        <v>209</v>
      </c>
      <c r="C7" s="1525"/>
      <c r="D7" s="1526"/>
      <c r="E7" s="220" t="s">
        <v>1231</v>
      </c>
      <c r="F7" s="221"/>
      <c r="G7" s="222" t="s">
        <v>210</v>
      </c>
      <c r="H7" s="222" t="s">
        <v>211</v>
      </c>
      <c r="I7" s="330" t="s">
        <v>212</v>
      </c>
    </row>
    <row r="8" spans="1:9" s="156" customFormat="1" ht="17.100000000000001" customHeight="1">
      <c r="A8" s="332"/>
      <c r="B8" s="1527" t="s">
        <v>1282</v>
      </c>
      <c r="C8" s="1528"/>
      <c r="D8" s="1529"/>
      <c r="E8" s="223" t="s">
        <v>1283</v>
      </c>
      <c r="F8" s="223"/>
      <c r="G8" s="224"/>
      <c r="H8" s="224" t="s">
        <v>213</v>
      </c>
      <c r="I8" s="331" t="s">
        <v>1099</v>
      </c>
    </row>
    <row r="9" spans="1:9" s="156" customFormat="1" ht="17.100000000000001" customHeight="1">
      <c r="A9" s="332"/>
      <c r="B9" s="224"/>
      <c r="C9" s="225" t="s">
        <v>214</v>
      </c>
      <c r="D9" s="225" t="s">
        <v>215</v>
      </c>
      <c r="E9" s="226" t="s">
        <v>1232</v>
      </c>
      <c r="F9" s="226" t="s">
        <v>1233</v>
      </c>
      <c r="G9" s="224" t="s">
        <v>1284</v>
      </c>
      <c r="H9" s="224" t="s">
        <v>216</v>
      </c>
      <c r="I9" s="331" t="s">
        <v>217</v>
      </c>
    </row>
    <row r="10" spans="1:9" s="156" customFormat="1" ht="17.100000000000001" customHeight="1">
      <c r="A10" s="318"/>
      <c r="B10" s="64"/>
      <c r="C10" s="64" t="s">
        <v>218</v>
      </c>
      <c r="D10" s="64" t="s">
        <v>219</v>
      </c>
      <c r="E10" s="64" t="s">
        <v>220</v>
      </c>
      <c r="F10" s="64" t="s">
        <v>221</v>
      </c>
      <c r="G10" s="64" t="s">
        <v>1285</v>
      </c>
      <c r="H10" s="64" t="s">
        <v>222</v>
      </c>
      <c r="I10" s="317" t="s">
        <v>223</v>
      </c>
    </row>
    <row r="11" spans="1:9" s="157" customFormat="1" ht="31.5" customHeight="1">
      <c r="A11" s="29">
        <v>2019</v>
      </c>
      <c r="B11" s="950">
        <v>96113</v>
      </c>
      <c r="C11" s="950">
        <v>47975</v>
      </c>
      <c r="D11" s="950">
        <v>48138</v>
      </c>
      <c r="E11" s="950">
        <v>9544</v>
      </c>
      <c r="F11" s="950">
        <v>54947</v>
      </c>
      <c r="G11" s="950">
        <v>36975</v>
      </c>
      <c r="H11" s="950">
        <v>1494</v>
      </c>
      <c r="I11" s="950">
        <v>2697</v>
      </c>
    </row>
    <row r="12" spans="1:9" s="157" customFormat="1" ht="31.5" customHeight="1">
      <c r="A12" s="29">
        <v>2020</v>
      </c>
      <c r="B12" s="950">
        <v>96132</v>
      </c>
      <c r="C12" s="950">
        <v>47969</v>
      </c>
      <c r="D12" s="950">
        <v>48163</v>
      </c>
      <c r="E12" s="950">
        <v>10005</v>
      </c>
      <c r="F12" s="950">
        <v>56970</v>
      </c>
      <c r="G12" s="950">
        <v>34722</v>
      </c>
      <c r="H12" s="950">
        <v>1651</v>
      </c>
      <c r="I12" s="950">
        <v>2789</v>
      </c>
    </row>
    <row r="13" spans="1:9" s="158" customFormat="1" ht="31.5" customHeight="1">
      <c r="A13" s="29">
        <v>2021</v>
      </c>
      <c r="B13" s="950">
        <v>98312</v>
      </c>
      <c r="C13" s="950">
        <v>48903</v>
      </c>
      <c r="D13" s="950">
        <v>49409</v>
      </c>
      <c r="E13" s="950">
        <v>10662</v>
      </c>
      <c r="F13" s="950">
        <v>59477</v>
      </c>
      <c r="G13" s="950">
        <v>33899</v>
      </c>
      <c r="H13" s="950">
        <v>1866</v>
      </c>
      <c r="I13" s="950">
        <v>3070</v>
      </c>
    </row>
    <row r="14" spans="1:9" s="158" customFormat="1" ht="31.5" customHeight="1">
      <c r="A14" s="29">
        <v>2022</v>
      </c>
      <c r="B14" s="950">
        <v>99656</v>
      </c>
      <c r="C14" s="950">
        <v>49300</v>
      </c>
      <c r="D14" s="950">
        <v>50356</v>
      </c>
      <c r="E14" s="950">
        <v>10959</v>
      </c>
      <c r="F14" s="950">
        <v>59886</v>
      </c>
      <c r="G14" s="950">
        <v>35066</v>
      </c>
      <c r="H14" s="950">
        <v>1753</v>
      </c>
      <c r="I14" s="950">
        <v>2951</v>
      </c>
    </row>
    <row r="15" spans="1:9" s="158" customFormat="1" ht="31.5" customHeight="1">
      <c r="A15" s="29">
        <v>2023</v>
      </c>
      <c r="B15" s="950">
        <v>98976</v>
      </c>
      <c r="C15" s="950">
        <v>48939</v>
      </c>
      <c r="D15" s="950">
        <v>50037</v>
      </c>
      <c r="E15" s="950">
        <v>11971</v>
      </c>
      <c r="F15" s="950">
        <v>59735</v>
      </c>
      <c r="G15" s="950">
        <v>34658</v>
      </c>
      <c r="H15" s="950">
        <v>1521</v>
      </c>
      <c r="I15" s="950">
        <v>3062</v>
      </c>
    </row>
    <row r="16" spans="1:9" s="159" customFormat="1" ht="31.5" customHeight="1" thickBot="1">
      <c r="A16" s="355">
        <v>2024</v>
      </c>
      <c r="B16" s="1148">
        <v>96926</v>
      </c>
      <c r="C16" s="993">
        <v>47964</v>
      </c>
      <c r="D16" s="993">
        <v>48962</v>
      </c>
      <c r="E16" s="993">
        <v>11242</v>
      </c>
      <c r="F16" s="993">
        <v>59227</v>
      </c>
      <c r="G16" s="1149">
        <v>33438</v>
      </c>
      <c r="H16" s="993">
        <v>1560</v>
      </c>
      <c r="I16" s="993">
        <v>2701</v>
      </c>
    </row>
    <row r="17" spans="1:1" s="264" customFormat="1" ht="15" customHeight="1">
      <c r="A17" s="263" t="s">
        <v>1718</v>
      </c>
    </row>
  </sheetData>
  <sheetProtection selectLockedCells="1"/>
  <mergeCells count="4">
    <mergeCell ref="A3:I3"/>
    <mergeCell ref="A4:I4"/>
    <mergeCell ref="B7:D7"/>
    <mergeCell ref="B8:D8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90" pageOrder="overThenDown" orientation="portrait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F81BD"/>
  </sheetPr>
  <dimension ref="A1:Z21"/>
  <sheetViews>
    <sheetView view="pageBreakPreview" zoomScale="85" zoomScaleNormal="100" zoomScaleSheetLayoutView="85" workbookViewId="0">
      <selection activeCell="A6" sqref="A6"/>
    </sheetView>
  </sheetViews>
  <sheetFormatPr defaultRowHeight="16.5"/>
  <cols>
    <col min="1" max="1" width="11" style="518" customWidth="1"/>
    <col min="2" max="2" width="10.5" style="518" bestFit="1" customWidth="1"/>
    <col min="3" max="3" width="11.625" style="518" customWidth="1"/>
    <col min="4" max="4" width="9.125" style="518" bestFit="1" customWidth="1"/>
    <col min="5" max="5" width="10.875" style="518" customWidth="1"/>
    <col min="6" max="6" width="9.125" style="518" bestFit="1" customWidth="1"/>
    <col min="7" max="7" width="13.5" style="518" customWidth="1"/>
    <col min="8" max="8" width="9.125" style="518" bestFit="1" customWidth="1"/>
    <col min="9" max="9" width="10.875" style="518" customWidth="1"/>
    <col min="10" max="10" width="9.125" style="518" bestFit="1" customWidth="1"/>
    <col min="11" max="11" width="11.25" style="518" customWidth="1"/>
    <col min="12" max="12" width="9.125" style="518" bestFit="1" customWidth="1"/>
    <col min="13" max="13" width="8.25" style="518" customWidth="1"/>
    <col min="14" max="14" width="9.125" style="518" bestFit="1" customWidth="1"/>
    <col min="15" max="15" width="10.625" style="518" customWidth="1"/>
    <col min="16" max="16" width="9.125" style="518" bestFit="1" customWidth="1"/>
    <col min="17" max="17" width="13" style="518" customWidth="1"/>
    <col min="18" max="18" width="9.125" style="518" bestFit="1" customWidth="1"/>
    <col min="19" max="19" width="8.5" style="518" customWidth="1"/>
    <col min="20" max="20" width="9.125" style="518" bestFit="1" customWidth="1"/>
    <col min="21" max="21" width="10.625" style="518" customWidth="1"/>
    <col min="22" max="22" width="9.125" style="518" bestFit="1" customWidth="1"/>
    <col min="23" max="23" width="11.5" style="518" customWidth="1"/>
    <col min="24" max="16384" width="9" style="518"/>
  </cols>
  <sheetData>
    <row r="1" spans="1:26">
      <c r="A1" s="253" t="s">
        <v>1333</v>
      </c>
      <c r="B1" s="254"/>
      <c r="C1" s="254"/>
      <c r="D1" s="254"/>
      <c r="E1" s="46"/>
      <c r="F1" s="803"/>
      <c r="G1" s="803"/>
      <c r="I1" s="46"/>
      <c r="U1" s="803" t="s">
        <v>855</v>
      </c>
    </row>
    <row r="3" spans="1:26" ht="25.5">
      <c r="A3" s="1551" t="s">
        <v>816</v>
      </c>
      <c r="B3" s="1551"/>
      <c r="C3" s="1551"/>
      <c r="D3" s="1551"/>
      <c r="E3" s="1551"/>
      <c r="F3" s="1551"/>
      <c r="G3" s="1551"/>
      <c r="H3" s="1551"/>
      <c r="I3" s="1551"/>
      <c r="J3" s="1551"/>
      <c r="K3" s="1551"/>
      <c r="L3" s="1551"/>
      <c r="M3" s="1551"/>
      <c r="N3" s="1551"/>
      <c r="O3" s="1551"/>
      <c r="P3" s="1551"/>
      <c r="Q3" s="1551"/>
      <c r="R3" s="1551"/>
      <c r="S3" s="1551"/>
      <c r="T3" s="1551"/>
      <c r="U3" s="1551"/>
      <c r="V3" s="1551"/>
      <c r="W3" s="1551"/>
    </row>
    <row r="4" spans="1:26" ht="25.5">
      <c r="A4" s="1552" t="s">
        <v>1107</v>
      </c>
      <c r="B4" s="1552"/>
      <c r="C4" s="1552"/>
      <c r="D4" s="1552"/>
      <c r="E4" s="1552"/>
      <c r="F4" s="1552"/>
      <c r="G4" s="1552"/>
      <c r="H4" s="1552"/>
      <c r="I4" s="1552"/>
      <c r="J4" s="1552"/>
      <c r="K4" s="1552"/>
      <c r="L4" s="1552"/>
      <c r="M4" s="1552"/>
      <c r="N4" s="1552"/>
      <c r="O4" s="1552"/>
      <c r="P4" s="1552"/>
      <c r="Q4" s="1552"/>
      <c r="R4" s="1552"/>
      <c r="S4" s="1552"/>
      <c r="T4" s="1552"/>
      <c r="U4" s="1552"/>
      <c r="V4" s="1552"/>
      <c r="W4" s="1552"/>
    </row>
    <row r="5" spans="1:26" ht="9.9499999999999993" customHeight="1">
      <c r="A5" s="1548"/>
      <c r="B5" s="1548"/>
      <c r="C5" s="1548"/>
      <c r="D5" s="1548"/>
      <c r="E5" s="1548"/>
      <c r="F5" s="1548"/>
      <c r="G5" s="1548"/>
      <c r="H5" s="1548"/>
      <c r="I5" s="1548"/>
      <c r="J5" s="1548"/>
      <c r="K5" s="1548"/>
      <c r="L5" s="1548"/>
      <c r="M5" s="1548"/>
    </row>
    <row r="6" spans="1:26" s="398" customFormat="1" ht="15" customHeight="1" thickBot="1">
      <c r="A6" s="396" t="s">
        <v>1793</v>
      </c>
      <c r="B6" s="533"/>
      <c r="C6" s="534"/>
      <c r="T6" s="535"/>
      <c r="U6" s="535"/>
      <c r="V6" s="535"/>
      <c r="W6" s="47" t="s">
        <v>1106</v>
      </c>
    </row>
    <row r="7" spans="1:26" s="540" customFormat="1" ht="15" customHeight="1">
      <c r="A7" s="399" t="s">
        <v>748</v>
      </c>
      <c r="B7" s="1549" t="s">
        <v>749</v>
      </c>
      <c r="C7" s="1550"/>
      <c r="D7" s="536" t="s">
        <v>1433</v>
      </c>
      <c r="E7" s="537"/>
      <c r="F7" s="537"/>
      <c r="G7" s="537"/>
      <c r="H7" s="537"/>
      <c r="I7" s="537"/>
      <c r="J7" s="1431" t="s">
        <v>1434</v>
      </c>
      <c r="K7" s="1432"/>
      <c r="L7" s="1432"/>
      <c r="M7" s="1432"/>
      <c r="N7" s="1432"/>
      <c r="O7" s="1432"/>
      <c r="P7" s="1432"/>
      <c r="Q7" s="1432"/>
      <c r="R7" s="538" t="s">
        <v>1435</v>
      </c>
      <c r="S7" s="539"/>
      <c r="T7" s="537"/>
      <c r="U7" s="537"/>
      <c r="V7" s="537"/>
      <c r="W7" s="537"/>
    </row>
    <row r="8" spans="1:26" s="540" customFormat="1" ht="15" customHeight="1">
      <c r="A8" s="541"/>
      <c r="B8" s="542"/>
      <c r="C8" s="541"/>
      <c r="D8" s="543" t="s">
        <v>1436</v>
      </c>
      <c r="E8" s="544"/>
      <c r="F8" s="544"/>
      <c r="G8" s="544"/>
      <c r="H8" s="544"/>
      <c r="I8" s="544"/>
      <c r="J8" s="543" t="s">
        <v>1437</v>
      </c>
      <c r="K8" s="544"/>
      <c r="L8" s="544"/>
      <c r="M8" s="545"/>
      <c r="N8" s="1541" t="s">
        <v>750</v>
      </c>
      <c r="O8" s="1540"/>
      <c r="P8" s="1541" t="s">
        <v>751</v>
      </c>
      <c r="Q8" s="1547"/>
      <c r="R8" s="546" t="s">
        <v>752</v>
      </c>
      <c r="S8" s="547"/>
      <c r="T8" s="1539" t="s">
        <v>753</v>
      </c>
      <c r="U8" s="1540"/>
      <c r="V8" s="1539" t="s">
        <v>754</v>
      </c>
      <c r="W8" s="1541"/>
    </row>
    <row r="9" spans="1:26" s="540" customFormat="1" ht="15" customHeight="1">
      <c r="A9" s="541"/>
      <c r="B9" s="548"/>
      <c r="C9" s="549"/>
      <c r="D9" s="1542" t="s">
        <v>755</v>
      </c>
      <c r="E9" s="1542"/>
      <c r="F9" s="1543" t="s">
        <v>1438</v>
      </c>
      <c r="G9" s="1543"/>
      <c r="H9" s="1544" t="s">
        <v>1439</v>
      </c>
      <c r="I9" s="1545"/>
      <c r="J9" s="1542" t="s">
        <v>756</v>
      </c>
      <c r="K9" s="1542"/>
      <c r="L9" s="1542" t="s">
        <v>757</v>
      </c>
      <c r="M9" s="1542"/>
      <c r="N9" s="550"/>
      <c r="O9" s="551"/>
      <c r="P9" s="1530"/>
      <c r="Q9" s="1546"/>
      <c r="R9" s="1533"/>
      <c r="S9" s="1532"/>
      <c r="T9" s="1533"/>
      <c r="U9" s="1532"/>
      <c r="V9" s="1533"/>
      <c r="W9" s="1530"/>
    </row>
    <row r="10" spans="1:26" s="540" customFormat="1" ht="27.75" customHeight="1">
      <c r="A10" s="541"/>
      <c r="B10" s="552" t="s">
        <v>758</v>
      </c>
      <c r="C10" s="553"/>
      <c r="D10" s="1534" t="s">
        <v>759</v>
      </c>
      <c r="E10" s="1535"/>
      <c r="F10" s="1536" t="s">
        <v>760</v>
      </c>
      <c r="G10" s="1537"/>
      <c r="H10" s="1538" t="s">
        <v>888</v>
      </c>
      <c r="I10" s="1537"/>
      <c r="J10" s="1534" t="s">
        <v>761</v>
      </c>
      <c r="K10" s="1535"/>
      <c r="L10" s="1534" t="s">
        <v>1102</v>
      </c>
      <c r="M10" s="1535"/>
      <c r="N10" s="550" t="s">
        <v>762</v>
      </c>
      <c r="O10" s="551"/>
      <c r="P10" s="1530" t="s">
        <v>763</v>
      </c>
      <c r="Q10" s="1530"/>
      <c r="R10" s="1531" t="s">
        <v>1103</v>
      </c>
      <c r="S10" s="1532"/>
      <c r="T10" s="1533" t="s">
        <v>1104</v>
      </c>
      <c r="U10" s="1532"/>
      <c r="V10" s="1533" t="s">
        <v>1105</v>
      </c>
      <c r="W10" s="1530"/>
    </row>
    <row r="11" spans="1:26" s="556" customFormat="1" ht="15" customHeight="1">
      <c r="A11" s="541"/>
      <c r="B11" s="554" t="s">
        <v>764</v>
      </c>
      <c r="C11" s="554" t="s">
        <v>765</v>
      </c>
      <c r="D11" s="554" t="s">
        <v>764</v>
      </c>
      <c r="E11" s="554" t="s">
        <v>765</v>
      </c>
      <c r="F11" s="554" t="s">
        <v>764</v>
      </c>
      <c r="G11" s="554" t="s">
        <v>765</v>
      </c>
      <c r="H11" s="554" t="s">
        <v>764</v>
      </c>
      <c r="I11" s="555" t="s">
        <v>765</v>
      </c>
      <c r="J11" s="554" t="s">
        <v>764</v>
      </c>
      <c r="K11" s="554" t="s">
        <v>765</v>
      </c>
      <c r="L11" s="554" t="s">
        <v>764</v>
      </c>
      <c r="M11" s="554" t="s">
        <v>765</v>
      </c>
      <c r="N11" s="554" t="s">
        <v>764</v>
      </c>
      <c r="O11" s="554" t="s">
        <v>765</v>
      </c>
      <c r="P11" s="554" t="s">
        <v>764</v>
      </c>
      <c r="Q11" s="555" t="s">
        <v>765</v>
      </c>
      <c r="R11" s="554" t="s">
        <v>764</v>
      </c>
      <c r="S11" s="554" t="s">
        <v>766</v>
      </c>
      <c r="T11" s="554" t="s">
        <v>764</v>
      </c>
      <c r="U11" s="554" t="s">
        <v>766</v>
      </c>
      <c r="V11" s="554" t="s">
        <v>764</v>
      </c>
      <c r="W11" s="555" t="s">
        <v>765</v>
      </c>
    </row>
    <row r="12" spans="1:26" s="556" customFormat="1" ht="15" customHeight="1">
      <c r="A12" s="541"/>
      <c r="B12" s="557" t="s">
        <v>767</v>
      </c>
      <c r="C12" s="558"/>
      <c r="D12" s="557" t="s">
        <v>738</v>
      </c>
      <c r="E12" s="558"/>
      <c r="F12" s="557" t="s">
        <v>738</v>
      </c>
      <c r="G12" s="558"/>
      <c r="H12" s="557" t="s">
        <v>738</v>
      </c>
      <c r="I12" s="559"/>
      <c r="J12" s="557" t="s">
        <v>738</v>
      </c>
      <c r="K12" s="558"/>
      <c r="L12" s="557" t="s">
        <v>738</v>
      </c>
      <c r="M12" s="558"/>
      <c r="N12" s="557" t="s">
        <v>738</v>
      </c>
      <c r="O12" s="558"/>
      <c r="P12" s="557" t="s">
        <v>738</v>
      </c>
      <c r="Q12" s="559"/>
      <c r="R12" s="557" t="s">
        <v>738</v>
      </c>
      <c r="S12" s="558"/>
      <c r="T12" s="557" t="s">
        <v>738</v>
      </c>
      <c r="U12" s="558"/>
      <c r="V12" s="557" t="s">
        <v>738</v>
      </c>
      <c r="W12" s="559"/>
    </row>
    <row r="13" spans="1:26" s="556" customFormat="1" ht="15" customHeight="1">
      <c r="A13" s="560"/>
      <c r="B13" s="561" t="s">
        <v>1100</v>
      </c>
      <c r="C13" s="562" t="s">
        <v>768</v>
      </c>
      <c r="D13" s="561" t="s">
        <v>1100</v>
      </c>
      <c r="E13" s="562" t="s">
        <v>768</v>
      </c>
      <c r="F13" s="561" t="s">
        <v>1100</v>
      </c>
      <c r="G13" s="562" t="s">
        <v>768</v>
      </c>
      <c r="H13" s="561" t="s">
        <v>1100</v>
      </c>
      <c r="I13" s="563" t="s">
        <v>768</v>
      </c>
      <c r="J13" s="561" t="s">
        <v>1100</v>
      </c>
      <c r="K13" s="562" t="s">
        <v>768</v>
      </c>
      <c r="L13" s="561" t="s">
        <v>1100</v>
      </c>
      <c r="M13" s="562" t="s">
        <v>768</v>
      </c>
      <c r="N13" s="561" t="s">
        <v>1100</v>
      </c>
      <c r="O13" s="562" t="s">
        <v>768</v>
      </c>
      <c r="P13" s="561" t="s">
        <v>1100</v>
      </c>
      <c r="Q13" s="563" t="s">
        <v>768</v>
      </c>
      <c r="R13" s="561" t="s">
        <v>1100</v>
      </c>
      <c r="S13" s="562" t="s">
        <v>743</v>
      </c>
      <c r="T13" s="561" t="s">
        <v>1100</v>
      </c>
      <c r="U13" s="562" t="s">
        <v>743</v>
      </c>
      <c r="V13" s="561" t="s">
        <v>1100</v>
      </c>
      <c r="W13" s="563" t="s">
        <v>768</v>
      </c>
      <c r="Z13" s="556" t="s">
        <v>769</v>
      </c>
    </row>
    <row r="14" spans="1:26" ht="30" customHeight="1">
      <c r="A14" s="564">
        <v>2019</v>
      </c>
      <c r="B14" s="996">
        <v>24791</v>
      </c>
      <c r="C14" s="997">
        <v>101858575</v>
      </c>
      <c r="D14" s="997">
        <v>6957</v>
      </c>
      <c r="E14" s="997">
        <v>17287439</v>
      </c>
      <c r="F14" s="997">
        <v>1842</v>
      </c>
      <c r="G14" s="997">
        <v>16729289</v>
      </c>
      <c r="H14" s="997">
        <v>7224</v>
      </c>
      <c r="I14" s="997">
        <v>30621805</v>
      </c>
      <c r="J14" s="997">
        <v>3098</v>
      </c>
      <c r="K14" s="997">
        <v>19560767</v>
      </c>
      <c r="L14" s="997">
        <v>156</v>
      </c>
      <c r="M14" s="997">
        <v>331882</v>
      </c>
      <c r="N14" s="997">
        <v>418</v>
      </c>
      <c r="O14" s="997">
        <v>1964623</v>
      </c>
      <c r="P14" s="997">
        <v>4072</v>
      </c>
      <c r="Q14" s="997">
        <v>11250997</v>
      </c>
      <c r="R14" s="997">
        <v>13</v>
      </c>
      <c r="S14" s="997">
        <v>162250</v>
      </c>
      <c r="T14" s="997">
        <v>894</v>
      </c>
      <c r="U14" s="997">
        <v>3693188</v>
      </c>
      <c r="V14" s="997">
        <v>117</v>
      </c>
      <c r="W14" s="997">
        <v>256335</v>
      </c>
    </row>
    <row r="15" spans="1:26" ht="30" customHeight="1">
      <c r="A15" s="564">
        <v>2020</v>
      </c>
      <c r="B15" s="996">
        <v>27288</v>
      </c>
      <c r="C15" s="997">
        <v>117343355</v>
      </c>
      <c r="D15" s="997">
        <v>6822</v>
      </c>
      <c r="E15" s="997">
        <v>16985910</v>
      </c>
      <c r="F15" s="997">
        <v>2458</v>
      </c>
      <c r="G15" s="997">
        <v>23084174</v>
      </c>
      <c r="H15" s="997">
        <v>8558</v>
      </c>
      <c r="I15" s="997">
        <v>36015510</v>
      </c>
      <c r="J15" s="997">
        <v>3354</v>
      </c>
      <c r="K15" s="997">
        <v>21783039</v>
      </c>
      <c r="L15" s="997">
        <v>204</v>
      </c>
      <c r="M15" s="997">
        <v>418722</v>
      </c>
      <c r="N15" s="997">
        <v>419</v>
      </c>
      <c r="O15" s="997">
        <v>1917149</v>
      </c>
      <c r="P15" s="997">
        <v>4358</v>
      </c>
      <c r="Q15" s="997">
        <v>12268076</v>
      </c>
      <c r="R15" s="997">
        <v>15</v>
      </c>
      <c r="S15" s="997">
        <v>220230</v>
      </c>
      <c r="T15" s="997">
        <v>970</v>
      </c>
      <c r="U15" s="997">
        <v>4273068</v>
      </c>
      <c r="V15" s="997">
        <v>130</v>
      </c>
      <c r="W15" s="997">
        <v>377477</v>
      </c>
    </row>
    <row r="16" spans="1:26" ht="30" customHeight="1">
      <c r="A16" s="564">
        <v>2021</v>
      </c>
      <c r="B16" s="996">
        <v>30166</v>
      </c>
      <c r="C16" s="997">
        <v>135239546</v>
      </c>
      <c r="D16" s="997">
        <v>6683</v>
      </c>
      <c r="E16" s="997">
        <v>16660284</v>
      </c>
      <c r="F16" s="997">
        <v>3235</v>
      </c>
      <c r="G16" s="997">
        <v>30924986</v>
      </c>
      <c r="H16" s="997">
        <v>9992</v>
      </c>
      <c r="I16" s="997">
        <v>42222475</v>
      </c>
      <c r="J16" s="997">
        <v>3610</v>
      </c>
      <c r="K16" s="997">
        <v>23877137</v>
      </c>
      <c r="L16" s="997">
        <v>282</v>
      </c>
      <c r="M16" s="997">
        <v>635895</v>
      </c>
      <c r="N16" s="997">
        <v>444</v>
      </c>
      <c r="O16" s="997">
        <v>2263587</v>
      </c>
      <c r="P16" s="997">
        <v>4687</v>
      </c>
      <c r="Q16" s="997">
        <v>13343373</v>
      </c>
      <c r="R16" s="997">
        <v>15</v>
      </c>
      <c r="S16" s="997">
        <v>321185</v>
      </c>
      <c r="T16" s="997">
        <v>1083</v>
      </c>
      <c r="U16" s="997">
        <v>4617223</v>
      </c>
      <c r="V16" s="997">
        <v>135</v>
      </c>
      <c r="W16" s="997">
        <v>373400</v>
      </c>
    </row>
    <row r="17" spans="1:23" ht="30" customHeight="1">
      <c r="A17" s="564">
        <v>2022</v>
      </c>
      <c r="B17" s="996">
        <v>33155</v>
      </c>
      <c r="C17" s="997">
        <v>157868177</v>
      </c>
      <c r="D17" s="997">
        <v>6499</v>
      </c>
      <c r="E17" s="997">
        <v>16487526</v>
      </c>
      <c r="F17" s="997">
        <v>4116</v>
      </c>
      <c r="G17" s="997">
        <v>41334285</v>
      </c>
      <c r="H17" s="997">
        <v>11568</v>
      </c>
      <c r="I17" s="997">
        <v>49973543</v>
      </c>
      <c r="J17" s="997">
        <v>3932</v>
      </c>
      <c r="K17" s="997">
        <v>26927319</v>
      </c>
      <c r="L17" s="997">
        <v>360</v>
      </c>
      <c r="M17" s="997">
        <v>871849</v>
      </c>
      <c r="N17" s="997">
        <v>431</v>
      </c>
      <c r="O17" s="997">
        <v>2076018</v>
      </c>
      <c r="P17" s="997">
        <v>5044</v>
      </c>
      <c r="Q17" s="997">
        <v>14838364</v>
      </c>
      <c r="R17" s="997">
        <v>13</v>
      </c>
      <c r="S17" s="997">
        <v>216951</v>
      </c>
      <c r="T17" s="997">
        <v>1054</v>
      </c>
      <c r="U17" s="997">
        <v>4813977</v>
      </c>
      <c r="V17" s="997">
        <v>138</v>
      </c>
      <c r="W17" s="997">
        <v>328344</v>
      </c>
    </row>
    <row r="18" spans="1:23" ht="30" customHeight="1">
      <c r="A18" s="564">
        <v>2023</v>
      </c>
      <c r="B18" s="1071">
        <f>SUM(D18,F18,H18,J18,L18,N18,P18,R18,T18,V18)</f>
        <v>34144</v>
      </c>
      <c r="C18" s="1070">
        <f>SUM(E18,G18,I18,K18,M18,O18,Q18,S18,U18,W18)</f>
        <v>181242850</v>
      </c>
      <c r="D18" s="1070">
        <v>6216</v>
      </c>
      <c r="E18" s="1070">
        <v>16623107</v>
      </c>
      <c r="F18" s="1070">
        <v>4225</v>
      </c>
      <c r="G18" s="1070">
        <v>49418682</v>
      </c>
      <c r="H18" s="1070">
        <v>11959</v>
      </c>
      <c r="I18" s="1070">
        <v>56498940</v>
      </c>
      <c r="J18" s="1070">
        <v>4489</v>
      </c>
      <c r="K18" s="1070">
        <v>32754599</v>
      </c>
      <c r="L18" s="1070">
        <v>414</v>
      </c>
      <c r="M18" s="1070">
        <v>1098471</v>
      </c>
      <c r="N18" s="1070">
        <v>438</v>
      </c>
      <c r="O18" s="1070">
        <v>2398586</v>
      </c>
      <c r="P18" s="1070">
        <v>5321</v>
      </c>
      <c r="Q18" s="1070">
        <v>16664561</v>
      </c>
      <c r="R18" s="1070">
        <v>9</v>
      </c>
      <c r="S18" s="1070">
        <v>202498</v>
      </c>
      <c r="T18" s="1070">
        <v>865</v>
      </c>
      <c r="U18" s="1070">
        <v>4949102</v>
      </c>
      <c r="V18" s="1070">
        <v>208</v>
      </c>
      <c r="W18" s="1070">
        <v>634304</v>
      </c>
    </row>
    <row r="19" spans="1:23" s="520" customFormat="1" ht="30" customHeight="1" thickBot="1">
      <c r="A19" s="565">
        <v>2024</v>
      </c>
      <c r="B19" s="1150">
        <f>SUM(D19,F19,H19,J19,L19,N19,P19,R19,T19,V19)</f>
        <v>37109</v>
      </c>
      <c r="C19" s="1151">
        <f>SUM(E19,G19,I19,K19,M19,O19,Q19,S19,U19,W19)</f>
        <v>203469123</v>
      </c>
      <c r="D19" s="1151">
        <v>5983</v>
      </c>
      <c r="E19" s="1151">
        <v>16578988</v>
      </c>
      <c r="F19" s="1151">
        <v>5163</v>
      </c>
      <c r="G19" s="1151">
        <v>57810847</v>
      </c>
      <c r="H19" s="1151">
        <v>13184</v>
      </c>
      <c r="I19" s="1151">
        <v>61866878</v>
      </c>
      <c r="J19" s="1151">
        <v>5052</v>
      </c>
      <c r="K19" s="1151">
        <v>39138644</v>
      </c>
      <c r="L19" s="1151">
        <v>497</v>
      </c>
      <c r="M19" s="1151">
        <v>1347912</v>
      </c>
      <c r="N19" s="1151">
        <v>439</v>
      </c>
      <c r="O19" s="1151">
        <v>2434203</v>
      </c>
      <c r="P19" s="1151">
        <v>5637</v>
      </c>
      <c r="Q19" s="1151">
        <v>18687978</v>
      </c>
      <c r="R19" s="1151">
        <v>13</v>
      </c>
      <c r="S19" s="1151">
        <v>312821</v>
      </c>
      <c r="T19" s="1151">
        <v>976</v>
      </c>
      <c r="U19" s="1151">
        <v>4781336</v>
      </c>
      <c r="V19" s="1151">
        <v>165</v>
      </c>
      <c r="W19" s="1151">
        <v>509516</v>
      </c>
    </row>
    <row r="20" spans="1:23" ht="30" customHeight="1">
      <c r="A20" s="566" t="s">
        <v>1101</v>
      </c>
      <c r="B20" s="567"/>
      <c r="C20" s="567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</row>
    <row r="21" spans="1:23" ht="30" customHeight="1">
      <c r="A21" s="569" t="s">
        <v>1718</v>
      </c>
    </row>
  </sheetData>
  <mergeCells count="27">
    <mergeCell ref="A5:M5"/>
    <mergeCell ref="B7:C7"/>
    <mergeCell ref="J7:Q7"/>
    <mergeCell ref="A3:W3"/>
    <mergeCell ref="A4:W4"/>
    <mergeCell ref="T8:U8"/>
    <mergeCell ref="V8:W8"/>
    <mergeCell ref="D9:E9"/>
    <mergeCell ref="F9:G9"/>
    <mergeCell ref="H9:I9"/>
    <mergeCell ref="J9:K9"/>
    <mergeCell ref="L9:M9"/>
    <mergeCell ref="P9:Q9"/>
    <mergeCell ref="R9:S9"/>
    <mergeCell ref="T9:U9"/>
    <mergeCell ref="N8:O8"/>
    <mergeCell ref="P8:Q8"/>
    <mergeCell ref="V9:W9"/>
    <mergeCell ref="P10:Q10"/>
    <mergeCell ref="R10:S10"/>
    <mergeCell ref="T10:U10"/>
    <mergeCell ref="V10:W10"/>
    <mergeCell ref="D10:E10"/>
    <mergeCell ref="F10:G10"/>
    <mergeCell ref="H10:I10"/>
    <mergeCell ref="J10:K10"/>
    <mergeCell ref="L10:M10"/>
  </mergeCells>
  <phoneticPr fontId="3" type="noConversion"/>
  <pageMargins left="0.7" right="0.7" top="0.75" bottom="0.75" header="0.3" footer="0.3"/>
  <pageSetup paperSize="9" scale="31" orientation="portrait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/>
    <outlinePr summaryBelow="0" summaryRight="0"/>
  </sheetPr>
  <dimension ref="A1:AF24"/>
  <sheetViews>
    <sheetView view="pageBreakPreview" zoomScale="85" zoomScaleNormal="90" zoomScaleSheetLayoutView="85" workbookViewId="0">
      <selection activeCell="J34" sqref="J34"/>
    </sheetView>
  </sheetViews>
  <sheetFormatPr defaultColWidth="9" defaultRowHeight="12"/>
  <cols>
    <col min="1" max="1" width="9.875" style="11" customWidth="1"/>
    <col min="2" max="2" width="6.75" style="11" customWidth="1"/>
    <col min="3" max="3" width="7.125" style="11" customWidth="1"/>
    <col min="4" max="4" width="5.5" style="11" customWidth="1"/>
    <col min="5" max="5" width="6.5" style="11" customWidth="1"/>
    <col min="6" max="6" width="7.875" style="11" customWidth="1"/>
    <col min="7" max="7" width="7.625" style="11" customWidth="1"/>
    <col min="8" max="8" width="6.75" style="11" customWidth="1"/>
    <col min="9" max="10" width="5.875" style="11" customWidth="1"/>
    <col min="11" max="11" width="6.875" style="11" customWidth="1"/>
    <col min="12" max="12" width="5.25" style="11" customWidth="1"/>
    <col min="13" max="13" width="6.375" style="11" customWidth="1"/>
    <col min="14" max="14" width="5.875" style="11" customWidth="1"/>
    <col min="15" max="15" width="5.75" style="11" customWidth="1"/>
    <col min="16" max="17" width="5.5" style="11" customWidth="1"/>
    <col min="18" max="19" width="7" style="11" customWidth="1"/>
    <col min="20" max="20" width="7.125" style="11" customWidth="1"/>
    <col min="21" max="21" width="5.875" style="11" customWidth="1"/>
    <col min="22" max="22" width="6.875" style="11" customWidth="1"/>
    <col min="23" max="23" width="5.125" style="11" customWidth="1"/>
    <col min="24" max="24" width="5.625" style="11" customWidth="1"/>
    <col min="25" max="26" width="6" style="11" customWidth="1"/>
    <col min="27" max="27" width="9.625" style="11" customWidth="1"/>
    <col min="28" max="28" width="8.125" style="11" customWidth="1"/>
    <col min="29" max="29" width="6.125" style="11" customWidth="1"/>
    <col min="30" max="16384" width="9" style="11"/>
  </cols>
  <sheetData>
    <row r="1" spans="1:29" ht="15.75">
      <c r="A1" s="1336" t="s">
        <v>829</v>
      </c>
      <c r="B1" s="1336"/>
      <c r="C1" s="1336"/>
      <c r="D1" s="1336"/>
      <c r="E1" s="1336"/>
      <c r="F1" s="1336"/>
      <c r="G1" s="1336"/>
      <c r="H1" s="1336"/>
      <c r="I1" s="1336"/>
      <c r="J1" s="1336"/>
      <c r="K1" s="1336"/>
      <c r="L1" s="1336"/>
      <c r="M1" s="1336"/>
      <c r="AA1" s="803" t="s">
        <v>855</v>
      </c>
    </row>
    <row r="2" spans="1:29" ht="50.1" customHeight="1">
      <c r="A2" s="1396" t="s">
        <v>876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</row>
    <row r="3" spans="1:29" ht="10.5" customHeight="1">
      <c r="A3" s="782"/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</row>
    <row r="4" spans="1:29" s="6" customFormat="1" ht="15" customHeight="1" thickBot="1">
      <c r="A4" s="48" t="s">
        <v>0</v>
      </c>
      <c r="B4" s="22"/>
      <c r="C4" s="22"/>
      <c r="D4" s="22"/>
      <c r="E4" s="22"/>
      <c r="F4" s="22"/>
      <c r="H4" s="6" t="s">
        <v>2</v>
      </c>
      <c r="R4" s="22"/>
      <c r="AC4" s="47" t="s">
        <v>1110</v>
      </c>
    </row>
    <row r="5" spans="1:29" s="7" customFormat="1" ht="21" customHeight="1">
      <c r="A5" s="184" t="s">
        <v>1579</v>
      </c>
      <c r="B5" s="81" t="s">
        <v>87</v>
      </c>
      <c r="C5" s="1554" t="s">
        <v>1229</v>
      </c>
      <c r="D5" s="1555"/>
      <c r="E5" s="1555"/>
      <c r="F5" s="1555"/>
      <c r="G5" s="1555"/>
      <c r="H5" s="1555"/>
      <c r="I5" s="1555"/>
      <c r="J5" s="1555"/>
      <c r="K5" s="1556"/>
      <c r="L5" s="1554" t="s">
        <v>1230</v>
      </c>
      <c r="M5" s="1555"/>
      <c r="N5" s="1555"/>
      <c r="O5" s="1555"/>
      <c r="P5" s="1555"/>
      <c r="Q5" s="1555"/>
      <c r="R5" s="1555"/>
      <c r="S5" s="1555"/>
      <c r="T5" s="1555"/>
      <c r="U5" s="1555"/>
      <c r="V5" s="1556"/>
      <c r="W5" s="1557" t="s">
        <v>889</v>
      </c>
      <c r="X5" s="1555"/>
      <c r="Y5" s="1555"/>
      <c r="Z5" s="1555"/>
      <c r="AA5" s="1555"/>
      <c r="AB5" s="1555"/>
      <c r="AC5" s="1555"/>
    </row>
    <row r="6" spans="1:29" s="7" customFormat="1" ht="21" customHeight="1">
      <c r="A6" s="335"/>
      <c r="B6" s="307"/>
      <c r="C6" s="186"/>
      <c r="D6" s="316" t="s">
        <v>88</v>
      </c>
      <c r="E6" s="316" t="s">
        <v>89</v>
      </c>
      <c r="F6" s="187" t="s">
        <v>90</v>
      </c>
      <c r="G6" s="187" t="s">
        <v>91</v>
      </c>
      <c r="H6" s="188">
        <v>4.1900000000000004</v>
      </c>
      <c r="I6" s="187" t="s">
        <v>92</v>
      </c>
      <c r="J6" s="187" t="s">
        <v>488</v>
      </c>
      <c r="K6" s="323" t="s">
        <v>93</v>
      </c>
      <c r="L6" s="189"/>
      <c r="M6" s="69" t="s">
        <v>94</v>
      </c>
      <c r="N6" s="190" t="s">
        <v>95</v>
      </c>
      <c r="O6" s="191"/>
      <c r="P6" s="192"/>
      <c r="Q6" s="192"/>
      <c r="R6" s="187" t="s">
        <v>90</v>
      </c>
      <c r="S6" s="325" t="s">
        <v>890</v>
      </c>
      <c r="T6" s="188">
        <v>4.1900000000000004</v>
      </c>
      <c r="U6" s="187" t="s">
        <v>96</v>
      </c>
      <c r="V6" s="323" t="s">
        <v>97</v>
      </c>
      <c r="W6" s="188" t="s">
        <v>98</v>
      </c>
      <c r="X6" s="187" t="s">
        <v>99</v>
      </c>
      <c r="Y6" s="188">
        <v>5.18</v>
      </c>
      <c r="Z6" s="323" t="s">
        <v>100</v>
      </c>
      <c r="AA6" s="323" t="s">
        <v>259</v>
      </c>
      <c r="AB6" s="323" t="s">
        <v>265</v>
      </c>
      <c r="AC6" s="69" t="s">
        <v>268</v>
      </c>
    </row>
    <row r="7" spans="1:29" s="7" customFormat="1" ht="20.25" customHeight="1">
      <c r="A7" s="335"/>
      <c r="B7" s="307"/>
      <c r="C7" s="71"/>
      <c r="D7" s="166" t="s">
        <v>101</v>
      </c>
      <c r="E7" s="166" t="s">
        <v>102</v>
      </c>
      <c r="F7" s="189" t="s">
        <v>103</v>
      </c>
      <c r="G7" s="189" t="s">
        <v>104</v>
      </c>
      <c r="H7" s="189" t="s">
        <v>105</v>
      </c>
      <c r="I7" s="189" t="s">
        <v>106</v>
      </c>
      <c r="J7" s="189" t="s">
        <v>489</v>
      </c>
      <c r="K7" s="324" t="s">
        <v>107</v>
      </c>
      <c r="L7" s="189"/>
      <c r="M7" s="70" t="s">
        <v>108</v>
      </c>
      <c r="N7" s="193" t="s">
        <v>109</v>
      </c>
      <c r="O7" s="194"/>
      <c r="P7" s="195"/>
      <c r="Q7" s="195"/>
      <c r="R7" s="189" t="s">
        <v>103</v>
      </c>
      <c r="S7" s="166" t="s">
        <v>110</v>
      </c>
      <c r="T7" s="189" t="s">
        <v>111</v>
      </c>
      <c r="U7" s="189" t="s">
        <v>861</v>
      </c>
      <c r="V7" s="324" t="s">
        <v>112</v>
      </c>
      <c r="W7" s="189" t="s">
        <v>113</v>
      </c>
      <c r="X7" s="189" t="s">
        <v>114</v>
      </c>
      <c r="Y7" s="189" t="s">
        <v>115</v>
      </c>
      <c r="Z7" s="324" t="s">
        <v>116</v>
      </c>
      <c r="AA7" s="324" t="s">
        <v>260</v>
      </c>
      <c r="AB7" s="324" t="s">
        <v>266</v>
      </c>
      <c r="AC7" s="70" t="s">
        <v>269</v>
      </c>
    </row>
    <row r="8" spans="1:29" s="7" customFormat="1" ht="21" customHeight="1">
      <c r="A8" s="335"/>
      <c r="B8" s="307"/>
      <c r="C8" s="71"/>
      <c r="D8" s="166"/>
      <c r="E8" s="166" t="s">
        <v>117</v>
      </c>
      <c r="F8" s="196" t="s">
        <v>118</v>
      </c>
      <c r="G8" s="71" t="s">
        <v>119</v>
      </c>
      <c r="H8" s="189" t="s">
        <v>120</v>
      </c>
      <c r="I8" s="165" t="s">
        <v>2</v>
      </c>
      <c r="J8" s="324"/>
      <c r="K8" s="324" t="s">
        <v>121</v>
      </c>
      <c r="L8" s="189"/>
      <c r="M8" s="70" t="s">
        <v>122</v>
      </c>
      <c r="N8" s="197" t="s">
        <v>123</v>
      </c>
      <c r="O8" s="198"/>
      <c r="P8" s="195"/>
      <c r="Q8" s="195"/>
      <c r="R8" s="196" t="s">
        <v>118</v>
      </c>
      <c r="S8" s="195" t="s">
        <v>119</v>
      </c>
      <c r="T8" s="324" t="s">
        <v>120</v>
      </c>
      <c r="U8" s="324" t="s">
        <v>862</v>
      </c>
      <c r="V8" s="324" t="s">
        <v>124</v>
      </c>
      <c r="W8" s="189" t="s">
        <v>125</v>
      </c>
      <c r="X8" s="324"/>
      <c r="Y8" s="324" t="s">
        <v>126</v>
      </c>
      <c r="Z8" s="324" t="s">
        <v>127</v>
      </c>
      <c r="AA8" s="324" t="s">
        <v>261</v>
      </c>
      <c r="AB8" s="324" t="s">
        <v>267</v>
      </c>
      <c r="AC8" s="70" t="s">
        <v>270</v>
      </c>
    </row>
    <row r="9" spans="1:29" s="7" customFormat="1" ht="21" customHeight="1">
      <c r="A9" s="1558"/>
      <c r="B9" s="307"/>
      <c r="C9" s="71"/>
      <c r="D9" s="337"/>
      <c r="E9" s="337"/>
      <c r="F9" s="196" t="s">
        <v>128</v>
      </c>
      <c r="G9" s="71" t="s">
        <v>129</v>
      </c>
      <c r="H9" s="196"/>
      <c r="I9" s="196" t="s">
        <v>2</v>
      </c>
      <c r="J9" s="199" t="s">
        <v>490</v>
      </c>
      <c r="K9" s="200"/>
      <c r="L9" s="196"/>
      <c r="M9" s="336" t="s">
        <v>130</v>
      </c>
      <c r="N9" s="1559" t="s">
        <v>131</v>
      </c>
      <c r="O9" s="1560"/>
      <c r="P9" s="1560"/>
      <c r="Q9" s="1561"/>
      <c r="R9" s="196" t="s">
        <v>132</v>
      </c>
      <c r="S9" s="195" t="s">
        <v>129</v>
      </c>
      <c r="T9" s="196" t="s">
        <v>133</v>
      </c>
      <c r="U9" s="200"/>
      <c r="V9" s="71" t="s">
        <v>134</v>
      </c>
      <c r="W9" s="196"/>
      <c r="X9" s="71"/>
      <c r="Y9" s="71" t="s">
        <v>135</v>
      </c>
      <c r="Z9" s="196"/>
      <c r="AA9" s="196"/>
      <c r="AB9" s="196"/>
      <c r="AC9" s="197"/>
    </row>
    <row r="10" spans="1:29" s="7" customFormat="1" ht="21" customHeight="1">
      <c r="A10" s="1558"/>
      <c r="B10" s="307"/>
      <c r="C10" s="71"/>
      <c r="D10" s="337"/>
      <c r="E10" s="337" t="s">
        <v>136</v>
      </c>
      <c r="F10" s="196" t="s">
        <v>137</v>
      </c>
      <c r="G10" s="71" t="s">
        <v>138</v>
      </c>
      <c r="H10" s="201" t="s">
        <v>139</v>
      </c>
      <c r="I10" s="196" t="s">
        <v>2</v>
      </c>
      <c r="J10" s="71" t="s">
        <v>491</v>
      </c>
      <c r="K10" s="71" t="s">
        <v>140</v>
      </c>
      <c r="L10" s="196"/>
      <c r="M10" s="336" t="s">
        <v>141</v>
      </c>
      <c r="N10" s="197" t="s">
        <v>142</v>
      </c>
      <c r="O10" s="198"/>
      <c r="P10" s="195"/>
      <c r="Q10" s="195"/>
      <c r="R10" s="196" t="s">
        <v>143</v>
      </c>
      <c r="S10" s="195" t="s">
        <v>144</v>
      </c>
      <c r="T10" s="196" t="s">
        <v>145</v>
      </c>
      <c r="U10" s="71" t="s">
        <v>146</v>
      </c>
      <c r="V10" s="71" t="s">
        <v>147</v>
      </c>
      <c r="W10" s="202"/>
      <c r="X10" s="71"/>
      <c r="Y10" s="71" t="s">
        <v>148</v>
      </c>
      <c r="Z10" s="196"/>
      <c r="AA10" s="196"/>
      <c r="AB10" s="196"/>
      <c r="AC10" s="197"/>
    </row>
    <row r="11" spans="1:29" s="7" customFormat="1" ht="21" customHeight="1">
      <c r="A11" s="335"/>
      <c r="B11" s="307"/>
      <c r="C11" s="71"/>
      <c r="D11" s="337"/>
      <c r="E11" s="337" t="s">
        <v>149</v>
      </c>
      <c r="F11" s="196" t="s">
        <v>150</v>
      </c>
      <c r="G11" s="71" t="s">
        <v>151</v>
      </c>
      <c r="H11" s="203" t="s">
        <v>152</v>
      </c>
      <c r="I11" s="196" t="s">
        <v>153</v>
      </c>
      <c r="J11" s="71" t="s">
        <v>492</v>
      </c>
      <c r="K11" s="337" t="s">
        <v>154</v>
      </c>
      <c r="L11" s="200"/>
      <c r="M11" s="336" t="s">
        <v>155</v>
      </c>
      <c r="N11" s="187" t="s">
        <v>156</v>
      </c>
      <c r="O11" s="187" t="s">
        <v>157</v>
      </c>
      <c r="P11" s="187" t="s">
        <v>158</v>
      </c>
      <c r="Q11" s="187" t="s">
        <v>863</v>
      </c>
      <c r="R11" s="196" t="s">
        <v>150</v>
      </c>
      <c r="S11" s="195" t="s">
        <v>151</v>
      </c>
      <c r="T11" s="203" t="s">
        <v>159</v>
      </c>
      <c r="U11" s="71" t="s">
        <v>160</v>
      </c>
      <c r="V11" s="71" t="s">
        <v>161</v>
      </c>
      <c r="W11" s="202" t="s">
        <v>280</v>
      </c>
      <c r="X11" s="71"/>
      <c r="Y11" s="71" t="s">
        <v>163</v>
      </c>
      <c r="Z11" s="196"/>
      <c r="AA11" s="196"/>
      <c r="AB11" s="196"/>
      <c r="AC11" s="197"/>
    </row>
    <row r="12" spans="1:29" s="7" customFormat="1" ht="21" customHeight="1">
      <c r="A12" s="335"/>
      <c r="B12" s="307"/>
      <c r="C12" s="71"/>
      <c r="D12" s="337" t="s">
        <v>164</v>
      </c>
      <c r="E12" s="337" t="s">
        <v>165</v>
      </c>
      <c r="F12" s="71" t="s">
        <v>166</v>
      </c>
      <c r="G12" s="71" t="s">
        <v>167</v>
      </c>
      <c r="H12" s="71" t="s">
        <v>168</v>
      </c>
      <c r="I12" s="71" t="s">
        <v>160</v>
      </c>
      <c r="J12" s="71" t="s">
        <v>493</v>
      </c>
      <c r="K12" s="204" t="s">
        <v>169</v>
      </c>
      <c r="L12" s="200"/>
      <c r="M12" s="336" t="s">
        <v>170</v>
      </c>
      <c r="N12" s="186"/>
      <c r="O12" s="186"/>
      <c r="P12" s="186"/>
      <c r="Q12" s="186"/>
      <c r="R12" s="71" t="s">
        <v>171</v>
      </c>
      <c r="S12" s="337" t="s">
        <v>167</v>
      </c>
      <c r="T12" s="71" t="s">
        <v>172</v>
      </c>
      <c r="U12" s="71" t="s">
        <v>173</v>
      </c>
      <c r="V12" s="71" t="s">
        <v>174</v>
      </c>
      <c r="W12" s="196" t="s">
        <v>277</v>
      </c>
      <c r="X12" s="71"/>
      <c r="Y12" s="71" t="s">
        <v>175</v>
      </c>
      <c r="Z12" s="71" t="s">
        <v>176</v>
      </c>
      <c r="AA12" s="71" t="s">
        <v>262</v>
      </c>
      <c r="AB12" s="71" t="s">
        <v>271</v>
      </c>
      <c r="AC12" s="336" t="s">
        <v>274</v>
      </c>
    </row>
    <row r="13" spans="1:29" s="7" customFormat="1" ht="21" customHeight="1">
      <c r="A13" s="335"/>
      <c r="B13" s="307" t="s">
        <v>177</v>
      </c>
      <c r="C13" s="71"/>
      <c r="D13" s="337" t="s">
        <v>178</v>
      </c>
      <c r="E13" s="337" t="s">
        <v>179</v>
      </c>
      <c r="F13" s="71" t="s">
        <v>180</v>
      </c>
      <c r="G13" s="71" t="s">
        <v>181</v>
      </c>
      <c r="H13" s="71" t="s">
        <v>182</v>
      </c>
      <c r="I13" s="71" t="s">
        <v>162</v>
      </c>
      <c r="J13" s="71" t="s">
        <v>494</v>
      </c>
      <c r="K13" s="204" t="s">
        <v>183</v>
      </c>
      <c r="L13" s="71"/>
      <c r="M13" s="336" t="s">
        <v>184</v>
      </c>
      <c r="N13" s="71" t="s">
        <v>2</v>
      </c>
      <c r="O13" s="71" t="s">
        <v>185</v>
      </c>
      <c r="P13" s="71"/>
      <c r="Q13" s="71"/>
      <c r="R13" s="71" t="s">
        <v>186</v>
      </c>
      <c r="S13" s="337" t="s">
        <v>181</v>
      </c>
      <c r="T13" s="71" t="s">
        <v>187</v>
      </c>
      <c r="U13" s="71" t="s">
        <v>188</v>
      </c>
      <c r="V13" s="71" t="s">
        <v>189</v>
      </c>
      <c r="W13" s="196" t="s">
        <v>278</v>
      </c>
      <c r="X13" s="71" t="s">
        <v>190</v>
      </c>
      <c r="Y13" s="71" t="s">
        <v>191</v>
      </c>
      <c r="Z13" s="71" t="s">
        <v>192</v>
      </c>
      <c r="AA13" s="71" t="s">
        <v>263</v>
      </c>
      <c r="AB13" s="71" t="s">
        <v>272</v>
      </c>
      <c r="AC13" s="336" t="s">
        <v>275</v>
      </c>
    </row>
    <row r="14" spans="1:29" s="7" customFormat="1" ht="21" customHeight="1">
      <c r="A14" s="53"/>
      <c r="B14" s="319" t="s">
        <v>193</v>
      </c>
      <c r="C14" s="58"/>
      <c r="D14" s="340" t="s">
        <v>194</v>
      </c>
      <c r="E14" s="340" t="s">
        <v>195</v>
      </c>
      <c r="F14" s="58" t="s">
        <v>196</v>
      </c>
      <c r="G14" s="58" t="s">
        <v>197</v>
      </c>
      <c r="H14" s="58" t="s">
        <v>198</v>
      </c>
      <c r="I14" s="58" t="s">
        <v>195</v>
      </c>
      <c r="J14" s="58"/>
      <c r="K14" s="58" t="s">
        <v>199</v>
      </c>
      <c r="L14" s="58"/>
      <c r="M14" s="339" t="s">
        <v>200</v>
      </c>
      <c r="N14" s="58" t="s">
        <v>201</v>
      </c>
      <c r="O14" s="58" t="s">
        <v>202</v>
      </c>
      <c r="P14" s="58" t="s">
        <v>203</v>
      </c>
      <c r="Q14" s="58" t="s">
        <v>858</v>
      </c>
      <c r="R14" s="58" t="s">
        <v>196</v>
      </c>
      <c r="S14" s="340" t="s">
        <v>197</v>
      </c>
      <c r="T14" s="58" t="s">
        <v>198</v>
      </c>
      <c r="U14" s="58" t="s">
        <v>204</v>
      </c>
      <c r="V14" s="58" t="s">
        <v>205</v>
      </c>
      <c r="W14" s="58" t="s">
        <v>279</v>
      </c>
      <c r="X14" s="58" t="s">
        <v>206</v>
      </c>
      <c r="Y14" s="58" t="s">
        <v>207</v>
      </c>
      <c r="Z14" s="58" t="s">
        <v>208</v>
      </c>
      <c r="AA14" s="58" t="s">
        <v>264</v>
      </c>
      <c r="AB14" s="58" t="s">
        <v>273</v>
      </c>
      <c r="AC14" s="339" t="s">
        <v>276</v>
      </c>
    </row>
    <row r="15" spans="1:29" s="8" customFormat="1" ht="21" customHeight="1">
      <c r="A15" s="15">
        <v>2019</v>
      </c>
      <c r="B15" s="1008">
        <v>7697</v>
      </c>
      <c r="C15" s="1008">
        <v>3856</v>
      </c>
      <c r="D15" s="153">
        <v>0</v>
      </c>
      <c r="E15" s="153">
        <v>854</v>
      </c>
      <c r="F15" s="154">
        <v>809</v>
      </c>
      <c r="G15" s="153">
        <v>0</v>
      </c>
      <c r="H15" s="153">
        <v>3</v>
      </c>
      <c r="I15" s="153">
        <v>70</v>
      </c>
      <c r="J15" s="153">
        <v>2120</v>
      </c>
      <c r="K15" s="153">
        <v>0</v>
      </c>
      <c r="L15" s="1009">
        <v>1811</v>
      </c>
      <c r="M15" s="154">
        <v>34</v>
      </c>
      <c r="N15" s="153">
        <v>615</v>
      </c>
      <c r="O15" s="153">
        <v>485</v>
      </c>
      <c r="P15" s="153">
        <v>47</v>
      </c>
      <c r="Q15" s="153">
        <v>0</v>
      </c>
      <c r="R15" s="153">
        <v>488</v>
      </c>
      <c r="S15" s="154">
        <v>0</v>
      </c>
      <c r="T15" s="73">
        <v>1</v>
      </c>
      <c r="U15" s="73">
        <v>141</v>
      </c>
      <c r="V15" s="73">
        <v>0</v>
      </c>
      <c r="W15" s="73">
        <v>2</v>
      </c>
      <c r="X15" s="73">
        <v>25</v>
      </c>
      <c r="Y15" s="73">
        <v>14</v>
      </c>
      <c r="Z15" s="73">
        <v>51</v>
      </c>
      <c r="AA15" s="73">
        <v>352</v>
      </c>
      <c r="AB15" s="73">
        <v>1546</v>
      </c>
      <c r="AC15" s="364">
        <v>40</v>
      </c>
    </row>
    <row r="16" spans="1:29" s="8" customFormat="1" ht="21" customHeight="1">
      <c r="A16" s="15">
        <v>2020</v>
      </c>
      <c r="B16" s="1010">
        <v>7776</v>
      </c>
      <c r="C16" s="1010">
        <v>3765</v>
      </c>
      <c r="D16" s="73">
        <v>0</v>
      </c>
      <c r="E16" s="73">
        <v>833</v>
      </c>
      <c r="F16" s="74">
        <v>830</v>
      </c>
      <c r="G16" s="73">
        <v>0</v>
      </c>
      <c r="H16" s="73">
        <v>2</v>
      </c>
      <c r="I16" s="73">
        <v>68</v>
      </c>
      <c r="J16" s="73">
        <v>2032</v>
      </c>
      <c r="K16" s="73">
        <v>0</v>
      </c>
      <c r="L16" s="1011">
        <v>1880</v>
      </c>
      <c r="M16" s="74">
        <v>32</v>
      </c>
      <c r="N16" s="73">
        <v>626</v>
      </c>
      <c r="O16" s="73">
        <v>512</v>
      </c>
      <c r="P16" s="73">
        <v>46</v>
      </c>
      <c r="Q16" s="73">
        <v>0</v>
      </c>
      <c r="R16" s="73">
        <v>524</v>
      </c>
      <c r="S16" s="74">
        <v>0</v>
      </c>
      <c r="T16" s="73">
        <v>1</v>
      </c>
      <c r="U16" s="73">
        <v>139</v>
      </c>
      <c r="V16" s="73">
        <v>0</v>
      </c>
      <c r="W16" s="73">
        <v>2</v>
      </c>
      <c r="X16" s="73">
        <v>24</v>
      </c>
      <c r="Y16" s="73">
        <v>15</v>
      </c>
      <c r="Z16" s="73">
        <v>53</v>
      </c>
      <c r="AA16" s="73">
        <v>353</v>
      </c>
      <c r="AB16" s="73">
        <v>1634</v>
      </c>
      <c r="AC16" s="364">
        <v>50</v>
      </c>
    </row>
    <row r="17" spans="1:32" s="8" customFormat="1" ht="21" customHeight="1">
      <c r="A17" s="15">
        <v>2021</v>
      </c>
      <c r="B17" s="1010">
        <v>7490</v>
      </c>
      <c r="C17" s="1010">
        <v>3499</v>
      </c>
      <c r="D17" s="73">
        <v>0</v>
      </c>
      <c r="E17" s="73">
        <v>785</v>
      </c>
      <c r="F17" s="73">
        <v>831</v>
      </c>
      <c r="G17" s="73">
        <v>0</v>
      </c>
      <c r="H17" s="73">
        <v>2</v>
      </c>
      <c r="I17" s="73">
        <v>64</v>
      </c>
      <c r="J17" s="73">
        <v>1817</v>
      </c>
      <c r="K17" s="73">
        <v>0</v>
      </c>
      <c r="L17" s="1011">
        <v>1922</v>
      </c>
      <c r="M17" s="73">
        <v>32</v>
      </c>
      <c r="N17" s="73">
        <v>618</v>
      </c>
      <c r="O17" s="73">
        <v>536</v>
      </c>
      <c r="P17" s="73">
        <v>43</v>
      </c>
      <c r="Q17" s="73">
        <v>0</v>
      </c>
      <c r="R17" s="73">
        <v>553</v>
      </c>
      <c r="S17" s="73">
        <v>0</v>
      </c>
      <c r="T17" s="73">
        <v>1</v>
      </c>
      <c r="U17" s="73">
        <v>139</v>
      </c>
      <c r="V17" s="73">
        <v>0</v>
      </c>
      <c r="W17" s="73">
        <v>2</v>
      </c>
      <c r="X17" s="73">
        <v>24</v>
      </c>
      <c r="Y17" s="73">
        <v>15</v>
      </c>
      <c r="Z17" s="73">
        <v>53</v>
      </c>
      <c r="AA17" s="73">
        <v>337</v>
      </c>
      <c r="AB17" s="73">
        <v>1587</v>
      </c>
      <c r="AC17" s="364">
        <v>51</v>
      </c>
    </row>
    <row r="18" spans="1:32" s="8" customFormat="1" ht="21" customHeight="1">
      <c r="A18" s="15">
        <v>2022</v>
      </c>
      <c r="B18" s="1010">
        <v>7729</v>
      </c>
      <c r="C18" s="1010">
        <v>3456</v>
      </c>
      <c r="D18" s="73">
        <v>0</v>
      </c>
      <c r="E18" s="73">
        <v>779</v>
      </c>
      <c r="F18" s="73">
        <v>872</v>
      </c>
      <c r="G18" s="73">
        <v>0</v>
      </c>
      <c r="H18" s="73">
        <v>2</v>
      </c>
      <c r="I18" s="73">
        <v>64</v>
      </c>
      <c r="J18" s="73">
        <v>1739</v>
      </c>
      <c r="K18" s="73">
        <v>0</v>
      </c>
      <c r="L18" s="1011">
        <v>1951</v>
      </c>
      <c r="M18" s="73">
        <v>36</v>
      </c>
      <c r="N18" s="73">
        <v>617</v>
      </c>
      <c r="O18" s="73">
        <v>524</v>
      </c>
      <c r="P18" s="73">
        <v>38</v>
      </c>
      <c r="Q18" s="73">
        <v>0</v>
      </c>
      <c r="R18" s="73">
        <v>624</v>
      </c>
      <c r="S18" s="73">
        <v>0</v>
      </c>
      <c r="T18" s="73">
        <v>2</v>
      </c>
      <c r="U18" s="73">
        <v>110</v>
      </c>
      <c r="V18" s="73">
        <v>0</v>
      </c>
      <c r="W18" s="73">
        <v>2</v>
      </c>
      <c r="X18" s="73">
        <v>24</v>
      </c>
      <c r="Y18" s="73">
        <v>15</v>
      </c>
      <c r="Z18" s="73">
        <v>53</v>
      </c>
      <c r="AA18" s="73">
        <v>344</v>
      </c>
      <c r="AB18" s="73">
        <v>1824</v>
      </c>
      <c r="AC18" s="364">
        <v>60</v>
      </c>
    </row>
    <row r="19" spans="1:32" s="8" customFormat="1" ht="21" customHeight="1">
      <c r="A19" s="15">
        <v>2023</v>
      </c>
      <c r="B19" s="1010">
        <v>7863</v>
      </c>
      <c r="C19" s="1010">
        <v>3186</v>
      </c>
      <c r="D19" s="1072">
        <v>0</v>
      </c>
      <c r="E19" s="1072">
        <v>762</v>
      </c>
      <c r="F19" s="1073">
        <v>877</v>
      </c>
      <c r="G19" s="1072">
        <v>0</v>
      </c>
      <c r="H19" s="1072">
        <v>2</v>
      </c>
      <c r="I19" s="1072">
        <v>59</v>
      </c>
      <c r="J19" s="1072">
        <v>1486</v>
      </c>
      <c r="K19" s="1072">
        <v>0</v>
      </c>
      <c r="L19" s="1011">
        <v>2103</v>
      </c>
      <c r="M19" s="1072">
        <v>36</v>
      </c>
      <c r="N19" s="1072">
        <v>609</v>
      </c>
      <c r="O19" s="1072">
        <v>596</v>
      </c>
      <c r="P19" s="1072">
        <v>30</v>
      </c>
      <c r="Q19" s="1072">
        <v>0</v>
      </c>
      <c r="R19" s="1072">
        <v>688</v>
      </c>
      <c r="S19" s="1072">
        <v>0</v>
      </c>
      <c r="T19" s="1072">
        <v>2</v>
      </c>
      <c r="U19" s="1072">
        <v>142</v>
      </c>
      <c r="V19" s="1072">
        <v>0</v>
      </c>
      <c r="W19" s="1072">
        <v>1</v>
      </c>
      <c r="X19" s="1072">
        <v>25</v>
      </c>
      <c r="Y19" s="1072">
        <v>14</v>
      </c>
      <c r="Z19" s="1072">
        <v>52</v>
      </c>
      <c r="AA19" s="1072">
        <v>340</v>
      </c>
      <c r="AB19" s="1072">
        <v>2078</v>
      </c>
      <c r="AC19" s="1074">
        <v>64</v>
      </c>
    </row>
    <row r="20" spans="1:32" s="13" customFormat="1" ht="21" customHeight="1" thickBot="1">
      <c r="A20" s="365">
        <v>2024</v>
      </c>
      <c r="B20" s="1012">
        <f>SUM(C20,L20,W20:AC20)</f>
        <v>7986</v>
      </c>
      <c r="C20" s="1012">
        <f>SUM(D20:K20)</f>
        <v>3179</v>
      </c>
      <c r="D20" s="1013">
        <v>0</v>
      </c>
      <c r="E20" s="1013">
        <v>762</v>
      </c>
      <c r="F20" s="1014">
        <v>873</v>
      </c>
      <c r="G20" s="1013">
        <v>0</v>
      </c>
      <c r="H20" s="1013">
        <v>2</v>
      </c>
      <c r="I20" s="1013">
        <v>59</v>
      </c>
      <c r="J20" s="1013">
        <v>1483</v>
      </c>
      <c r="K20" s="1013">
        <v>0</v>
      </c>
      <c r="L20" s="1015">
        <f>SUM(M20:V20)</f>
        <v>2233</v>
      </c>
      <c r="M20" s="1013">
        <v>36</v>
      </c>
      <c r="N20" s="1013">
        <v>620</v>
      </c>
      <c r="O20" s="1013">
        <v>710</v>
      </c>
      <c r="P20" s="1013">
        <v>30</v>
      </c>
      <c r="Q20" s="1013">
        <v>0</v>
      </c>
      <c r="R20" s="1013">
        <v>692</v>
      </c>
      <c r="S20" s="1013">
        <v>0</v>
      </c>
      <c r="T20" s="1013">
        <v>2</v>
      </c>
      <c r="U20" s="1013">
        <v>143</v>
      </c>
      <c r="V20" s="1013">
        <v>0</v>
      </c>
      <c r="W20" s="1013">
        <v>1</v>
      </c>
      <c r="X20" s="1013">
        <v>25</v>
      </c>
      <c r="Y20" s="1013">
        <v>13</v>
      </c>
      <c r="Z20" s="1013">
        <v>52</v>
      </c>
      <c r="AA20" s="1013">
        <v>341</v>
      </c>
      <c r="AB20" s="1013">
        <v>2078</v>
      </c>
      <c r="AC20" s="1016">
        <v>64</v>
      </c>
    </row>
    <row r="21" spans="1:32" s="1" customFormat="1" ht="13.5" customHeight="1">
      <c r="A21" s="1562" t="s">
        <v>1719</v>
      </c>
      <c r="B21" s="1563"/>
      <c r="C21" s="1563"/>
      <c r="D21" s="1563"/>
      <c r="E21" s="1563"/>
      <c r="F21" s="1563"/>
      <c r="G21" s="1563"/>
      <c r="H21" s="1563"/>
      <c r="I21" s="1563"/>
      <c r="J21" s="1563"/>
      <c r="K21" s="1563"/>
      <c r="L21" s="1563"/>
      <c r="M21" s="1563"/>
      <c r="N21" s="1563"/>
      <c r="O21" s="1563"/>
      <c r="P21" s="1563"/>
      <c r="Q21" s="1563"/>
      <c r="R21" s="1563"/>
      <c r="S21" s="1563"/>
      <c r="T21" s="1563"/>
      <c r="U21" s="1563"/>
      <c r="V21" s="1563"/>
      <c r="W21" s="1563"/>
      <c r="X21" s="1563"/>
      <c r="Y21" s="1563"/>
      <c r="Z21" s="1563"/>
      <c r="AA21" s="1563"/>
      <c r="AB21" s="1563"/>
      <c r="AC21" s="1563"/>
      <c r="AD21" s="1563"/>
      <c r="AE21" s="1563"/>
      <c r="AF21" s="1563"/>
    </row>
    <row r="22" spans="1:32" s="3" customFormat="1" ht="13.5" customHeight="1">
      <c r="U22" s="1553"/>
      <c r="V22" s="1553"/>
      <c r="W22" s="1553"/>
      <c r="X22" s="1553"/>
      <c r="Y22" s="1553"/>
      <c r="Z22" s="1553"/>
      <c r="AA22" s="1553"/>
      <c r="AB22" s="1553"/>
      <c r="AC22" s="1553"/>
    </row>
    <row r="23" spans="1:32" s="3" customFormat="1" ht="12" customHeight="1">
      <c r="L23" s="45"/>
    </row>
    <row r="24" spans="1:32" s="10" customFormat="1" ht="12" customHeight="1">
      <c r="U24" s="12"/>
      <c r="V24" s="12"/>
      <c r="W24" s="12"/>
      <c r="X24" s="12"/>
      <c r="Y24" s="12"/>
      <c r="Z24" s="12"/>
      <c r="AA24" s="12"/>
      <c r="AB24" s="12"/>
      <c r="AC24" s="12"/>
    </row>
  </sheetData>
  <sheetProtection selectLockedCells="1"/>
  <mergeCells count="9">
    <mergeCell ref="U22:AC22"/>
    <mergeCell ref="A1:M1"/>
    <mergeCell ref="C5:K5"/>
    <mergeCell ref="L5:V5"/>
    <mergeCell ref="W5:AC5"/>
    <mergeCell ref="A9:A10"/>
    <mergeCell ref="N9:Q9"/>
    <mergeCell ref="A21:AF21"/>
    <mergeCell ref="A2:AC2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45" pageOrder="overThenDown" orientation="portrait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/>
  </sheetPr>
  <dimension ref="A1:L32"/>
  <sheetViews>
    <sheetView view="pageBreakPreview" zoomScaleNormal="100" zoomScaleSheetLayoutView="100" workbookViewId="0">
      <selection activeCell="N13" sqref="N13"/>
    </sheetView>
  </sheetViews>
  <sheetFormatPr defaultRowHeight="16.5"/>
  <cols>
    <col min="1" max="1" width="9" style="50"/>
    <col min="2" max="2" width="14.25" style="50" customWidth="1"/>
    <col min="3" max="3" width="14.375" style="50" customWidth="1"/>
    <col min="4" max="4" width="15.125" style="50" customWidth="1"/>
    <col min="5" max="16384" width="9" style="50"/>
  </cols>
  <sheetData>
    <row r="1" spans="1:12">
      <c r="A1" s="1337" t="s">
        <v>1335</v>
      </c>
      <c r="B1" s="1337"/>
      <c r="C1" s="1337"/>
      <c r="E1" s="803" t="s">
        <v>855</v>
      </c>
    </row>
    <row r="2" spans="1:12">
      <c r="A2" s="781"/>
      <c r="B2" s="781"/>
      <c r="C2" s="781"/>
      <c r="E2" s="803"/>
    </row>
    <row r="3" spans="1:12" ht="24.95" customHeight="1">
      <c r="A3" s="1338" t="s">
        <v>833</v>
      </c>
      <c r="B3" s="1338"/>
      <c r="C3" s="1338"/>
      <c r="D3" s="1338"/>
      <c r="E3" s="1338"/>
      <c r="F3" s="1338"/>
      <c r="G3" s="1338"/>
      <c r="H3" s="227"/>
      <c r="I3" s="227"/>
    </row>
    <row r="4" spans="1:12" ht="24.95" customHeight="1">
      <c r="A4" s="1339" t="s">
        <v>880</v>
      </c>
      <c r="B4" s="1339"/>
      <c r="C4" s="1339"/>
      <c r="D4" s="1339"/>
      <c r="E4" s="1339"/>
      <c r="F4" s="1339"/>
      <c r="G4" s="1339"/>
      <c r="H4" s="232"/>
      <c r="I4" s="232"/>
    </row>
    <row r="5" spans="1:12" ht="9.9499999999999993" customHeight="1">
      <c r="A5" s="798"/>
      <c r="B5" s="798"/>
      <c r="C5" s="798"/>
      <c r="D5" s="798"/>
      <c r="E5" s="798"/>
      <c r="F5" s="798"/>
      <c r="G5" s="798"/>
      <c r="H5" s="232"/>
      <c r="I5" s="232"/>
    </row>
    <row r="6" spans="1:12" s="78" customFormat="1" ht="15" customHeight="1" thickBot="1">
      <c r="A6" s="77" t="s">
        <v>0</v>
      </c>
      <c r="B6" s="28"/>
      <c r="C6" s="28"/>
      <c r="G6" s="79" t="s">
        <v>1109</v>
      </c>
    </row>
    <row r="7" spans="1:12" s="84" customFormat="1" ht="18" customHeight="1">
      <c r="A7" s="805" t="s">
        <v>3</v>
      </c>
      <c r="B7" s="806" t="s">
        <v>1582</v>
      </c>
      <c r="C7" s="807" t="s">
        <v>1580</v>
      </c>
      <c r="D7" s="807" t="s">
        <v>1583</v>
      </c>
      <c r="E7" s="807" t="s">
        <v>1581</v>
      </c>
      <c r="F7" s="808"/>
      <c r="G7" s="809"/>
      <c r="H7" s="146"/>
      <c r="I7" s="146"/>
      <c r="J7" s="146"/>
      <c r="K7" s="146"/>
      <c r="L7" s="146"/>
    </row>
    <row r="8" spans="1:12" s="84" customFormat="1" ht="18" customHeight="1">
      <c r="A8" s="810"/>
      <c r="B8" s="811"/>
      <c r="C8" s="811"/>
      <c r="D8" s="811"/>
      <c r="E8" s="811"/>
      <c r="F8" s="812" t="s">
        <v>55</v>
      </c>
      <c r="G8" s="813" t="s">
        <v>56</v>
      </c>
      <c r="H8" s="146"/>
      <c r="I8" s="146"/>
      <c r="J8" s="146"/>
      <c r="K8" s="146"/>
      <c r="L8" s="146"/>
    </row>
    <row r="9" spans="1:12" s="84" customFormat="1" ht="18" customHeight="1">
      <c r="A9" s="814"/>
      <c r="B9" s="815" t="s">
        <v>877</v>
      </c>
      <c r="C9" s="815" t="s">
        <v>878</v>
      </c>
      <c r="D9" s="815" t="s">
        <v>879</v>
      </c>
      <c r="E9" s="815"/>
      <c r="F9" s="816" t="s">
        <v>57</v>
      </c>
      <c r="G9" s="817" t="s">
        <v>416</v>
      </c>
      <c r="H9" s="146"/>
      <c r="I9" s="146"/>
      <c r="J9" s="146"/>
      <c r="K9" s="146"/>
      <c r="L9" s="146"/>
    </row>
    <row r="10" spans="1:12" s="21" customFormat="1" ht="30" customHeight="1">
      <c r="A10" s="29">
        <v>2019</v>
      </c>
      <c r="B10" s="998">
        <v>911</v>
      </c>
      <c r="C10" s="998">
        <v>122</v>
      </c>
      <c r="D10" s="998">
        <v>789</v>
      </c>
      <c r="E10" s="998">
        <v>0</v>
      </c>
      <c r="F10" s="998">
        <v>0</v>
      </c>
      <c r="G10" s="998">
        <v>0</v>
      </c>
      <c r="H10" s="146"/>
      <c r="I10" s="146"/>
      <c r="J10" s="146"/>
      <c r="K10" s="146"/>
      <c r="L10" s="146"/>
    </row>
    <row r="11" spans="1:12" s="21" customFormat="1" ht="30" customHeight="1">
      <c r="A11" s="29">
        <v>2020</v>
      </c>
      <c r="B11" s="998">
        <v>960</v>
      </c>
      <c r="C11" s="998">
        <v>143</v>
      </c>
      <c r="D11" s="998">
        <v>815</v>
      </c>
      <c r="E11" s="998">
        <v>2</v>
      </c>
      <c r="F11" s="998">
        <v>2</v>
      </c>
      <c r="G11" s="998">
        <v>0</v>
      </c>
      <c r="H11" s="146"/>
      <c r="I11" s="146"/>
      <c r="J11" s="146"/>
      <c r="K11" s="146"/>
      <c r="L11" s="146"/>
    </row>
    <row r="12" spans="1:12" s="21" customFormat="1" ht="30" customHeight="1">
      <c r="A12" s="29">
        <v>2021</v>
      </c>
      <c r="B12" s="998">
        <v>966</v>
      </c>
      <c r="C12" s="998">
        <v>158</v>
      </c>
      <c r="D12" s="998">
        <v>806</v>
      </c>
      <c r="E12" s="998">
        <v>2</v>
      </c>
      <c r="F12" s="998">
        <v>2</v>
      </c>
      <c r="G12" s="998">
        <v>0</v>
      </c>
      <c r="H12" s="146"/>
      <c r="I12" s="146"/>
      <c r="J12" s="146"/>
      <c r="K12" s="146"/>
      <c r="L12" s="146"/>
    </row>
    <row r="13" spans="1:12" s="21" customFormat="1" ht="30" customHeight="1">
      <c r="A13" s="29">
        <v>2022</v>
      </c>
      <c r="B13" s="998">
        <v>950</v>
      </c>
      <c r="C13" s="998">
        <v>118</v>
      </c>
      <c r="D13" s="998">
        <v>741</v>
      </c>
      <c r="E13" s="998">
        <v>91</v>
      </c>
      <c r="F13" s="998">
        <v>60</v>
      </c>
      <c r="G13" s="998">
        <v>31</v>
      </c>
      <c r="H13" s="146"/>
      <c r="I13" s="146"/>
      <c r="J13" s="146"/>
      <c r="K13" s="146"/>
      <c r="L13" s="146"/>
    </row>
    <row r="14" spans="1:12" s="21" customFormat="1" ht="30" customHeight="1">
      <c r="A14" s="29">
        <v>2023</v>
      </c>
      <c r="B14" s="1076">
        <v>933</v>
      </c>
      <c r="C14" s="1075">
        <v>145</v>
      </c>
      <c r="D14" s="1075">
        <v>706</v>
      </c>
      <c r="E14" s="1075">
        <v>82</v>
      </c>
      <c r="F14" s="1075">
        <v>56</v>
      </c>
      <c r="G14" s="998">
        <v>26</v>
      </c>
      <c r="H14" s="146"/>
      <c r="I14" s="146"/>
      <c r="J14" s="146"/>
      <c r="K14" s="146"/>
      <c r="L14" s="146"/>
    </row>
    <row r="15" spans="1:12" s="21" customFormat="1" ht="30" customHeight="1" thickBot="1">
      <c r="A15" s="363">
        <v>2024</v>
      </c>
      <c r="B15" s="1140">
        <f>SUM(C15:E15)</f>
        <v>1121</v>
      </c>
      <c r="C15" s="1141">
        <v>234</v>
      </c>
      <c r="D15" s="1141">
        <v>846</v>
      </c>
      <c r="E15" s="1140">
        <f>F15+G15</f>
        <v>41</v>
      </c>
      <c r="F15" s="1141">
        <v>32</v>
      </c>
      <c r="G15" s="1142">
        <v>9</v>
      </c>
      <c r="H15" s="146"/>
      <c r="I15" s="146"/>
      <c r="J15" s="146"/>
      <c r="K15" s="146"/>
      <c r="L15" s="146"/>
    </row>
    <row r="16" spans="1:12">
      <c r="A16" s="31" t="s">
        <v>1748</v>
      </c>
    </row>
    <row r="17" spans="1:1">
      <c r="A17" s="31" t="s">
        <v>1749</v>
      </c>
    </row>
    <row r="18" spans="1:1">
      <c r="A18" s="31" t="s">
        <v>1719</v>
      </c>
    </row>
    <row r="32" spans="1:1">
      <c r="A32" s="31"/>
    </row>
  </sheetData>
  <mergeCells count="3">
    <mergeCell ref="A1:C1"/>
    <mergeCell ref="A3:G3"/>
    <mergeCell ref="A4:G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/>
  </sheetPr>
  <dimension ref="A1:Q17"/>
  <sheetViews>
    <sheetView view="pageBreakPreview" zoomScaleNormal="100" zoomScaleSheetLayoutView="100" workbookViewId="0">
      <selection activeCell="W28" sqref="W28"/>
    </sheetView>
  </sheetViews>
  <sheetFormatPr defaultRowHeight="16.5"/>
  <cols>
    <col min="1" max="1" width="9.375" style="50" bestFit="1" customWidth="1"/>
    <col min="2" max="13" width="6.875" style="50" customWidth="1"/>
    <col min="14" max="17" width="6" style="50" customWidth="1"/>
    <col min="18" max="16384" width="9" style="50"/>
  </cols>
  <sheetData>
    <row r="1" spans="1:17">
      <c r="A1" s="1337" t="s">
        <v>1335</v>
      </c>
      <c r="B1" s="1337"/>
      <c r="C1" s="1337"/>
      <c r="D1" s="1337"/>
      <c r="E1" s="1337"/>
      <c r="F1" s="1337"/>
      <c r="G1" s="1337"/>
      <c r="H1" s="1337"/>
      <c r="I1" s="1337"/>
      <c r="N1" s="803" t="s">
        <v>855</v>
      </c>
    </row>
    <row r="2" spans="1:17">
      <c r="A2" s="781"/>
      <c r="B2" s="781"/>
      <c r="C2" s="781"/>
      <c r="D2" s="781"/>
      <c r="E2" s="781"/>
      <c r="F2" s="781"/>
      <c r="G2" s="781"/>
      <c r="H2" s="781"/>
      <c r="I2" s="781"/>
      <c r="N2" s="803"/>
    </row>
    <row r="3" spans="1:17" ht="58.5" customHeight="1">
      <c r="A3" s="1378" t="s">
        <v>1336</v>
      </c>
      <c r="B3" s="1378"/>
      <c r="C3" s="1378"/>
      <c r="D3" s="1378"/>
      <c r="E3" s="1378"/>
      <c r="F3" s="1378"/>
      <c r="G3" s="1378"/>
      <c r="H3" s="1378"/>
      <c r="I3" s="1378"/>
      <c r="J3" s="1378"/>
      <c r="K3" s="1378"/>
      <c r="L3" s="1378"/>
      <c r="M3" s="1378"/>
      <c r="N3" s="1378"/>
      <c r="O3" s="1378"/>
      <c r="P3" s="1378"/>
      <c r="Q3" s="1378"/>
    </row>
    <row r="4" spans="1:17" ht="9.9499999999999993" customHeight="1">
      <c r="A4" s="794"/>
      <c r="B4" s="794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  <c r="P4" s="794"/>
      <c r="Q4" s="794"/>
    </row>
    <row r="5" spans="1:17" s="95" customFormat="1" ht="15" customHeight="1" thickBot="1">
      <c r="A5" s="77" t="s">
        <v>0</v>
      </c>
      <c r="B5" s="139"/>
      <c r="C5" s="139"/>
      <c r="D5" s="139"/>
      <c r="E5" s="139"/>
      <c r="F5" s="139"/>
      <c r="G5" s="139"/>
      <c r="I5" s="266" t="s">
        <v>2</v>
      </c>
      <c r="Q5" s="79" t="s">
        <v>1111</v>
      </c>
    </row>
    <row r="6" spans="1:17" s="84" customFormat="1" ht="16.5" customHeight="1">
      <c r="A6" s="312" t="s">
        <v>770</v>
      </c>
      <c r="B6" s="82" t="s">
        <v>771</v>
      </c>
      <c r="C6" s="82"/>
      <c r="D6" s="82"/>
      <c r="E6" s="82"/>
      <c r="F6" s="80" t="s">
        <v>772</v>
      </c>
      <c r="G6" s="82"/>
      <c r="H6" s="82"/>
      <c r="I6" s="82"/>
      <c r="J6" s="1564" t="s">
        <v>773</v>
      </c>
      <c r="K6" s="1565"/>
      <c r="L6" s="1565"/>
      <c r="M6" s="1566"/>
      <c r="N6" s="80" t="s">
        <v>774</v>
      </c>
      <c r="O6" s="82"/>
      <c r="P6" s="82"/>
      <c r="Q6" s="164"/>
    </row>
    <row r="7" spans="1:17" s="84" customFormat="1" ht="16.5" customHeight="1">
      <c r="A7" s="338"/>
      <c r="B7" s="85" t="s">
        <v>775</v>
      </c>
      <c r="C7" s="85"/>
      <c r="D7" s="85"/>
      <c r="E7" s="85"/>
      <c r="F7" s="87" t="s">
        <v>776</v>
      </c>
      <c r="G7" s="85"/>
      <c r="H7" s="85"/>
      <c r="I7" s="129"/>
      <c r="J7" s="205" t="s">
        <v>777</v>
      </c>
      <c r="K7" s="85"/>
      <c r="L7" s="85"/>
      <c r="M7" s="86"/>
      <c r="N7" s="87" t="s">
        <v>778</v>
      </c>
      <c r="O7" s="85"/>
      <c r="P7" s="85"/>
      <c r="Q7" s="129"/>
    </row>
    <row r="8" spans="1:17" s="84" customFormat="1" ht="16.5" customHeight="1">
      <c r="A8" s="338"/>
      <c r="B8" s="91"/>
      <c r="C8" s="315" t="s">
        <v>834</v>
      </c>
      <c r="D8" s="315" t="s">
        <v>835</v>
      </c>
      <c r="E8" s="315" t="s">
        <v>836</v>
      </c>
      <c r="F8" s="91"/>
      <c r="G8" s="315" t="s">
        <v>834</v>
      </c>
      <c r="H8" s="315" t="s">
        <v>835</v>
      </c>
      <c r="I8" s="315" t="s">
        <v>836</v>
      </c>
      <c r="J8" s="91"/>
      <c r="K8" s="315" t="s">
        <v>834</v>
      </c>
      <c r="L8" s="315" t="s">
        <v>835</v>
      </c>
      <c r="M8" s="315" t="s">
        <v>836</v>
      </c>
      <c r="N8" s="91"/>
      <c r="O8" s="315" t="s">
        <v>834</v>
      </c>
      <c r="P8" s="315" t="s">
        <v>835</v>
      </c>
      <c r="Q8" s="320" t="s">
        <v>836</v>
      </c>
    </row>
    <row r="9" spans="1:17" s="84" customFormat="1" ht="16.5" customHeight="1">
      <c r="A9" s="338"/>
      <c r="B9" s="91"/>
      <c r="C9" s="308" t="s">
        <v>779</v>
      </c>
      <c r="D9" s="308" t="s">
        <v>780</v>
      </c>
      <c r="E9" s="308" t="s">
        <v>781</v>
      </c>
      <c r="F9" s="91"/>
      <c r="G9" s="308" t="s">
        <v>779</v>
      </c>
      <c r="H9" s="308" t="s">
        <v>780</v>
      </c>
      <c r="I9" s="308" t="s">
        <v>781</v>
      </c>
      <c r="J9" s="91"/>
      <c r="K9" s="308" t="s">
        <v>779</v>
      </c>
      <c r="L9" s="308" t="s">
        <v>780</v>
      </c>
      <c r="M9" s="308" t="s">
        <v>781</v>
      </c>
      <c r="N9" s="91"/>
      <c r="O9" s="308" t="s">
        <v>779</v>
      </c>
      <c r="P9" s="308" t="s">
        <v>780</v>
      </c>
      <c r="Q9" s="307" t="s">
        <v>781</v>
      </c>
    </row>
    <row r="10" spans="1:17" s="84" customFormat="1" ht="16.5" customHeight="1">
      <c r="A10" s="57"/>
      <c r="B10" s="341"/>
      <c r="C10" s="310" t="s">
        <v>782</v>
      </c>
      <c r="D10" s="310" t="s">
        <v>782</v>
      </c>
      <c r="E10" s="310" t="s">
        <v>783</v>
      </c>
      <c r="F10" s="341"/>
      <c r="G10" s="310" t="s">
        <v>782</v>
      </c>
      <c r="H10" s="310" t="s">
        <v>782</v>
      </c>
      <c r="I10" s="310" t="s">
        <v>784</v>
      </c>
      <c r="J10" s="341"/>
      <c r="K10" s="310" t="s">
        <v>782</v>
      </c>
      <c r="L10" s="310" t="s">
        <v>782</v>
      </c>
      <c r="M10" s="310" t="s">
        <v>785</v>
      </c>
      <c r="N10" s="341"/>
      <c r="O10" s="310" t="s">
        <v>782</v>
      </c>
      <c r="P10" s="310" t="s">
        <v>782</v>
      </c>
      <c r="Q10" s="319" t="s">
        <v>785</v>
      </c>
    </row>
    <row r="11" spans="1:17" s="21" customFormat="1" ht="30" customHeight="1">
      <c r="A11" s="29" t="s">
        <v>1751</v>
      </c>
      <c r="B11" s="51">
        <v>165</v>
      </c>
      <c r="C11" s="39">
        <v>29</v>
      </c>
      <c r="D11" s="39">
        <v>29</v>
      </c>
      <c r="E11" s="39">
        <v>107</v>
      </c>
      <c r="F11" s="72">
        <v>8</v>
      </c>
      <c r="G11" s="72" t="s">
        <v>891</v>
      </c>
      <c r="H11" s="72" t="s">
        <v>891</v>
      </c>
      <c r="I11" s="72">
        <v>8</v>
      </c>
      <c r="J11" s="72">
        <v>2</v>
      </c>
      <c r="K11" s="72" t="s">
        <v>891</v>
      </c>
      <c r="L11" s="72" t="s">
        <v>891</v>
      </c>
      <c r="M11" s="72">
        <v>2</v>
      </c>
      <c r="N11" s="72">
        <v>155</v>
      </c>
      <c r="O11" s="72">
        <v>29</v>
      </c>
      <c r="P11" s="72">
        <v>29</v>
      </c>
      <c r="Q11" s="72">
        <v>97</v>
      </c>
    </row>
    <row r="12" spans="1:17" s="21" customFormat="1" ht="30" customHeight="1">
      <c r="A12" s="29" t="s">
        <v>1752</v>
      </c>
      <c r="B12" s="51">
        <v>151</v>
      </c>
      <c r="C12" s="39">
        <v>30</v>
      </c>
      <c r="D12" s="39">
        <v>33</v>
      </c>
      <c r="E12" s="39">
        <v>88</v>
      </c>
      <c r="F12" s="72">
        <v>1</v>
      </c>
      <c r="G12" s="72">
        <v>0</v>
      </c>
      <c r="H12" s="72">
        <v>0</v>
      </c>
      <c r="I12" s="72">
        <v>1</v>
      </c>
      <c r="J12" s="72">
        <v>1</v>
      </c>
      <c r="K12" s="72">
        <v>0</v>
      </c>
      <c r="L12" s="72">
        <v>0</v>
      </c>
      <c r="M12" s="72">
        <v>1</v>
      </c>
      <c r="N12" s="72">
        <v>149</v>
      </c>
      <c r="O12" s="72">
        <v>30</v>
      </c>
      <c r="P12" s="72">
        <v>33</v>
      </c>
      <c r="Q12" s="72">
        <v>86</v>
      </c>
    </row>
    <row r="13" spans="1:17" s="21" customFormat="1" ht="30" customHeight="1">
      <c r="A13" s="29" t="s">
        <v>1753</v>
      </c>
      <c r="B13" s="51">
        <v>148</v>
      </c>
      <c r="C13" s="39">
        <v>24</v>
      </c>
      <c r="D13" s="39">
        <v>29</v>
      </c>
      <c r="E13" s="39">
        <v>95</v>
      </c>
      <c r="F13" s="72">
        <v>0</v>
      </c>
      <c r="G13" s="72">
        <v>0</v>
      </c>
      <c r="H13" s="72">
        <v>0</v>
      </c>
      <c r="I13" s="72">
        <v>0</v>
      </c>
      <c r="J13" s="72">
        <v>1</v>
      </c>
      <c r="K13" s="72">
        <v>0</v>
      </c>
      <c r="L13" s="72">
        <v>0</v>
      </c>
      <c r="M13" s="72">
        <v>1</v>
      </c>
      <c r="N13" s="72">
        <v>147</v>
      </c>
      <c r="O13" s="72">
        <v>24</v>
      </c>
      <c r="P13" s="72">
        <v>29</v>
      </c>
      <c r="Q13" s="72">
        <v>94</v>
      </c>
    </row>
    <row r="14" spans="1:17" s="21" customFormat="1" ht="30" customHeight="1">
      <c r="A14" s="29" t="s">
        <v>1754</v>
      </c>
      <c r="B14" s="51">
        <v>138</v>
      </c>
      <c r="C14" s="39">
        <v>22</v>
      </c>
      <c r="D14" s="39">
        <v>28</v>
      </c>
      <c r="E14" s="39">
        <v>88</v>
      </c>
      <c r="F14" s="72">
        <v>9</v>
      </c>
      <c r="G14" s="72" t="s">
        <v>891</v>
      </c>
      <c r="H14" s="72">
        <v>1</v>
      </c>
      <c r="I14" s="72">
        <v>8</v>
      </c>
      <c r="J14" s="72">
        <v>2</v>
      </c>
      <c r="K14" s="72" t="s">
        <v>891</v>
      </c>
      <c r="L14" s="72" t="s">
        <v>891</v>
      </c>
      <c r="M14" s="72">
        <v>2</v>
      </c>
      <c r="N14" s="72">
        <v>127</v>
      </c>
      <c r="O14" s="72">
        <v>22</v>
      </c>
      <c r="P14" s="72">
        <v>27</v>
      </c>
      <c r="Q14" s="72">
        <v>78</v>
      </c>
    </row>
    <row r="15" spans="1:17" s="21" customFormat="1" ht="30" customHeight="1">
      <c r="A15" s="29" t="s">
        <v>1750</v>
      </c>
      <c r="B15" s="1079">
        <f>SUM(C15:E15)</f>
        <v>94</v>
      </c>
      <c r="C15" s="1077">
        <v>25</v>
      </c>
      <c r="D15" s="1077">
        <v>18</v>
      </c>
      <c r="E15" s="1077">
        <v>51</v>
      </c>
      <c r="F15" s="1078">
        <f>SUM(G15:I15)</f>
        <v>6</v>
      </c>
      <c r="G15" s="1078">
        <v>0</v>
      </c>
      <c r="H15" s="1078">
        <v>1</v>
      </c>
      <c r="I15" s="1078">
        <v>5</v>
      </c>
      <c r="J15" s="1078">
        <f>SUM(K15:M15)</f>
        <v>0</v>
      </c>
      <c r="K15" s="1078">
        <v>0</v>
      </c>
      <c r="L15" s="1078">
        <v>0</v>
      </c>
      <c r="M15" s="1078">
        <v>0</v>
      </c>
      <c r="N15" s="1078">
        <f>SUM(O15:Q15)</f>
        <v>88</v>
      </c>
      <c r="O15" s="1078">
        <v>25</v>
      </c>
      <c r="P15" s="1078">
        <v>17</v>
      </c>
      <c r="Q15" s="1078">
        <v>46</v>
      </c>
    </row>
    <row r="16" spans="1:17" s="21" customFormat="1" ht="30" customHeight="1" thickBot="1">
      <c r="A16" s="363" t="s">
        <v>1755</v>
      </c>
      <c r="B16" s="1143">
        <f>C16+D16+E16</f>
        <v>78</v>
      </c>
      <c r="C16" s="1144">
        <f>G16+K16+O16</f>
        <v>26</v>
      </c>
      <c r="D16" s="1144">
        <f>H16+L16+P16</f>
        <v>17</v>
      </c>
      <c r="E16" s="1144">
        <f>I16+M16+Q16</f>
        <v>35</v>
      </c>
      <c r="F16" s="1145">
        <f>G16+H16+I16</f>
        <v>4</v>
      </c>
      <c r="G16" s="1146">
        <v>0</v>
      </c>
      <c r="H16" s="1146">
        <v>1</v>
      </c>
      <c r="I16" s="1146">
        <v>3</v>
      </c>
      <c r="J16" s="1145">
        <f>SUM(K16:M16)</f>
        <v>0</v>
      </c>
      <c r="K16" s="1146">
        <v>0</v>
      </c>
      <c r="L16" s="1146">
        <v>0</v>
      </c>
      <c r="M16" s="1146">
        <v>0</v>
      </c>
      <c r="N16" s="1145">
        <f>O16+P16+Q16</f>
        <v>74</v>
      </c>
      <c r="O16" s="1146">
        <v>26</v>
      </c>
      <c r="P16" s="1146">
        <v>16</v>
      </c>
      <c r="Q16" s="1146">
        <v>32</v>
      </c>
    </row>
    <row r="17" spans="1:1">
      <c r="A17" s="31" t="s">
        <v>1719</v>
      </c>
    </row>
  </sheetData>
  <mergeCells count="3">
    <mergeCell ref="A1:I1"/>
    <mergeCell ref="A3:Q3"/>
    <mergeCell ref="J6:M6"/>
  </mergeCells>
  <phoneticPr fontId="3" type="noConversion"/>
  <pageMargins left="0.7" right="0.7" top="0.75" bottom="0.75" header="0.3" footer="0.3"/>
  <pageSetup paperSize="9" scale="6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/>
  </sheetPr>
  <dimension ref="A1:F14"/>
  <sheetViews>
    <sheetView view="pageBreakPreview" zoomScaleNormal="100" zoomScaleSheetLayoutView="100" workbookViewId="0">
      <selection activeCell="E21" sqref="E21"/>
    </sheetView>
  </sheetViews>
  <sheetFormatPr defaultRowHeight="16.5"/>
  <cols>
    <col min="1" max="5" width="18.875" style="50" customWidth="1"/>
    <col min="6" max="16384" width="9" style="50"/>
  </cols>
  <sheetData>
    <row r="1" spans="1:6" ht="24" customHeight="1">
      <c r="A1" s="230" t="s">
        <v>1337</v>
      </c>
      <c r="B1" s="230"/>
      <c r="C1" s="230"/>
      <c r="D1" s="1379" t="s">
        <v>837</v>
      </c>
      <c r="E1" s="1567"/>
    </row>
    <row r="2" spans="1:6" ht="50.1" customHeight="1">
      <c r="A2" s="1378" t="s">
        <v>1338</v>
      </c>
      <c r="B2" s="1378"/>
      <c r="C2" s="1378"/>
      <c r="D2" s="1378"/>
      <c r="E2" s="1378"/>
      <c r="F2" s="75"/>
    </row>
    <row r="3" spans="1:6" ht="9.9499999999999993" customHeight="1"/>
    <row r="4" spans="1:6" s="78" customFormat="1" ht="15" customHeight="1" thickBot="1">
      <c r="A4" s="77" t="s">
        <v>482</v>
      </c>
      <c r="B4" s="28"/>
      <c r="C4" s="28"/>
      <c r="E4" s="79" t="s">
        <v>1112</v>
      </c>
    </row>
    <row r="5" spans="1:6" s="84" customFormat="1" ht="18" customHeight="1">
      <c r="A5" s="819" t="s">
        <v>1584</v>
      </c>
      <c r="B5" s="820" t="s">
        <v>786</v>
      </c>
      <c r="C5" s="820" t="s">
        <v>1585</v>
      </c>
      <c r="D5" s="821" t="s">
        <v>787</v>
      </c>
      <c r="E5" s="821" t="s">
        <v>1586</v>
      </c>
    </row>
    <row r="6" spans="1:6" s="84" customFormat="1" ht="18" customHeight="1">
      <c r="A6" s="822"/>
      <c r="B6" s="823"/>
      <c r="C6" s="823"/>
      <c r="D6" s="824"/>
      <c r="E6" s="824" t="s">
        <v>788</v>
      </c>
    </row>
    <row r="7" spans="1:6" s="84" customFormat="1" ht="18" customHeight="1">
      <c r="A7" s="825"/>
      <c r="B7" s="826" t="s">
        <v>371</v>
      </c>
      <c r="C7" s="826" t="s">
        <v>789</v>
      </c>
      <c r="D7" s="827" t="s">
        <v>790</v>
      </c>
      <c r="E7" s="827" t="s">
        <v>791</v>
      </c>
    </row>
    <row r="8" spans="1:6" s="21" customFormat="1" ht="32.25" customHeight="1">
      <c r="A8" s="951">
        <v>2019</v>
      </c>
      <c r="B8" s="999">
        <v>2120</v>
      </c>
      <c r="C8" s="999">
        <v>784</v>
      </c>
      <c r="D8" s="999">
        <v>1311</v>
      </c>
      <c r="E8" s="999">
        <v>25</v>
      </c>
    </row>
    <row r="9" spans="1:6" s="21" customFormat="1" ht="32.25" customHeight="1">
      <c r="A9" s="951">
        <v>2020</v>
      </c>
      <c r="B9" s="999">
        <v>2032</v>
      </c>
      <c r="C9" s="999">
        <v>704</v>
      </c>
      <c r="D9" s="999">
        <v>1306</v>
      </c>
      <c r="E9" s="999">
        <v>22</v>
      </c>
    </row>
    <row r="10" spans="1:6" s="21" customFormat="1" ht="32.25" customHeight="1">
      <c r="A10" s="951">
        <v>2021</v>
      </c>
      <c r="B10" s="999">
        <v>1817</v>
      </c>
      <c r="C10" s="999">
        <v>568</v>
      </c>
      <c r="D10" s="999">
        <v>1231</v>
      </c>
      <c r="E10" s="999">
        <v>18</v>
      </c>
    </row>
    <row r="11" spans="1:6" s="21" customFormat="1" ht="32.25" customHeight="1">
      <c r="A11" s="951">
        <v>2022</v>
      </c>
      <c r="B11" s="999">
        <v>1735</v>
      </c>
      <c r="C11" s="999">
        <v>492</v>
      </c>
      <c r="D11" s="999">
        <v>1226</v>
      </c>
      <c r="E11" s="999">
        <v>17</v>
      </c>
    </row>
    <row r="12" spans="1:6" s="21" customFormat="1" ht="32.25" customHeight="1">
      <c r="A12" s="951">
        <v>2023</v>
      </c>
      <c r="B12" s="999">
        <v>1636</v>
      </c>
      <c r="C12" s="999">
        <v>415</v>
      </c>
      <c r="D12" s="999">
        <v>1208</v>
      </c>
      <c r="E12" s="999">
        <v>13</v>
      </c>
    </row>
    <row r="13" spans="1:6" s="21" customFormat="1" ht="32.25" customHeight="1" thickBot="1">
      <c r="A13" s="952">
        <v>2024</v>
      </c>
      <c r="B13" s="953">
        <v>1638</v>
      </c>
      <c r="C13" s="1147">
        <v>414</v>
      </c>
      <c r="D13" s="1147">
        <v>1212</v>
      </c>
      <c r="E13" s="1147">
        <v>12</v>
      </c>
    </row>
    <row r="14" spans="1:6">
      <c r="A14" s="31" t="s">
        <v>1719</v>
      </c>
    </row>
  </sheetData>
  <mergeCells count="2">
    <mergeCell ref="D1:E1"/>
    <mergeCell ref="A2:E2"/>
  </mergeCells>
  <phoneticPr fontId="3" type="noConversion"/>
  <pageMargins left="0.7" right="0.7" top="0.75" bottom="0.75" header="0.3" footer="0.3"/>
  <pageSetup paperSize="9" scale="85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4F81BD"/>
    <outlinePr summaryBelow="0" summaryRight="0"/>
  </sheetPr>
  <dimension ref="A1:P38"/>
  <sheetViews>
    <sheetView view="pageBreakPreview" zoomScaleNormal="100" zoomScaleSheetLayoutView="100" workbookViewId="0">
      <selection activeCell="Q7" sqref="Q7"/>
    </sheetView>
  </sheetViews>
  <sheetFormatPr defaultColWidth="9" defaultRowHeight="12"/>
  <cols>
    <col min="1" max="1" width="10.625" style="98" customWidth="1"/>
    <col min="2" max="15" width="9.625" style="98" customWidth="1"/>
    <col min="16" max="17" width="9" style="98"/>
    <col min="18" max="18" width="11.75" style="98" customWidth="1"/>
    <col min="19" max="16384" width="9" style="98"/>
  </cols>
  <sheetData>
    <row r="1" spans="1:16" s="229" customFormat="1" ht="24.95" customHeight="1">
      <c r="A1" s="1337" t="s">
        <v>1587</v>
      </c>
      <c r="B1" s="1337"/>
      <c r="C1" s="1337"/>
      <c r="D1" s="1337"/>
      <c r="E1" s="1337"/>
      <c r="F1" s="1337"/>
      <c r="G1" s="1337"/>
      <c r="H1" s="1337"/>
      <c r="I1" s="1337"/>
      <c r="K1" s="20"/>
      <c r="L1" s="20"/>
      <c r="M1" s="20"/>
      <c r="N1" s="20" t="s">
        <v>840</v>
      </c>
      <c r="O1" s="20"/>
      <c r="P1" s="20"/>
    </row>
    <row r="2" spans="1:16" s="75" customFormat="1" ht="24.95" customHeight="1">
      <c r="A2" s="1338" t="s">
        <v>838</v>
      </c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232"/>
    </row>
    <row r="3" spans="1:16" s="75" customFormat="1" ht="24.95" customHeight="1">
      <c r="A3" s="1570" t="s">
        <v>839</v>
      </c>
      <c r="B3" s="1570"/>
      <c r="C3" s="1570"/>
      <c r="D3" s="1570"/>
      <c r="E3" s="1570"/>
      <c r="F3" s="1570"/>
      <c r="G3" s="1570"/>
      <c r="H3" s="1570"/>
      <c r="I3" s="1570"/>
      <c r="J3" s="1570"/>
      <c r="K3" s="1570"/>
      <c r="L3" s="1570"/>
      <c r="M3" s="1570"/>
      <c r="N3" s="1570"/>
      <c r="O3" s="1570"/>
      <c r="P3" s="228"/>
    </row>
    <row r="4" spans="1:16" s="76" customFormat="1" ht="9.9499999999999993" customHeight="1">
      <c r="A4" s="149"/>
      <c r="B4" s="149"/>
      <c r="C4" s="149"/>
      <c r="D4" s="149"/>
      <c r="E4" s="150"/>
      <c r="F4" s="150"/>
      <c r="G4" s="150"/>
      <c r="H4" s="150"/>
      <c r="I4" s="150"/>
      <c r="J4" s="1369"/>
      <c r="K4" s="1369"/>
      <c r="L4" s="1369"/>
      <c r="M4" s="1369"/>
      <c r="N4" s="1369"/>
      <c r="O4" s="1369"/>
      <c r="P4" s="1369"/>
    </row>
    <row r="5" spans="1:16" s="95" customFormat="1" ht="15" customHeight="1" thickBot="1">
      <c r="A5" s="77" t="s">
        <v>1794</v>
      </c>
      <c r="B5" s="139"/>
      <c r="C5" s="139"/>
      <c r="D5" s="139"/>
      <c r="E5" s="139"/>
      <c r="F5" s="139"/>
      <c r="G5" s="139"/>
      <c r="I5" s="95" t="s">
        <v>2</v>
      </c>
      <c r="O5" s="79" t="s">
        <v>1795</v>
      </c>
    </row>
    <row r="6" spans="1:16" s="84" customFormat="1" ht="15.6" customHeight="1">
      <c r="A6" s="312" t="s">
        <v>3</v>
      </c>
      <c r="B6" s="80" t="s">
        <v>864</v>
      </c>
      <c r="C6" s="81"/>
      <c r="D6" s="82" t="s">
        <v>495</v>
      </c>
      <c r="E6" s="82"/>
      <c r="F6" s="80"/>
      <c r="G6" s="82"/>
      <c r="H6" s="82"/>
      <c r="I6" s="81"/>
      <c r="J6" s="82" t="s">
        <v>448</v>
      </c>
      <c r="K6" s="82"/>
      <c r="L6" s="82"/>
      <c r="M6" s="80"/>
      <c r="N6" s="80"/>
      <c r="O6" s="82"/>
    </row>
    <row r="7" spans="1:16" s="84" customFormat="1" ht="15.6" customHeight="1">
      <c r="A7" s="338"/>
      <c r="B7" s="128" t="s">
        <v>865</v>
      </c>
      <c r="C7" s="130"/>
      <c r="D7" s="128" t="s">
        <v>496</v>
      </c>
      <c r="E7" s="129"/>
      <c r="F7" s="129"/>
      <c r="G7" s="129"/>
      <c r="H7" s="129"/>
      <c r="I7" s="130"/>
      <c r="J7" s="129" t="s">
        <v>449</v>
      </c>
      <c r="K7" s="129"/>
      <c r="L7" s="129"/>
      <c r="M7" s="129"/>
      <c r="N7" s="129"/>
      <c r="O7" s="129"/>
    </row>
    <row r="8" spans="1:16" s="84" customFormat="1" ht="15.6" customHeight="1">
      <c r="A8" s="338"/>
      <c r="B8" s="315" t="s">
        <v>866</v>
      </c>
      <c r="C8" s="315" t="s">
        <v>450</v>
      </c>
      <c r="D8" s="170" t="s">
        <v>1339</v>
      </c>
      <c r="E8" s="206"/>
      <c r="F8" s="170"/>
      <c r="G8" s="170" t="s">
        <v>1340</v>
      </c>
      <c r="H8" s="206"/>
      <c r="I8" s="172"/>
      <c r="J8" s="207" t="s">
        <v>1341</v>
      </c>
      <c r="K8" s="206"/>
      <c r="L8" s="206"/>
      <c r="M8" s="208" t="s">
        <v>1228</v>
      </c>
      <c r="N8" s="170"/>
      <c r="O8" s="206"/>
    </row>
    <row r="9" spans="1:16" s="84" customFormat="1" ht="15.6" customHeight="1">
      <c r="A9" s="338"/>
      <c r="B9" s="338"/>
      <c r="C9" s="338"/>
      <c r="D9" s="338" t="s">
        <v>451</v>
      </c>
      <c r="E9" s="338" t="s">
        <v>18</v>
      </c>
      <c r="F9" s="338" t="s">
        <v>450</v>
      </c>
      <c r="G9" s="338" t="s">
        <v>451</v>
      </c>
      <c r="H9" s="338" t="s">
        <v>18</v>
      </c>
      <c r="I9" s="338" t="s">
        <v>450</v>
      </c>
      <c r="J9" s="315" t="s">
        <v>451</v>
      </c>
      <c r="K9" s="338" t="s">
        <v>18</v>
      </c>
      <c r="L9" s="209" t="s">
        <v>450</v>
      </c>
      <c r="M9" s="322" t="s">
        <v>451</v>
      </c>
      <c r="N9" s="338" t="s">
        <v>18</v>
      </c>
      <c r="O9" s="209" t="s">
        <v>450</v>
      </c>
    </row>
    <row r="10" spans="1:16" s="84" customFormat="1" ht="15.6" customHeight="1">
      <c r="A10" s="57"/>
      <c r="B10" s="310" t="s">
        <v>867</v>
      </c>
      <c r="C10" s="310" t="s">
        <v>452</v>
      </c>
      <c r="D10" s="310" t="s">
        <v>21</v>
      </c>
      <c r="E10" s="310" t="s">
        <v>453</v>
      </c>
      <c r="F10" s="310" t="s">
        <v>452</v>
      </c>
      <c r="G10" s="310" t="s">
        <v>255</v>
      </c>
      <c r="H10" s="310" t="s">
        <v>255</v>
      </c>
      <c r="I10" s="310" t="s">
        <v>256</v>
      </c>
      <c r="J10" s="341" t="s">
        <v>454</v>
      </c>
      <c r="K10" s="310" t="s">
        <v>255</v>
      </c>
      <c r="L10" s="319" t="s">
        <v>256</v>
      </c>
      <c r="M10" s="341" t="s">
        <v>454</v>
      </c>
      <c r="N10" s="310" t="s">
        <v>255</v>
      </c>
      <c r="O10" s="319" t="s">
        <v>256</v>
      </c>
    </row>
    <row r="11" spans="1:16" s="40" customFormat="1" ht="23.45" customHeight="1">
      <c r="A11" s="23">
        <v>2019</v>
      </c>
      <c r="B11" s="24">
        <v>14086</v>
      </c>
      <c r="C11" s="24">
        <v>225617</v>
      </c>
      <c r="D11" s="24">
        <v>658</v>
      </c>
      <c r="E11" s="24">
        <v>1626</v>
      </c>
      <c r="F11" s="24">
        <v>47429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</row>
    <row r="12" spans="1:16" s="40" customFormat="1" ht="21.95" customHeight="1">
      <c r="A12" s="23">
        <v>2020</v>
      </c>
      <c r="B12" s="24">
        <v>11883</v>
      </c>
      <c r="C12" s="24">
        <v>473929</v>
      </c>
      <c r="D12" s="24">
        <v>1854</v>
      </c>
      <c r="E12" s="24">
        <v>1968</v>
      </c>
      <c r="F12" s="24">
        <v>124179</v>
      </c>
      <c r="G12" s="24">
        <v>1213</v>
      </c>
      <c r="H12" s="24">
        <v>1217</v>
      </c>
      <c r="I12" s="24">
        <v>68109</v>
      </c>
      <c r="J12" s="24">
        <v>17</v>
      </c>
      <c r="K12" s="24">
        <v>55</v>
      </c>
      <c r="L12" s="24">
        <v>40470</v>
      </c>
      <c r="M12" s="24">
        <v>624</v>
      </c>
      <c r="N12" s="24">
        <v>696</v>
      </c>
      <c r="O12" s="24">
        <v>15600</v>
      </c>
    </row>
    <row r="13" spans="1:16" s="151" customFormat="1" ht="21.95" customHeight="1">
      <c r="A13" s="23">
        <v>2021</v>
      </c>
      <c r="B13" s="24">
        <v>13187</v>
      </c>
      <c r="C13" s="24">
        <v>187599</v>
      </c>
      <c r="D13" s="24">
        <v>649</v>
      </c>
      <c r="E13" s="24">
        <v>14749</v>
      </c>
      <c r="F13" s="24">
        <v>38748</v>
      </c>
      <c r="G13" s="24">
        <v>17</v>
      </c>
      <c r="H13" s="24">
        <v>13955</v>
      </c>
      <c r="I13" s="24">
        <v>6302</v>
      </c>
      <c r="J13" s="24">
        <v>8</v>
      </c>
      <c r="K13" s="24">
        <v>14</v>
      </c>
      <c r="L13" s="24">
        <v>13726</v>
      </c>
      <c r="M13" s="24">
        <v>624</v>
      </c>
      <c r="N13" s="24">
        <v>780</v>
      </c>
      <c r="O13" s="24">
        <v>18720</v>
      </c>
    </row>
    <row r="14" spans="1:16" s="151" customFormat="1" ht="21.95" customHeight="1">
      <c r="A14" s="23">
        <v>2022</v>
      </c>
      <c r="B14" s="24">
        <v>12049</v>
      </c>
      <c r="C14" s="24">
        <v>181517</v>
      </c>
      <c r="D14" s="24">
        <v>573</v>
      </c>
      <c r="E14" s="24">
        <v>799</v>
      </c>
      <c r="F14" s="24">
        <v>37150</v>
      </c>
      <c r="G14" s="24">
        <v>22</v>
      </c>
      <c r="H14" s="24">
        <v>35</v>
      </c>
      <c r="I14" s="24">
        <v>3586</v>
      </c>
      <c r="J14" s="24">
        <v>31</v>
      </c>
      <c r="K14" s="24">
        <v>114</v>
      </c>
      <c r="L14" s="24">
        <v>15232</v>
      </c>
      <c r="M14" s="24">
        <v>520</v>
      </c>
      <c r="N14" s="24">
        <v>650</v>
      </c>
      <c r="O14" s="24">
        <v>18332</v>
      </c>
    </row>
    <row r="15" spans="1:16" s="151" customFormat="1" ht="21.95" customHeight="1">
      <c r="A15" s="23">
        <v>2023</v>
      </c>
      <c r="B15" s="1080">
        <v>12130</v>
      </c>
      <c r="C15" s="267">
        <v>207890</v>
      </c>
      <c r="D15" s="267">
        <f>SUM(G15,J15,M15)</f>
        <v>477</v>
      </c>
      <c r="E15" s="267">
        <f t="shared" ref="E15:F16" si="0">SUM(H15,K15,N15)</f>
        <v>763</v>
      </c>
      <c r="F15" s="267">
        <f t="shared" ref="F15" si="1">SUM(I15,L15,O15)</f>
        <v>34243.572</v>
      </c>
      <c r="G15" s="267">
        <v>10</v>
      </c>
      <c r="H15" s="267">
        <v>21</v>
      </c>
      <c r="I15" s="267">
        <v>2562.7139999999999</v>
      </c>
      <c r="J15" s="267">
        <v>7</v>
      </c>
      <c r="K15" s="267">
        <v>20</v>
      </c>
      <c r="L15" s="267">
        <v>19800</v>
      </c>
      <c r="M15" s="267">
        <v>460</v>
      </c>
      <c r="N15" s="267">
        <v>722</v>
      </c>
      <c r="O15" s="267">
        <v>11880.858</v>
      </c>
    </row>
    <row r="16" spans="1:16" s="152" customFormat="1" ht="21" customHeight="1" thickBot="1">
      <c r="A16" s="361">
        <v>2024</v>
      </c>
      <c r="B16" s="1127">
        <v>11717</v>
      </c>
      <c r="C16" s="1127">
        <v>186546</v>
      </c>
      <c r="D16" s="1128">
        <f>SUM(G16,J16,M16)</f>
        <v>538</v>
      </c>
      <c r="E16" s="1128">
        <f>H16+K16+N16</f>
        <v>853</v>
      </c>
      <c r="F16" s="1128">
        <f t="shared" si="0"/>
        <v>33148</v>
      </c>
      <c r="G16" s="1127">
        <v>13</v>
      </c>
      <c r="H16" s="1127">
        <v>22</v>
      </c>
      <c r="I16" s="1127">
        <v>4201</v>
      </c>
      <c r="J16" s="1127">
        <v>5</v>
      </c>
      <c r="K16" s="1127">
        <v>11</v>
      </c>
      <c r="L16" s="1127">
        <v>10889</v>
      </c>
      <c r="M16" s="1127">
        <v>520</v>
      </c>
      <c r="N16" s="1127">
        <v>820</v>
      </c>
      <c r="O16" s="1127">
        <v>18058</v>
      </c>
    </row>
    <row r="17" spans="1:15" s="152" customFormat="1" ht="16.5" customHeight="1">
      <c r="A17" s="1568" t="s">
        <v>1720</v>
      </c>
      <c r="B17" s="1568"/>
      <c r="C17" s="1568"/>
      <c r="D17" s="1568"/>
      <c r="E17" s="1568"/>
      <c r="F17" s="1568"/>
      <c r="G17" s="1568"/>
      <c r="H17" s="1568"/>
      <c r="I17" s="1568"/>
      <c r="J17" s="267"/>
      <c r="K17" s="267"/>
      <c r="L17" s="267"/>
      <c r="M17" s="267"/>
      <c r="N17" s="267"/>
      <c r="O17" s="366"/>
    </row>
    <row r="18" spans="1:15" s="26" customFormat="1" ht="15" customHeight="1">
      <c r="A18" s="26" t="s">
        <v>1721</v>
      </c>
      <c r="B18" s="27"/>
      <c r="C18" s="27"/>
      <c r="D18" s="27"/>
      <c r="M18" s="1569"/>
      <c r="N18" s="1569"/>
      <c r="O18" s="1569"/>
    </row>
    <row r="37" ht="24.95" customHeight="1"/>
    <row r="38" ht="24.95" customHeight="1"/>
  </sheetData>
  <sheetProtection selectLockedCells="1"/>
  <mergeCells count="6">
    <mergeCell ref="A17:I17"/>
    <mergeCell ref="M18:O18"/>
    <mergeCell ref="A1:I1"/>
    <mergeCell ref="J4:P4"/>
    <mergeCell ref="A2:O2"/>
    <mergeCell ref="A3:O3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60" pageOrder="overThenDown" orientation="portrait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/>
  </sheetPr>
  <dimension ref="A1:J42"/>
  <sheetViews>
    <sheetView view="pageBreakPreview" zoomScaleNormal="100" zoomScaleSheetLayoutView="100" workbookViewId="0">
      <selection activeCell="B16" sqref="B16"/>
    </sheetView>
  </sheetViews>
  <sheetFormatPr defaultRowHeight="16.5"/>
  <cols>
    <col min="1" max="1" width="13.125" style="50" customWidth="1"/>
    <col min="2" max="6" width="10.5" style="50" customWidth="1"/>
    <col min="7" max="7" width="16.25" style="50" customWidth="1"/>
    <col min="8" max="8" width="10.5" style="50" customWidth="1"/>
    <col min="9" max="16384" width="9" style="50"/>
  </cols>
  <sheetData>
    <row r="1" spans="1:10" s="229" customFormat="1" ht="24.95" customHeight="1">
      <c r="A1" s="20" t="s">
        <v>1342</v>
      </c>
      <c r="B1" s="20"/>
      <c r="C1" s="20"/>
      <c r="D1" s="20"/>
      <c r="E1" s="20"/>
      <c r="F1" s="20"/>
      <c r="G1" s="20" t="s">
        <v>830</v>
      </c>
      <c r="I1" s="20"/>
      <c r="J1" s="20"/>
    </row>
    <row r="2" spans="1:10" s="75" customFormat="1" ht="24.95" customHeight="1">
      <c r="A2" s="1338" t="s">
        <v>1113</v>
      </c>
      <c r="B2" s="1338"/>
      <c r="C2" s="1338"/>
      <c r="D2" s="1338"/>
      <c r="E2" s="1338"/>
      <c r="F2" s="1338"/>
      <c r="G2" s="1338"/>
      <c r="H2" s="1338"/>
      <c r="I2" s="268"/>
      <c r="J2" s="268"/>
    </row>
    <row r="3" spans="1:10" s="76" customFormat="1" ht="24.95" customHeight="1">
      <c r="A3" s="1339" t="s">
        <v>1115</v>
      </c>
      <c r="B3" s="1339"/>
      <c r="C3" s="1339"/>
      <c r="D3" s="1339"/>
      <c r="E3" s="1339"/>
      <c r="F3" s="1339"/>
      <c r="G3" s="1339"/>
      <c r="H3" s="1339"/>
      <c r="I3" s="150"/>
      <c r="J3" s="150"/>
    </row>
    <row r="4" spans="1:10" ht="9.9499999999999993" customHeight="1"/>
    <row r="5" spans="1:10" s="78" customFormat="1" ht="15" customHeight="1" thickBot="1">
      <c r="A5" s="77" t="s">
        <v>1756</v>
      </c>
      <c r="H5" s="79" t="s">
        <v>1114</v>
      </c>
    </row>
    <row r="6" spans="1:10" s="84" customFormat="1" ht="20.100000000000001" customHeight="1">
      <c r="A6" s="312" t="s">
        <v>1343</v>
      </c>
      <c r="B6" s="83" t="s">
        <v>658</v>
      </c>
      <c r="C6" s="1374" t="s">
        <v>668</v>
      </c>
      <c r="D6" s="1377"/>
      <c r="E6" s="1377"/>
      <c r="F6" s="1388"/>
      <c r="G6" s="311" t="s">
        <v>659</v>
      </c>
      <c r="H6" s="311" t="s">
        <v>660</v>
      </c>
    </row>
    <row r="7" spans="1:10" s="84" customFormat="1" ht="20.100000000000001" customHeight="1">
      <c r="A7" s="338"/>
      <c r="B7" s="90" t="s">
        <v>661</v>
      </c>
      <c r="C7" s="1574" t="s">
        <v>1116</v>
      </c>
      <c r="D7" s="1575"/>
      <c r="E7" s="1575"/>
      <c r="F7" s="1576"/>
      <c r="G7" s="336" t="s">
        <v>662</v>
      </c>
      <c r="H7" s="313" t="s">
        <v>663</v>
      </c>
    </row>
    <row r="8" spans="1:10" s="84" customFormat="1" ht="20.100000000000001" customHeight="1">
      <c r="A8" s="338"/>
      <c r="B8" s="321" t="s">
        <v>374</v>
      </c>
      <c r="C8" s="321" t="s">
        <v>374</v>
      </c>
      <c r="D8" s="1571" t="s">
        <v>1344</v>
      </c>
      <c r="E8" s="1572"/>
      <c r="F8" s="1573"/>
      <c r="G8" s="321" t="s">
        <v>664</v>
      </c>
      <c r="H8" s="314" t="s">
        <v>664</v>
      </c>
    </row>
    <row r="9" spans="1:10" s="84" customFormat="1" ht="20.100000000000001" customHeight="1">
      <c r="A9" s="338"/>
      <c r="B9" s="322"/>
      <c r="C9" s="322"/>
      <c r="D9" s="307"/>
      <c r="E9" s="319"/>
      <c r="F9" s="310"/>
      <c r="G9" s="141"/>
      <c r="H9" s="141"/>
    </row>
    <row r="10" spans="1:10" s="84" customFormat="1" ht="20.100000000000001" customHeight="1">
      <c r="A10" s="56" t="s">
        <v>667</v>
      </c>
      <c r="B10" s="341" t="s">
        <v>24</v>
      </c>
      <c r="C10" s="341" t="s">
        <v>24</v>
      </c>
      <c r="D10" s="310"/>
      <c r="E10" s="148" t="s">
        <v>1226</v>
      </c>
      <c r="F10" s="148" t="s">
        <v>1227</v>
      </c>
      <c r="G10" s="309" t="s">
        <v>666</v>
      </c>
      <c r="H10" s="309" t="s">
        <v>665</v>
      </c>
    </row>
    <row r="11" spans="1:10">
      <c r="A11" s="23">
        <v>2019</v>
      </c>
      <c r="B11" s="60">
        <v>359</v>
      </c>
      <c r="C11" s="37">
        <v>4</v>
      </c>
      <c r="D11" s="37">
        <v>85</v>
      </c>
      <c r="E11" s="37">
        <v>27</v>
      </c>
      <c r="F11" s="37">
        <v>58</v>
      </c>
      <c r="G11" s="37">
        <v>354</v>
      </c>
      <c r="H11" s="37">
        <v>1</v>
      </c>
    </row>
    <row r="12" spans="1:10">
      <c r="A12" s="23">
        <v>2020</v>
      </c>
      <c r="B12" s="60">
        <v>362</v>
      </c>
      <c r="C12" s="37">
        <v>4</v>
      </c>
      <c r="D12" s="37">
        <v>65</v>
      </c>
      <c r="E12" s="37">
        <v>23</v>
      </c>
      <c r="F12" s="37">
        <v>42</v>
      </c>
      <c r="G12" s="37">
        <v>358</v>
      </c>
      <c r="H12" s="37">
        <v>0</v>
      </c>
    </row>
    <row r="13" spans="1:10">
      <c r="A13" s="23">
        <v>2021</v>
      </c>
      <c r="B13" s="60">
        <v>366</v>
      </c>
      <c r="C13" s="37">
        <v>4</v>
      </c>
      <c r="D13" s="37">
        <v>64</v>
      </c>
      <c r="E13" s="37">
        <v>23</v>
      </c>
      <c r="F13" s="37">
        <v>41</v>
      </c>
      <c r="G13" s="37">
        <v>361</v>
      </c>
      <c r="H13" s="37">
        <v>1</v>
      </c>
    </row>
    <row r="14" spans="1:10">
      <c r="A14" s="23">
        <v>2022</v>
      </c>
      <c r="B14" s="60">
        <v>368</v>
      </c>
      <c r="C14" s="37">
        <v>4</v>
      </c>
      <c r="D14" s="37">
        <f>SUM(E14:F14)</f>
        <v>69</v>
      </c>
      <c r="E14" s="37">
        <v>25</v>
      </c>
      <c r="F14" s="37">
        <v>44</v>
      </c>
      <c r="G14" s="37">
        <v>362</v>
      </c>
      <c r="H14" s="37">
        <v>2</v>
      </c>
    </row>
    <row r="15" spans="1:10">
      <c r="A15" s="23">
        <v>2023</v>
      </c>
      <c r="B15" s="60">
        <v>373</v>
      </c>
      <c r="C15" s="37">
        <v>4</v>
      </c>
      <c r="D15" s="37">
        <v>70</v>
      </c>
      <c r="E15" s="37">
        <v>25</v>
      </c>
      <c r="F15" s="37">
        <v>45</v>
      </c>
      <c r="G15" s="37">
        <v>367</v>
      </c>
      <c r="H15" s="37">
        <v>2</v>
      </c>
    </row>
    <row r="16" spans="1:10" s="21" customFormat="1">
      <c r="A16" s="33">
        <v>2024</v>
      </c>
      <c r="B16" s="854">
        <f>SUM(C16,G16,H16)</f>
        <v>374</v>
      </c>
      <c r="C16" s="855">
        <f>SUM(C17:C41)</f>
        <v>4</v>
      </c>
      <c r="D16" s="855">
        <f>SUM(E16:F16)</f>
        <v>66</v>
      </c>
      <c r="E16" s="855">
        <f>SUM(E17:E41)</f>
        <v>25</v>
      </c>
      <c r="F16" s="855">
        <v>41</v>
      </c>
      <c r="G16" s="855">
        <f t="shared" ref="G16:H16" si="0">SUM(G17:G41)</f>
        <v>368</v>
      </c>
      <c r="H16" s="855">
        <f t="shared" si="0"/>
        <v>2</v>
      </c>
    </row>
    <row r="17" spans="1:8">
      <c r="A17" s="93" t="s">
        <v>532</v>
      </c>
      <c r="B17" s="857">
        <f>C17+G17</f>
        <v>26</v>
      </c>
      <c r="C17" s="37">
        <v>1</v>
      </c>
      <c r="D17" s="856">
        <f>E17+F17</f>
        <v>14</v>
      </c>
      <c r="E17" s="37">
        <v>8</v>
      </c>
      <c r="F17" s="37">
        <v>6</v>
      </c>
      <c r="G17" s="37">
        <v>25</v>
      </c>
      <c r="H17" s="37">
        <v>0</v>
      </c>
    </row>
    <row r="18" spans="1:8">
      <c r="A18" s="93" t="s">
        <v>533</v>
      </c>
      <c r="B18" s="857">
        <f t="shared" ref="B18:B41" si="1">C18+G18</f>
        <v>25</v>
      </c>
      <c r="C18" s="37">
        <v>1</v>
      </c>
      <c r="D18" s="856">
        <f t="shared" ref="D18:D41" si="2">E18+F18</f>
        <v>19</v>
      </c>
      <c r="E18" s="37">
        <v>5</v>
      </c>
      <c r="F18" s="37">
        <v>14</v>
      </c>
      <c r="G18" s="37">
        <v>24</v>
      </c>
      <c r="H18" s="37">
        <v>0</v>
      </c>
    </row>
    <row r="19" spans="1:8">
      <c r="A19" s="93" t="s">
        <v>534</v>
      </c>
      <c r="B19" s="857">
        <f t="shared" si="1"/>
        <v>14</v>
      </c>
      <c r="C19" s="37">
        <v>0</v>
      </c>
      <c r="D19" s="856">
        <f t="shared" si="2"/>
        <v>0</v>
      </c>
      <c r="E19" s="37">
        <v>0</v>
      </c>
      <c r="F19" s="37">
        <v>0</v>
      </c>
      <c r="G19" s="37">
        <v>14</v>
      </c>
      <c r="H19" s="37">
        <v>0</v>
      </c>
    </row>
    <row r="20" spans="1:8">
      <c r="A20" s="93" t="s">
        <v>535</v>
      </c>
      <c r="B20" s="857">
        <f t="shared" si="1"/>
        <v>12</v>
      </c>
      <c r="C20" s="37">
        <v>0</v>
      </c>
      <c r="D20" s="856">
        <f t="shared" si="2"/>
        <v>0</v>
      </c>
      <c r="E20" s="37">
        <v>0</v>
      </c>
      <c r="F20" s="37">
        <v>0</v>
      </c>
      <c r="G20" s="37">
        <v>12</v>
      </c>
      <c r="H20" s="37">
        <v>0</v>
      </c>
    </row>
    <row r="21" spans="1:8">
      <c r="A21" s="93" t="s">
        <v>536</v>
      </c>
      <c r="B21" s="857">
        <f t="shared" si="1"/>
        <v>26</v>
      </c>
      <c r="C21" s="37">
        <v>0</v>
      </c>
      <c r="D21" s="856">
        <f t="shared" si="2"/>
        <v>0</v>
      </c>
      <c r="E21" s="37">
        <v>0</v>
      </c>
      <c r="F21" s="37">
        <v>0</v>
      </c>
      <c r="G21" s="37">
        <v>26</v>
      </c>
      <c r="H21" s="37">
        <v>0</v>
      </c>
    </row>
    <row r="22" spans="1:8">
      <c r="A22" s="93" t="s">
        <v>537</v>
      </c>
      <c r="B22" s="857">
        <f t="shared" si="1"/>
        <v>10</v>
      </c>
      <c r="C22" s="37">
        <v>0</v>
      </c>
      <c r="D22" s="856">
        <f t="shared" si="2"/>
        <v>0</v>
      </c>
      <c r="E22" s="37">
        <v>0</v>
      </c>
      <c r="F22" s="37">
        <v>0</v>
      </c>
      <c r="G22" s="37">
        <v>10</v>
      </c>
      <c r="H22" s="37">
        <v>0</v>
      </c>
    </row>
    <row r="23" spans="1:8">
      <c r="A23" s="93" t="s">
        <v>538</v>
      </c>
      <c r="B23" s="857">
        <f t="shared" si="1"/>
        <v>20</v>
      </c>
      <c r="C23" s="37">
        <v>0</v>
      </c>
      <c r="D23" s="856">
        <f t="shared" si="2"/>
        <v>0</v>
      </c>
      <c r="E23" s="37">
        <v>0</v>
      </c>
      <c r="F23" s="37">
        <v>0</v>
      </c>
      <c r="G23" s="37">
        <v>20</v>
      </c>
      <c r="H23" s="37">
        <v>0</v>
      </c>
    </row>
    <row r="24" spans="1:8">
      <c r="A24" s="93" t="s">
        <v>539</v>
      </c>
      <c r="B24" s="857">
        <f t="shared" si="1"/>
        <v>23</v>
      </c>
      <c r="C24" s="37">
        <v>0</v>
      </c>
      <c r="D24" s="856">
        <f t="shared" si="2"/>
        <v>0</v>
      </c>
      <c r="E24" s="37">
        <v>0</v>
      </c>
      <c r="F24" s="37">
        <v>0</v>
      </c>
      <c r="G24" s="37">
        <v>23</v>
      </c>
      <c r="H24" s="37">
        <v>0</v>
      </c>
    </row>
    <row r="25" spans="1:8">
      <c r="A25" s="93" t="s">
        <v>540</v>
      </c>
      <c r="B25" s="857">
        <f t="shared" si="1"/>
        <v>17</v>
      </c>
      <c r="C25" s="37">
        <v>0</v>
      </c>
      <c r="D25" s="856">
        <f t="shared" si="2"/>
        <v>0</v>
      </c>
      <c r="E25" s="37">
        <v>0</v>
      </c>
      <c r="F25" s="37">
        <v>0</v>
      </c>
      <c r="G25" s="37">
        <v>17</v>
      </c>
      <c r="H25" s="37">
        <v>0</v>
      </c>
    </row>
    <row r="26" spans="1:8">
      <c r="A26" s="93" t="s">
        <v>541</v>
      </c>
      <c r="B26" s="857">
        <f t="shared" si="1"/>
        <v>9</v>
      </c>
      <c r="C26" s="37">
        <v>0</v>
      </c>
      <c r="D26" s="856">
        <f t="shared" si="2"/>
        <v>0</v>
      </c>
      <c r="E26" s="37">
        <v>0</v>
      </c>
      <c r="F26" s="37">
        <v>0</v>
      </c>
      <c r="G26" s="37">
        <v>9</v>
      </c>
      <c r="H26" s="37">
        <v>0</v>
      </c>
    </row>
    <row r="27" spans="1:8">
      <c r="A27" s="93" t="s">
        <v>542</v>
      </c>
      <c r="B27" s="857">
        <f t="shared" si="1"/>
        <v>7</v>
      </c>
      <c r="C27" s="37">
        <v>0</v>
      </c>
      <c r="D27" s="856">
        <f t="shared" si="2"/>
        <v>0</v>
      </c>
      <c r="E27" s="37">
        <v>0</v>
      </c>
      <c r="F27" s="37">
        <v>0</v>
      </c>
      <c r="G27" s="37">
        <v>7</v>
      </c>
      <c r="H27" s="37">
        <v>0</v>
      </c>
    </row>
    <row r="28" spans="1:8">
      <c r="A28" s="93" t="s">
        <v>543</v>
      </c>
      <c r="B28" s="857">
        <f t="shared" si="1"/>
        <v>3</v>
      </c>
      <c r="C28" s="37">
        <v>0</v>
      </c>
      <c r="D28" s="856">
        <f t="shared" si="2"/>
        <v>0</v>
      </c>
      <c r="E28" s="37">
        <v>0</v>
      </c>
      <c r="F28" s="37">
        <v>0</v>
      </c>
      <c r="G28" s="37">
        <v>3</v>
      </c>
      <c r="H28" s="37">
        <v>0</v>
      </c>
    </row>
    <row r="29" spans="1:8">
      <c r="A29" s="93" t="s">
        <v>544</v>
      </c>
      <c r="B29" s="857">
        <f t="shared" si="1"/>
        <v>3</v>
      </c>
      <c r="C29" s="37">
        <v>0</v>
      </c>
      <c r="D29" s="856">
        <f t="shared" si="2"/>
        <v>0</v>
      </c>
      <c r="E29" s="37">
        <v>0</v>
      </c>
      <c r="F29" s="37">
        <v>0</v>
      </c>
      <c r="G29" s="37">
        <v>3</v>
      </c>
      <c r="H29" s="37">
        <v>0</v>
      </c>
    </row>
    <row r="30" spans="1:8">
      <c r="A30" s="93" t="s">
        <v>545</v>
      </c>
      <c r="B30" s="857">
        <f>C30+G30+H30</f>
        <v>7</v>
      </c>
      <c r="C30" s="37">
        <v>0</v>
      </c>
      <c r="D30" s="856">
        <f t="shared" si="2"/>
        <v>0</v>
      </c>
      <c r="E30" s="37">
        <v>0</v>
      </c>
      <c r="F30" s="37">
        <v>0</v>
      </c>
      <c r="G30" s="37">
        <v>6</v>
      </c>
      <c r="H30" s="37">
        <v>1</v>
      </c>
    </row>
    <row r="31" spans="1:8">
      <c r="A31" s="93" t="s">
        <v>546</v>
      </c>
      <c r="B31" s="857">
        <f t="shared" si="1"/>
        <v>10</v>
      </c>
      <c r="C31" s="37">
        <v>0</v>
      </c>
      <c r="D31" s="856">
        <f t="shared" si="2"/>
        <v>0</v>
      </c>
      <c r="E31" s="37">
        <v>0</v>
      </c>
      <c r="F31" s="37">
        <v>0</v>
      </c>
      <c r="G31" s="37">
        <v>10</v>
      </c>
      <c r="H31" s="37">
        <v>0</v>
      </c>
    </row>
    <row r="32" spans="1:8">
      <c r="A32" s="93" t="s">
        <v>547</v>
      </c>
      <c r="B32" s="857">
        <f t="shared" si="1"/>
        <v>12</v>
      </c>
      <c r="C32" s="37">
        <v>0</v>
      </c>
      <c r="D32" s="856">
        <f t="shared" si="2"/>
        <v>0</v>
      </c>
      <c r="E32" s="37">
        <v>0</v>
      </c>
      <c r="F32" s="37">
        <v>0</v>
      </c>
      <c r="G32" s="37">
        <v>12</v>
      </c>
      <c r="H32" s="37">
        <v>0</v>
      </c>
    </row>
    <row r="33" spans="1:8">
      <c r="A33" s="93" t="s">
        <v>548</v>
      </c>
      <c r="B33" s="857">
        <f t="shared" si="1"/>
        <v>8</v>
      </c>
      <c r="C33" s="37">
        <v>0</v>
      </c>
      <c r="D33" s="856">
        <f t="shared" si="2"/>
        <v>0</v>
      </c>
      <c r="E33" s="37">
        <v>0</v>
      </c>
      <c r="F33" s="37">
        <v>0</v>
      </c>
      <c r="G33" s="37">
        <v>8</v>
      </c>
      <c r="H33" s="37">
        <v>0</v>
      </c>
    </row>
    <row r="34" spans="1:8">
      <c r="A34" s="93" t="s">
        <v>549</v>
      </c>
      <c r="B34" s="857">
        <f>C34+G34+H34</f>
        <v>18</v>
      </c>
      <c r="C34" s="37">
        <v>0</v>
      </c>
      <c r="D34" s="856">
        <f t="shared" si="2"/>
        <v>0</v>
      </c>
      <c r="E34" s="37">
        <v>0</v>
      </c>
      <c r="F34" s="37">
        <v>0</v>
      </c>
      <c r="G34" s="37">
        <v>17</v>
      </c>
      <c r="H34" s="37">
        <v>1</v>
      </c>
    </row>
    <row r="35" spans="1:8">
      <c r="A35" s="93" t="s">
        <v>550</v>
      </c>
      <c r="B35" s="857">
        <f t="shared" si="1"/>
        <v>5</v>
      </c>
      <c r="C35" s="37">
        <v>0</v>
      </c>
      <c r="D35" s="856">
        <f t="shared" si="2"/>
        <v>0</v>
      </c>
      <c r="E35" s="37">
        <v>0</v>
      </c>
      <c r="F35" s="37">
        <v>0</v>
      </c>
      <c r="G35" s="37">
        <v>5</v>
      </c>
      <c r="H35" s="37">
        <v>0</v>
      </c>
    </row>
    <row r="36" spans="1:8">
      <c r="A36" s="93" t="s">
        <v>551</v>
      </c>
      <c r="B36" s="857">
        <f t="shared" si="1"/>
        <v>12</v>
      </c>
      <c r="C36" s="37">
        <v>0</v>
      </c>
      <c r="D36" s="856">
        <f t="shared" si="2"/>
        <v>0</v>
      </c>
      <c r="E36" s="37">
        <v>0</v>
      </c>
      <c r="F36" s="37">
        <v>0</v>
      </c>
      <c r="G36" s="37">
        <v>12</v>
      </c>
      <c r="H36" s="37">
        <v>0</v>
      </c>
    </row>
    <row r="37" spans="1:8">
      <c r="A37" s="93" t="s">
        <v>552</v>
      </c>
      <c r="B37" s="857">
        <f t="shared" si="1"/>
        <v>4</v>
      </c>
      <c r="C37" s="37">
        <v>0</v>
      </c>
      <c r="D37" s="856">
        <f t="shared" si="2"/>
        <v>0</v>
      </c>
      <c r="E37" s="37">
        <v>0</v>
      </c>
      <c r="F37" s="37">
        <v>0</v>
      </c>
      <c r="G37" s="37">
        <v>4</v>
      </c>
      <c r="H37" s="37">
        <v>0</v>
      </c>
    </row>
    <row r="38" spans="1:8">
      <c r="A38" s="93" t="s">
        <v>553</v>
      </c>
      <c r="B38" s="857">
        <f t="shared" si="1"/>
        <v>24</v>
      </c>
      <c r="C38" s="37">
        <v>0</v>
      </c>
      <c r="D38" s="856">
        <f t="shared" si="2"/>
        <v>0</v>
      </c>
      <c r="E38" s="37">
        <v>0</v>
      </c>
      <c r="F38" s="37">
        <v>0</v>
      </c>
      <c r="G38" s="37">
        <v>24</v>
      </c>
      <c r="H38" s="37">
        <v>0</v>
      </c>
    </row>
    <row r="39" spans="1:8">
      <c r="A39" s="93" t="s">
        <v>554</v>
      </c>
      <c r="B39" s="857">
        <f t="shared" si="1"/>
        <v>30</v>
      </c>
      <c r="C39" s="37">
        <v>0</v>
      </c>
      <c r="D39" s="856">
        <f t="shared" si="2"/>
        <v>0</v>
      </c>
      <c r="E39" s="37">
        <v>0</v>
      </c>
      <c r="F39" s="37">
        <v>0</v>
      </c>
      <c r="G39" s="37">
        <v>30</v>
      </c>
      <c r="H39" s="37">
        <v>0</v>
      </c>
    </row>
    <row r="40" spans="1:8">
      <c r="A40" s="93" t="s">
        <v>555</v>
      </c>
      <c r="B40" s="857">
        <f t="shared" si="1"/>
        <v>21</v>
      </c>
      <c r="C40" s="37">
        <v>1</v>
      </c>
      <c r="D40" s="856">
        <f t="shared" si="2"/>
        <v>18</v>
      </c>
      <c r="E40" s="37">
        <v>5</v>
      </c>
      <c r="F40" s="37">
        <v>13</v>
      </c>
      <c r="G40" s="37">
        <v>20</v>
      </c>
      <c r="H40" s="37">
        <v>0</v>
      </c>
    </row>
    <row r="41" spans="1:8" ht="17.25" thickBot="1">
      <c r="A41" s="351" t="s">
        <v>556</v>
      </c>
      <c r="B41" s="858">
        <f t="shared" si="1"/>
        <v>28</v>
      </c>
      <c r="C41" s="1000">
        <v>1</v>
      </c>
      <c r="D41" s="859">
        <f t="shared" si="2"/>
        <v>19</v>
      </c>
      <c r="E41" s="1000">
        <v>7</v>
      </c>
      <c r="F41" s="1000">
        <v>12</v>
      </c>
      <c r="G41" s="1000">
        <v>27</v>
      </c>
      <c r="H41" s="1000">
        <v>0</v>
      </c>
    </row>
    <row r="42" spans="1:8">
      <c r="A42" s="1038" t="s">
        <v>1722</v>
      </c>
      <c r="B42" s="296"/>
      <c r="C42" s="297"/>
      <c r="D42" s="297"/>
      <c r="E42" s="297"/>
      <c r="F42" s="297"/>
    </row>
  </sheetData>
  <mergeCells count="5">
    <mergeCell ref="D8:F8"/>
    <mergeCell ref="A2:H2"/>
    <mergeCell ref="A3:H3"/>
    <mergeCell ref="C6:F6"/>
    <mergeCell ref="C7:F7"/>
  </mergeCells>
  <phoneticPr fontId="3" type="noConversion"/>
  <pageMargins left="0.7" right="0.7" top="0.75" bottom="0.75" header="0.3" footer="0.3"/>
  <pageSetup paperSize="9" scale="87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/>
  </sheetPr>
  <dimension ref="A1:AH46"/>
  <sheetViews>
    <sheetView view="pageBreakPreview" zoomScale="85" zoomScaleNormal="80" zoomScaleSheetLayoutView="85" workbookViewId="0">
      <selection activeCell="N30" sqref="N30"/>
    </sheetView>
  </sheetViews>
  <sheetFormatPr defaultRowHeight="16.5"/>
  <cols>
    <col min="1" max="16384" width="9" style="518"/>
  </cols>
  <sheetData>
    <row r="1" spans="1:34" s="671" customFormat="1" ht="24.95" customHeight="1">
      <c r="A1" s="20" t="s">
        <v>1335</v>
      </c>
      <c r="B1" s="16"/>
      <c r="C1" s="16"/>
      <c r="D1" s="16"/>
      <c r="E1" s="16"/>
      <c r="F1" s="16"/>
      <c r="G1" s="16"/>
      <c r="H1" s="16"/>
      <c r="I1" s="16"/>
      <c r="K1" s="16" t="s">
        <v>842</v>
      </c>
      <c r="L1" s="16"/>
      <c r="M1" s="16"/>
      <c r="N1" s="16"/>
      <c r="O1" s="16"/>
      <c r="P1" s="16"/>
      <c r="Q1" s="777" t="s">
        <v>843</v>
      </c>
      <c r="R1" s="16" t="s">
        <v>1604</v>
      </c>
      <c r="S1" s="16"/>
      <c r="T1" s="16"/>
      <c r="V1" s="16"/>
      <c r="W1" s="16"/>
      <c r="X1" s="16"/>
      <c r="Y1" s="16"/>
      <c r="Z1" s="16"/>
      <c r="AA1" s="16"/>
      <c r="AB1" s="16"/>
      <c r="AD1" s="16"/>
      <c r="AE1" s="777" t="s">
        <v>843</v>
      </c>
      <c r="AF1" s="16"/>
      <c r="AG1" s="16"/>
    </row>
    <row r="2" spans="1:34" s="385" customFormat="1" ht="24.95" customHeight="1">
      <c r="A2" s="1335" t="s">
        <v>1123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  <c r="L2" s="1335"/>
      <c r="M2" s="1335"/>
      <c r="N2" s="1335"/>
      <c r="O2" s="1335"/>
      <c r="P2" s="1335"/>
      <c r="Q2" s="1335"/>
      <c r="R2" s="1335" t="s">
        <v>841</v>
      </c>
      <c r="S2" s="1335"/>
      <c r="T2" s="1335"/>
      <c r="U2" s="1335"/>
      <c r="V2" s="1335"/>
      <c r="W2" s="1335"/>
      <c r="X2" s="1335"/>
      <c r="Y2" s="1335"/>
      <c r="Z2" s="1335"/>
      <c r="AA2" s="1335"/>
      <c r="AB2" s="1335"/>
      <c r="AC2" s="1335"/>
      <c r="AD2" s="1335"/>
      <c r="AE2" s="1335"/>
      <c r="AF2" s="791"/>
      <c r="AG2" s="791"/>
      <c r="AH2" s="791"/>
    </row>
    <row r="3" spans="1:34" s="385" customFormat="1" ht="24.95" customHeight="1">
      <c r="A3" s="1392" t="s">
        <v>1588</v>
      </c>
      <c r="B3" s="1392"/>
      <c r="C3" s="1392"/>
      <c r="D3" s="1392"/>
      <c r="E3" s="1392"/>
      <c r="F3" s="1392"/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1392" t="s">
        <v>1141</v>
      </c>
      <c r="S3" s="1392"/>
      <c r="T3" s="1392"/>
      <c r="U3" s="1392"/>
      <c r="V3" s="1392"/>
      <c r="W3" s="1392"/>
      <c r="X3" s="1392"/>
      <c r="Y3" s="1392"/>
      <c r="Z3" s="1392"/>
      <c r="AA3" s="1392"/>
      <c r="AB3" s="1392"/>
      <c r="AC3" s="1392"/>
      <c r="AD3" s="1392"/>
      <c r="AE3" s="1392"/>
      <c r="AF3" s="791"/>
      <c r="AG3" s="791"/>
      <c r="AH3" s="791"/>
    </row>
    <row r="4" spans="1:34" s="385" customFormat="1" ht="12" customHeight="1">
      <c r="A4" s="779"/>
      <c r="B4" s="779"/>
      <c r="C4" s="779"/>
      <c r="D4" s="791"/>
      <c r="E4" s="779"/>
      <c r="F4" s="779"/>
      <c r="G4" s="779"/>
      <c r="H4" s="779"/>
      <c r="I4" s="779"/>
      <c r="J4" s="779"/>
      <c r="K4" s="19"/>
      <c r="L4" s="19"/>
      <c r="M4" s="19"/>
      <c r="N4" s="19"/>
      <c r="O4" s="19"/>
      <c r="P4" s="19"/>
      <c r="Q4" s="19"/>
      <c r="R4" s="791"/>
      <c r="S4" s="791"/>
      <c r="T4" s="791"/>
      <c r="U4" s="791"/>
      <c r="V4" s="791"/>
      <c r="W4" s="791"/>
      <c r="X4" s="791"/>
      <c r="Y4" s="791"/>
      <c r="Z4" s="791"/>
      <c r="AA4" s="791"/>
      <c r="AB4" s="791"/>
      <c r="AC4" s="791"/>
      <c r="AD4" s="791"/>
      <c r="AE4" s="791"/>
      <c r="AF4" s="791"/>
      <c r="AG4" s="791"/>
      <c r="AH4" s="791"/>
    </row>
    <row r="5" spans="1:34" s="6" customFormat="1" ht="15" customHeight="1" thickBot="1">
      <c r="A5" s="48" t="s">
        <v>25</v>
      </c>
      <c r="B5" s="672"/>
      <c r="D5" s="6" t="s">
        <v>2</v>
      </c>
      <c r="R5" s="48" t="s">
        <v>25</v>
      </c>
      <c r="AE5" s="387" t="s">
        <v>1114</v>
      </c>
    </row>
    <row r="6" spans="1:34" s="7" customFormat="1" ht="15" customHeight="1">
      <c r="A6" s="668" t="s">
        <v>669</v>
      </c>
      <c r="B6" s="1578" t="s">
        <v>1440</v>
      </c>
      <c r="C6" s="1496"/>
      <c r="D6" s="1496"/>
      <c r="E6" s="1496"/>
      <c r="F6" s="1496"/>
      <c r="G6" s="1496"/>
      <c r="H6" s="1496"/>
      <c r="I6" s="1579"/>
      <c r="J6" s="1578" t="s">
        <v>1441</v>
      </c>
      <c r="K6" s="1496"/>
      <c r="L6" s="1496"/>
      <c r="M6" s="1496"/>
      <c r="N6" s="1496"/>
      <c r="O6" s="1496"/>
      <c r="P6" s="1496"/>
      <c r="Q6" s="1579"/>
      <c r="R6" s="1326" t="s">
        <v>670</v>
      </c>
      <c r="S6" s="1493"/>
      <c r="T6" s="1493"/>
      <c r="U6" s="1493"/>
      <c r="V6" s="1493"/>
      <c r="W6" s="1493"/>
      <c r="X6" s="1493"/>
      <c r="Y6" s="1327"/>
      <c r="Z6" s="1578" t="s">
        <v>1539</v>
      </c>
      <c r="AA6" s="1496"/>
      <c r="AB6" s="1496"/>
      <c r="AC6" s="1496"/>
      <c r="AD6" s="1496"/>
      <c r="AE6" s="1496"/>
    </row>
    <row r="7" spans="1:34" s="7" customFormat="1" ht="15" customHeight="1">
      <c r="A7" s="681"/>
      <c r="B7" s="1321" t="s">
        <v>675</v>
      </c>
      <c r="C7" s="1497"/>
      <c r="D7" s="1497"/>
      <c r="E7" s="1497"/>
      <c r="F7" s="1497"/>
      <c r="G7" s="1497"/>
      <c r="H7" s="1497"/>
      <c r="I7" s="1322"/>
      <c r="J7" s="1321" t="s">
        <v>1120</v>
      </c>
      <c r="K7" s="1497"/>
      <c r="L7" s="1497"/>
      <c r="M7" s="1497"/>
      <c r="N7" s="1497"/>
      <c r="O7" s="1497"/>
      <c r="P7" s="1497"/>
      <c r="Q7" s="1322"/>
      <c r="R7" s="1321" t="s">
        <v>1121</v>
      </c>
      <c r="S7" s="1497"/>
      <c r="T7" s="1497"/>
      <c r="U7" s="1497"/>
      <c r="V7" s="1497"/>
      <c r="W7" s="1497"/>
      <c r="X7" s="1497"/>
      <c r="Y7" s="1322"/>
      <c r="Z7" s="1321" t="s">
        <v>1122</v>
      </c>
      <c r="AA7" s="1497"/>
      <c r="AB7" s="1497"/>
      <c r="AC7" s="1497"/>
      <c r="AD7" s="1497"/>
      <c r="AE7" s="1497"/>
    </row>
    <row r="8" spans="1:34" s="7" customFormat="1" ht="15" customHeight="1">
      <c r="A8" s="681"/>
      <c r="B8" s="677" t="s">
        <v>671</v>
      </c>
      <c r="C8" s="1332" t="s">
        <v>676</v>
      </c>
      <c r="D8" s="1479"/>
      <c r="E8" s="1479"/>
      <c r="F8" s="1480"/>
      <c r="G8" s="1332" t="s">
        <v>677</v>
      </c>
      <c r="H8" s="1489"/>
      <c r="I8" s="1333"/>
      <c r="J8" s="677" t="s">
        <v>671</v>
      </c>
      <c r="K8" s="1332" t="s">
        <v>676</v>
      </c>
      <c r="L8" s="1479"/>
      <c r="M8" s="1479"/>
      <c r="N8" s="1480"/>
      <c r="O8" s="1332" t="s">
        <v>677</v>
      </c>
      <c r="P8" s="1489"/>
      <c r="Q8" s="1333"/>
      <c r="R8" s="677" t="s">
        <v>671</v>
      </c>
      <c r="S8" s="1332" t="s">
        <v>676</v>
      </c>
      <c r="T8" s="1479"/>
      <c r="U8" s="1479"/>
      <c r="V8" s="1480"/>
      <c r="W8" s="1332" t="s">
        <v>677</v>
      </c>
      <c r="X8" s="1489"/>
      <c r="Y8" s="1333"/>
      <c r="Z8" s="677" t="s">
        <v>1286</v>
      </c>
      <c r="AA8" s="1334" t="s">
        <v>1367</v>
      </c>
      <c r="AB8" s="1480"/>
      <c r="AC8" s="1332" t="s">
        <v>677</v>
      </c>
      <c r="AD8" s="1489"/>
      <c r="AE8" s="1489"/>
    </row>
    <row r="9" spans="1:34" s="7" customFormat="1" ht="15" customHeight="1">
      <c r="A9" s="681"/>
      <c r="B9" s="678"/>
      <c r="C9" s="1321" t="s">
        <v>1119</v>
      </c>
      <c r="D9" s="1497"/>
      <c r="E9" s="1497"/>
      <c r="F9" s="1322"/>
      <c r="G9" s="1328" t="s">
        <v>678</v>
      </c>
      <c r="H9" s="1324"/>
      <c r="I9" s="1325"/>
      <c r="J9" s="678"/>
      <c r="K9" s="1321" t="s">
        <v>1119</v>
      </c>
      <c r="L9" s="1497"/>
      <c r="M9" s="1497"/>
      <c r="N9" s="1322"/>
      <c r="O9" s="1328" t="s">
        <v>678</v>
      </c>
      <c r="P9" s="1324"/>
      <c r="Q9" s="1325"/>
      <c r="R9" s="678"/>
      <c r="S9" s="1321" t="s">
        <v>1119</v>
      </c>
      <c r="T9" s="1497"/>
      <c r="U9" s="1497"/>
      <c r="V9" s="1322"/>
      <c r="W9" s="1328" t="s">
        <v>678</v>
      </c>
      <c r="X9" s="1324"/>
      <c r="Y9" s="1325"/>
      <c r="Z9" s="678"/>
      <c r="AA9" s="570"/>
      <c r="AB9" s="527"/>
      <c r="AC9" s="1328" t="s">
        <v>678</v>
      </c>
      <c r="AD9" s="1324"/>
      <c r="AE9" s="1324"/>
    </row>
    <row r="10" spans="1:34" s="7" customFormat="1" ht="15" customHeight="1">
      <c r="A10" s="681"/>
      <c r="B10" s="509"/>
      <c r="C10" s="677" t="s">
        <v>672</v>
      </c>
      <c r="D10" s="670" t="s">
        <v>673</v>
      </c>
      <c r="E10" s="571"/>
      <c r="F10" s="572"/>
      <c r="G10" s="669"/>
      <c r="H10" s="679"/>
      <c r="I10" s="667"/>
      <c r="J10" s="509"/>
      <c r="K10" s="677" t="s">
        <v>672</v>
      </c>
      <c r="L10" s="670" t="s">
        <v>673</v>
      </c>
      <c r="M10" s="571"/>
      <c r="N10" s="572"/>
      <c r="O10" s="669"/>
      <c r="P10" s="679"/>
      <c r="Q10" s="667"/>
      <c r="R10" s="509"/>
      <c r="S10" s="677" t="s">
        <v>672</v>
      </c>
      <c r="T10" s="670" t="s">
        <v>673</v>
      </c>
      <c r="U10" s="571"/>
      <c r="V10" s="572"/>
      <c r="W10" s="669"/>
      <c r="X10" s="679"/>
      <c r="Y10" s="667"/>
      <c r="Z10" s="509"/>
      <c r="AA10" s="1490" t="s">
        <v>1287</v>
      </c>
      <c r="AB10" s="1333" t="s">
        <v>1288</v>
      </c>
      <c r="AC10" s="669"/>
      <c r="AD10" s="679"/>
      <c r="AE10" s="679"/>
    </row>
    <row r="11" spans="1:34" s="428" customFormat="1" ht="15" customHeight="1">
      <c r="A11" s="417"/>
      <c r="B11" s="432"/>
      <c r="C11" s="675"/>
      <c r="D11" s="675"/>
      <c r="E11" s="675" t="s">
        <v>55</v>
      </c>
      <c r="F11" s="675" t="s">
        <v>56</v>
      </c>
      <c r="G11" s="432"/>
      <c r="H11" s="675" t="s">
        <v>55</v>
      </c>
      <c r="I11" s="675" t="s">
        <v>56</v>
      </c>
      <c r="J11" s="432"/>
      <c r="K11" s="675"/>
      <c r="L11" s="675"/>
      <c r="M11" s="675" t="s">
        <v>55</v>
      </c>
      <c r="N11" s="675" t="s">
        <v>56</v>
      </c>
      <c r="O11" s="432"/>
      <c r="P11" s="675" t="s">
        <v>55</v>
      </c>
      <c r="Q11" s="675" t="s">
        <v>56</v>
      </c>
      <c r="R11" s="432"/>
      <c r="S11" s="675"/>
      <c r="T11" s="675"/>
      <c r="U11" s="675" t="s">
        <v>55</v>
      </c>
      <c r="V11" s="675" t="s">
        <v>56</v>
      </c>
      <c r="W11" s="432"/>
      <c r="X11" s="675" t="s">
        <v>55</v>
      </c>
      <c r="Y11" s="675" t="s">
        <v>56</v>
      </c>
      <c r="Z11" s="432" t="s">
        <v>398</v>
      </c>
      <c r="AA11" s="1491"/>
      <c r="AB11" s="1558"/>
      <c r="AC11" s="432"/>
      <c r="AD11" s="675" t="s">
        <v>55</v>
      </c>
      <c r="AE11" s="508" t="s">
        <v>56</v>
      </c>
    </row>
    <row r="12" spans="1:34" s="428" customFormat="1" ht="15" customHeight="1">
      <c r="A12" s="516" t="s">
        <v>667</v>
      </c>
      <c r="B12" s="443" t="s">
        <v>24</v>
      </c>
      <c r="C12" s="443" t="s">
        <v>1117</v>
      </c>
      <c r="D12" s="443" t="s">
        <v>1118</v>
      </c>
      <c r="E12" s="443" t="s">
        <v>307</v>
      </c>
      <c r="F12" s="443" t="s">
        <v>308</v>
      </c>
      <c r="G12" s="443"/>
      <c r="H12" s="443" t="s">
        <v>307</v>
      </c>
      <c r="I12" s="443" t="s">
        <v>308</v>
      </c>
      <c r="J12" s="443" t="s">
        <v>24</v>
      </c>
      <c r="K12" s="443" t="s">
        <v>1117</v>
      </c>
      <c r="L12" s="443" t="s">
        <v>1118</v>
      </c>
      <c r="M12" s="443" t="s">
        <v>307</v>
      </c>
      <c r="N12" s="443" t="s">
        <v>308</v>
      </c>
      <c r="O12" s="443"/>
      <c r="P12" s="443" t="s">
        <v>307</v>
      </c>
      <c r="Q12" s="443" t="s">
        <v>308</v>
      </c>
      <c r="R12" s="443" t="s">
        <v>24</v>
      </c>
      <c r="S12" s="443" t="s">
        <v>1117</v>
      </c>
      <c r="T12" s="443" t="s">
        <v>1118</v>
      </c>
      <c r="U12" s="443" t="s">
        <v>307</v>
      </c>
      <c r="V12" s="443" t="s">
        <v>308</v>
      </c>
      <c r="W12" s="443"/>
      <c r="X12" s="443" t="s">
        <v>307</v>
      </c>
      <c r="Y12" s="443" t="s">
        <v>308</v>
      </c>
      <c r="Z12" s="443" t="s">
        <v>1364</v>
      </c>
      <c r="AA12" s="443" t="s">
        <v>1365</v>
      </c>
      <c r="AB12" s="443" t="s">
        <v>1366</v>
      </c>
      <c r="AC12" s="443"/>
      <c r="AD12" s="443" t="s">
        <v>307</v>
      </c>
      <c r="AE12" s="683" t="s">
        <v>308</v>
      </c>
    </row>
    <row r="13" spans="1:34" ht="27" customHeight="1">
      <c r="A13" s="573">
        <v>2019</v>
      </c>
      <c r="B13" s="980">
        <v>3</v>
      </c>
      <c r="C13" s="512">
        <v>67</v>
      </c>
      <c r="D13" s="512">
        <v>50</v>
      </c>
      <c r="E13" s="512">
        <v>17</v>
      </c>
      <c r="F13" s="512">
        <v>33</v>
      </c>
      <c r="G13" s="512">
        <v>17</v>
      </c>
      <c r="H13" s="512">
        <v>5</v>
      </c>
      <c r="I13" s="512">
        <v>12</v>
      </c>
      <c r="J13" s="512">
        <v>1</v>
      </c>
      <c r="K13" s="512">
        <v>50</v>
      </c>
      <c r="L13" s="512">
        <v>38</v>
      </c>
      <c r="M13" s="512">
        <v>12</v>
      </c>
      <c r="N13" s="512">
        <v>26</v>
      </c>
      <c r="O13" s="512">
        <v>12</v>
      </c>
      <c r="P13" s="512">
        <v>3</v>
      </c>
      <c r="Q13" s="512">
        <v>9</v>
      </c>
      <c r="R13" s="512">
        <v>2</v>
      </c>
      <c r="S13" s="512">
        <v>17</v>
      </c>
      <c r="T13" s="512">
        <v>12</v>
      </c>
      <c r="U13" s="512">
        <v>5</v>
      </c>
      <c r="V13" s="512">
        <v>7</v>
      </c>
      <c r="W13" s="512">
        <v>5</v>
      </c>
      <c r="X13" s="512">
        <v>2</v>
      </c>
      <c r="Y13" s="512">
        <v>3</v>
      </c>
      <c r="Z13" s="512">
        <v>0</v>
      </c>
      <c r="AA13" s="512">
        <v>0</v>
      </c>
      <c r="AB13" s="512">
        <v>0</v>
      </c>
      <c r="AC13" s="512">
        <v>0</v>
      </c>
      <c r="AD13" s="512">
        <v>0</v>
      </c>
      <c r="AE13" s="512">
        <v>0</v>
      </c>
    </row>
    <row r="14" spans="1:34" ht="27" customHeight="1">
      <c r="A14" s="573">
        <v>2020</v>
      </c>
      <c r="B14" s="980">
        <v>3</v>
      </c>
      <c r="C14" s="512">
        <v>67</v>
      </c>
      <c r="D14" s="512">
        <v>51</v>
      </c>
      <c r="E14" s="512">
        <v>20</v>
      </c>
      <c r="F14" s="512">
        <v>31</v>
      </c>
      <c r="G14" s="512">
        <v>20</v>
      </c>
      <c r="H14" s="512">
        <v>6</v>
      </c>
      <c r="I14" s="512">
        <v>14</v>
      </c>
      <c r="J14" s="512">
        <v>1</v>
      </c>
      <c r="K14" s="512">
        <v>50</v>
      </c>
      <c r="L14" s="512">
        <v>41</v>
      </c>
      <c r="M14" s="512">
        <v>15</v>
      </c>
      <c r="N14" s="512">
        <v>26</v>
      </c>
      <c r="O14" s="512">
        <v>15</v>
      </c>
      <c r="P14" s="512">
        <v>4</v>
      </c>
      <c r="Q14" s="512">
        <v>11</v>
      </c>
      <c r="R14" s="512">
        <v>2</v>
      </c>
      <c r="S14" s="512">
        <v>17</v>
      </c>
      <c r="T14" s="512">
        <v>10</v>
      </c>
      <c r="U14" s="512">
        <v>5</v>
      </c>
      <c r="V14" s="512">
        <v>5</v>
      </c>
      <c r="W14" s="512">
        <v>5</v>
      </c>
      <c r="X14" s="512">
        <v>2</v>
      </c>
      <c r="Y14" s="512">
        <v>3</v>
      </c>
      <c r="Z14" s="512">
        <v>0</v>
      </c>
      <c r="AA14" s="512">
        <v>0</v>
      </c>
      <c r="AB14" s="512">
        <v>0</v>
      </c>
      <c r="AC14" s="512">
        <v>0</v>
      </c>
      <c r="AD14" s="512">
        <v>0</v>
      </c>
      <c r="AE14" s="512">
        <v>0</v>
      </c>
    </row>
    <row r="15" spans="1:34" ht="27" customHeight="1">
      <c r="A15" s="573">
        <v>2021</v>
      </c>
      <c r="B15" s="980">
        <v>3</v>
      </c>
      <c r="C15" s="512">
        <v>67</v>
      </c>
      <c r="D15" s="512">
        <v>51</v>
      </c>
      <c r="E15" s="512">
        <v>17</v>
      </c>
      <c r="F15" s="512">
        <v>34</v>
      </c>
      <c r="G15" s="512">
        <v>17</v>
      </c>
      <c r="H15" s="512">
        <v>5</v>
      </c>
      <c r="I15" s="512">
        <v>12</v>
      </c>
      <c r="J15" s="512">
        <v>1</v>
      </c>
      <c r="K15" s="512">
        <v>50</v>
      </c>
      <c r="L15" s="512">
        <v>38</v>
      </c>
      <c r="M15" s="512">
        <v>12</v>
      </c>
      <c r="N15" s="512">
        <v>26</v>
      </c>
      <c r="O15" s="512">
        <v>12</v>
      </c>
      <c r="P15" s="512">
        <v>3</v>
      </c>
      <c r="Q15" s="512">
        <v>9</v>
      </c>
      <c r="R15" s="512">
        <v>2</v>
      </c>
      <c r="S15" s="512">
        <v>17</v>
      </c>
      <c r="T15" s="512">
        <v>13</v>
      </c>
      <c r="U15" s="512">
        <v>5</v>
      </c>
      <c r="V15" s="512">
        <v>8</v>
      </c>
      <c r="W15" s="512">
        <v>5</v>
      </c>
      <c r="X15" s="512">
        <v>2</v>
      </c>
      <c r="Y15" s="512">
        <v>3</v>
      </c>
      <c r="Z15" s="512">
        <v>0</v>
      </c>
      <c r="AA15" s="512">
        <v>0</v>
      </c>
      <c r="AB15" s="512">
        <v>0</v>
      </c>
      <c r="AC15" s="512">
        <v>0</v>
      </c>
      <c r="AD15" s="512">
        <v>0</v>
      </c>
      <c r="AE15" s="512">
        <v>0</v>
      </c>
    </row>
    <row r="16" spans="1:34" ht="27" customHeight="1">
      <c r="A16" s="573">
        <v>2022</v>
      </c>
      <c r="B16" s="980">
        <v>3</v>
      </c>
      <c r="C16" s="512">
        <v>67</v>
      </c>
      <c r="D16" s="512">
        <v>47</v>
      </c>
      <c r="E16" s="512">
        <v>18</v>
      </c>
      <c r="F16" s="512">
        <v>29</v>
      </c>
      <c r="G16" s="512">
        <v>19</v>
      </c>
      <c r="H16" s="512">
        <v>6</v>
      </c>
      <c r="I16" s="512">
        <v>13</v>
      </c>
      <c r="J16" s="512">
        <v>1</v>
      </c>
      <c r="K16" s="512">
        <v>50</v>
      </c>
      <c r="L16" s="512">
        <v>40</v>
      </c>
      <c r="M16" s="512">
        <v>15</v>
      </c>
      <c r="N16" s="512">
        <v>25</v>
      </c>
      <c r="O16" s="512">
        <v>15</v>
      </c>
      <c r="P16" s="512">
        <v>4</v>
      </c>
      <c r="Q16" s="512">
        <v>11</v>
      </c>
      <c r="R16" s="512">
        <v>2</v>
      </c>
      <c r="S16" s="512">
        <v>17</v>
      </c>
      <c r="T16" s="512">
        <v>7</v>
      </c>
      <c r="U16" s="512">
        <v>3</v>
      </c>
      <c r="V16" s="512">
        <v>4</v>
      </c>
      <c r="W16" s="512">
        <v>4</v>
      </c>
      <c r="X16" s="512">
        <v>2</v>
      </c>
      <c r="Y16" s="512">
        <v>2</v>
      </c>
      <c r="Z16" s="512">
        <v>0</v>
      </c>
      <c r="AA16" s="512">
        <v>0</v>
      </c>
      <c r="AB16" s="512">
        <v>0</v>
      </c>
      <c r="AC16" s="512">
        <v>0</v>
      </c>
      <c r="AD16" s="512">
        <v>0</v>
      </c>
      <c r="AE16" s="512">
        <v>0</v>
      </c>
    </row>
    <row r="17" spans="1:31" ht="27" customHeight="1">
      <c r="A17" s="573">
        <v>2023</v>
      </c>
      <c r="B17" s="980">
        <v>2</v>
      </c>
      <c r="C17" s="512">
        <v>69</v>
      </c>
      <c r="D17" s="512">
        <v>45</v>
      </c>
      <c r="E17" s="512">
        <v>18</v>
      </c>
      <c r="F17" s="512">
        <v>27</v>
      </c>
      <c r="G17" s="512">
        <v>17</v>
      </c>
      <c r="H17" s="512">
        <v>5</v>
      </c>
      <c r="I17" s="512">
        <v>12</v>
      </c>
      <c r="J17" s="512">
        <v>1</v>
      </c>
      <c r="K17" s="512">
        <v>60</v>
      </c>
      <c r="L17" s="512">
        <v>42</v>
      </c>
      <c r="M17" s="512">
        <v>16</v>
      </c>
      <c r="N17" s="512">
        <v>26</v>
      </c>
      <c r="O17" s="512">
        <v>15</v>
      </c>
      <c r="P17" s="512">
        <v>4</v>
      </c>
      <c r="Q17" s="512">
        <v>11</v>
      </c>
      <c r="R17" s="512">
        <v>1</v>
      </c>
      <c r="S17" s="512">
        <v>9</v>
      </c>
      <c r="T17" s="512">
        <v>3</v>
      </c>
      <c r="U17" s="512">
        <v>2</v>
      </c>
      <c r="V17" s="512">
        <v>1</v>
      </c>
      <c r="W17" s="512">
        <v>2</v>
      </c>
      <c r="X17" s="512">
        <v>1</v>
      </c>
      <c r="Y17" s="512">
        <v>1</v>
      </c>
      <c r="Z17" s="512">
        <v>0</v>
      </c>
      <c r="AA17" s="512">
        <v>0</v>
      </c>
      <c r="AB17" s="512">
        <v>0</v>
      </c>
      <c r="AC17" s="512">
        <v>0</v>
      </c>
      <c r="AD17" s="512">
        <v>0</v>
      </c>
      <c r="AE17" s="512">
        <v>0</v>
      </c>
    </row>
    <row r="18" spans="1:31" s="520" customFormat="1" ht="21" customHeight="1">
      <c r="A18" s="574">
        <v>2024</v>
      </c>
      <c r="B18" s="1001">
        <f>SUM(J18,R18,Z18)</f>
        <v>2</v>
      </c>
      <c r="C18" s="841">
        <f t="shared" ref="C18:C43" si="0">SUM(K18,S18)</f>
        <v>59</v>
      </c>
      <c r="D18" s="841">
        <f t="shared" ref="D18:D43" si="1">E18+F18</f>
        <v>43</v>
      </c>
      <c r="E18" s="841">
        <f t="shared" ref="E18:F43" si="2">SUM(M18,U18)</f>
        <v>17</v>
      </c>
      <c r="F18" s="841">
        <f t="shared" si="2"/>
        <v>26</v>
      </c>
      <c r="G18" s="841">
        <f t="shared" ref="G18:I43" si="3">SUM(O18,W18,AC18)</f>
        <v>17</v>
      </c>
      <c r="H18" s="841">
        <f t="shared" si="3"/>
        <v>5</v>
      </c>
      <c r="I18" s="841">
        <f t="shared" si="3"/>
        <v>12</v>
      </c>
      <c r="J18" s="841">
        <f t="shared" ref="J18:AE18" si="4">SUM(J19:J43)</f>
        <v>1</v>
      </c>
      <c r="K18" s="841">
        <f t="shared" si="4"/>
        <v>50</v>
      </c>
      <c r="L18" s="841">
        <f t="shared" si="4"/>
        <v>40</v>
      </c>
      <c r="M18" s="841">
        <f t="shared" si="4"/>
        <v>15</v>
      </c>
      <c r="N18" s="841">
        <f t="shared" si="4"/>
        <v>25</v>
      </c>
      <c r="O18" s="841">
        <f t="shared" si="4"/>
        <v>15</v>
      </c>
      <c r="P18" s="841">
        <f t="shared" si="4"/>
        <v>4</v>
      </c>
      <c r="Q18" s="841">
        <f t="shared" si="4"/>
        <v>11</v>
      </c>
      <c r="R18" s="841">
        <f t="shared" si="4"/>
        <v>1</v>
      </c>
      <c r="S18" s="841">
        <f t="shared" si="4"/>
        <v>9</v>
      </c>
      <c r="T18" s="841">
        <f t="shared" si="4"/>
        <v>3</v>
      </c>
      <c r="U18" s="841">
        <f t="shared" si="4"/>
        <v>2</v>
      </c>
      <c r="V18" s="841">
        <f t="shared" si="4"/>
        <v>1</v>
      </c>
      <c r="W18" s="841">
        <f t="shared" si="4"/>
        <v>2</v>
      </c>
      <c r="X18" s="841">
        <f t="shared" si="4"/>
        <v>1</v>
      </c>
      <c r="Y18" s="841">
        <f t="shared" si="4"/>
        <v>1</v>
      </c>
      <c r="Z18" s="841">
        <f t="shared" si="4"/>
        <v>0</v>
      </c>
      <c r="AA18" s="841">
        <f t="shared" si="4"/>
        <v>0</v>
      </c>
      <c r="AB18" s="841">
        <f t="shared" si="4"/>
        <v>0</v>
      </c>
      <c r="AC18" s="841">
        <f t="shared" si="4"/>
        <v>0</v>
      </c>
      <c r="AD18" s="841">
        <f t="shared" si="4"/>
        <v>0</v>
      </c>
      <c r="AE18" s="841">
        <f t="shared" si="4"/>
        <v>0</v>
      </c>
    </row>
    <row r="19" spans="1:31">
      <c r="A19" s="575" t="s">
        <v>532</v>
      </c>
      <c r="B19" s="1002">
        <f t="shared" ref="B19:B43" si="5">J19+R19+Z19</f>
        <v>0</v>
      </c>
      <c r="C19" s="841">
        <f t="shared" si="0"/>
        <v>0</v>
      </c>
      <c r="D19" s="841">
        <f t="shared" si="1"/>
        <v>0</v>
      </c>
      <c r="E19" s="841">
        <f t="shared" si="2"/>
        <v>0</v>
      </c>
      <c r="F19" s="841">
        <f t="shared" si="2"/>
        <v>0</v>
      </c>
      <c r="G19" s="841">
        <f t="shared" si="3"/>
        <v>0</v>
      </c>
      <c r="H19" s="841">
        <f t="shared" si="3"/>
        <v>0</v>
      </c>
      <c r="I19" s="841">
        <f t="shared" si="3"/>
        <v>0</v>
      </c>
      <c r="J19" s="1003">
        <v>0</v>
      </c>
      <c r="K19" s="1003">
        <v>0</v>
      </c>
      <c r="L19" s="841">
        <f t="shared" ref="L19:L43" si="6">M19+N19</f>
        <v>0</v>
      </c>
      <c r="M19" s="1003">
        <v>0</v>
      </c>
      <c r="N19" s="1003">
        <v>0</v>
      </c>
      <c r="O19" s="841">
        <f t="shared" ref="O19:O43" si="7">P19+Q19</f>
        <v>0</v>
      </c>
      <c r="P19" s="1003">
        <v>0</v>
      </c>
      <c r="Q19" s="1003">
        <v>0</v>
      </c>
      <c r="R19" s="1003">
        <v>0</v>
      </c>
      <c r="S19" s="1003">
        <v>0</v>
      </c>
      <c r="T19" s="841">
        <f t="shared" ref="T19:T43" si="8">U19+V19</f>
        <v>0</v>
      </c>
      <c r="U19" s="1003">
        <v>0</v>
      </c>
      <c r="V19" s="1003">
        <v>0</v>
      </c>
      <c r="W19" s="841">
        <f>SUM(AC19,AK19,AS19)</f>
        <v>0</v>
      </c>
      <c r="X19" s="1003">
        <v>0</v>
      </c>
      <c r="Y19" s="1003">
        <v>0</v>
      </c>
      <c r="Z19" s="1003">
        <v>0</v>
      </c>
      <c r="AA19" s="1003">
        <v>0</v>
      </c>
      <c r="AB19" s="1003">
        <v>0</v>
      </c>
      <c r="AC19" s="841">
        <f t="shared" ref="AC19:AC43" si="9">AD19+AE19</f>
        <v>0</v>
      </c>
      <c r="AD19" s="1003">
        <v>0</v>
      </c>
      <c r="AE19" s="1003">
        <v>0</v>
      </c>
    </row>
    <row r="20" spans="1:31">
      <c r="A20" s="575" t="s">
        <v>533</v>
      </c>
      <c r="B20" s="1002">
        <f t="shared" si="5"/>
        <v>0</v>
      </c>
      <c r="C20" s="841">
        <f t="shared" si="0"/>
        <v>0</v>
      </c>
      <c r="D20" s="841">
        <f t="shared" si="1"/>
        <v>0</v>
      </c>
      <c r="E20" s="841">
        <f t="shared" si="2"/>
        <v>0</v>
      </c>
      <c r="F20" s="841">
        <f t="shared" si="2"/>
        <v>0</v>
      </c>
      <c r="G20" s="841">
        <f t="shared" si="3"/>
        <v>0</v>
      </c>
      <c r="H20" s="841">
        <f t="shared" si="3"/>
        <v>0</v>
      </c>
      <c r="I20" s="841">
        <f t="shared" si="3"/>
        <v>0</v>
      </c>
      <c r="J20" s="1003">
        <v>0</v>
      </c>
      <c r="K20" s="1003">
        <v>0</v>
      </c>
      <c r="L20" s="841">
        <f t="shared" si="6"/>
        <v>0</v>
      </c>
      <c r="M20" s="1003">
        <v>0</v>
      </c>
      <c r="N20" s="1003">
        <v>0</v>
      </c>
      <c r="O20" s="841">
        <f t="shared" si="7"/>
        <v>0</v>
      </c>
      <c r="P20" s="1003">
        <v>0</v>
      </c>
      <c r="Q20" s="1003">
        <v>0</v>
      </c>
      <c r="R20" s="1003">
        <v>0</v>
      </c>
      <c r="S20" s="1003">
        <v>0</v>
      </c>
      <c r="T20" s="841">
        <f t="shared" si="8"/>
        <v>0</v>
      </c>
      <c r="U20" s="1003">
        <v>0</v>
      </c>
      <c r="V20" s="1003">
        <v>0</v>
      </c>
      <c r="W20" s="841">
        <f>SUM(AC20,AK20,AS20)</f>
        <v>0</v>
      </c>
      <c r="X20" s="1003">
        <v>0</v>
      </c>
      <c r="Y20" s="1003">
        <v>0</v>
      </c>
      <c r="Z20" s="1003">
        <v>0</v>
      </c>
      <c r="AA20" s="1003">
        <v>0</v>
      </c>
      <c r="AB20" s="1003">
        <v>0</v>
      </c>
      <c r="AC20" s="841">
        <f t="shared" si="9"/>
        <v>0</v>
      </c>
      <c r="AD20" s="1003">
        <v>0</v>
      </c>
      <c r="AE20" s="1003">
        <v>0</v>
      </c>
    </row>
    <row r="21" spans="1:31">
      <c r="A21" s="575" t="s">
        <v>534</v>
      </c>
      <c r="B21" s="1002">
        <f t="shared" si="5"/>
        <v>0</v>
      </c>
      <c r="C21" s="841">
        <f t="shared" si="0"/>
        <v>0</v>
      </c>
      <c r="D21" s="841">
        <f t="shared" si="1"/>
        <v>0</v>
      </c>
      <c r="E21" s="841">
        <f t="shared" si="2"/>
        <v>0</v>
      </c>
      <c r="F21" s="841">
        <f t="shared" si="2"/>
        <v>0</v>
      </c>
      <c r="G21" s="841">
        <f t="shared" si="3"/>
        <v>0</v>
      </c>
      <c r="H21" s="841">
        <f t="shared" si="3"/>
        <v>0</v>
      </c>
      <c r="I21" s="841">
        <f t="shared" si="3"/>
        <v>0</v>
      </c>
      <c r="J21" s="1003">
        <v>0</v>
      </c>
      <c r="K21" s="1003">
        <v>0</v>
      </c>
      <c r="L21" s="841">
        <f t="shared" si="6"/>
        <v>0</v>
      </c>
      <c r="M21" s="1003">
        <v>0</v>
      </c>
      <c r="N21" s="1003">
        <v>0</v>
      </c>
      <c r="O21" s="841">
        <f t="shared" si="7"/>
        <v>0</v>
      </c>
      <c r="P21" s="1003">
        <v>0</v>
      </c>
      <c r="Q21" s="1003">
        <v>0</v>
      </c>
      <c r="R21" s="1003">
        <v>0</v>
      </c>
      <c r="S21" s="1003">
        <v>0</v>
      </c>
      <c r="T21" s="841">
        <f t="shared" si="8"/>
        <v>0</v>
      </c>
      <c r="U21" s="1003">
        <v>0</v>
      </c>
      <c r="V21" s="1003">
        <v>0</v>
      </c>
      <c r="W21" s="841">
        <f>SUM(AC21,AK21,AS21)</f>
        <v>0</v>
      </c>
      <c r="X21" s="1003">
        <v>0</v>
      </c>
      <c r="Y21" s="1003">
        <v>0</v>
      </c>
      <c r="Z21" s="1003">
        <v>0</v>
      </c>
      <c r="AA21" s="1003">
        <v>0</v>
      </c>
      <c r="AB21" s="1003">
        <v>0</v>
      </c>
      <c r="AC21" s="841">
        <f t="shared" si="9"/>
        <v>0</v>
      </c>
      <c r="AD21" s="1003">
        <v>0</v>
      </c>
      <c r="AE21" s="1003">
        <v>0</v>
      </c>
    </row>
    <row r="22" spans="1:31">
      <c r="A22" s="575" t="s">
        <v>535</v>
      </c>
      <c r="B22" s="1002">
        <f t="shared" si="5"/>
        <v>0</v>
      </c>
      <c r="C22" s="841">
        <f t="shared" si="0"/>
        <v>0</v>
      </c>
      <c r="D22" s="841">
        <f t="shared" si="1"/>
        <v>0</v>
      </c>
      <c r="E22" s="841">
        <f t="shared" si="2"/>
        <v>0</v>
      </c>
      <c r="F22" s="841">
        <f t="shared" si="2"/>
        <v>0</v>
      </c>
      <c r="G22" s="841">
        <f t="shared" si="3"/>
        <v>0</v>
      </c>
      <c r="H22" s="841">
        <f t="shared" si="3"/>
        <v>0</v>
      </c>
      <c r="I22" s="841">
        <f t="shared" si="3"/>
        <v>0</v>
      </c>
      <c r="J22" s="1003">
        <v>0</v>
      </c>
      <c r="K22" s="1003">
        <v>0</v>
      </c>
      <c r="L22" s="841">
        <f t="shared" si="6"/>
        <v>0</v>
      </c>
      <c r="M22" s="1003">
        <v>0</v>
      </c>
      <c r="N22" s="1003">
        <v>0</v>
      </c>
      <c r="O22" s="841">
        <f t="shared" si="7"/>
        <v>0</v>
      </c>
      <c r="P22" s="1003">
        <v>0</v>
      </c>
      <c r="Q22" s="1003">
        <v>0</v>
      </c>
      <c r="R22" s="1003">
        <v>0</v>
      </c>
      <c r="S22" s="1003">
        <v>0</v>
      </c>
      <c r="T22" s="841">
        <f t="shared" si="8"/>
        <v>0</v>
      </c>
      <c r="U22" s="1003">
        <v>0</v>
      </c>
      <c r="V22" s="1003">
        <v>0</v>
      </c>
      <c r="W22" s="841">
        <f>SUM(AC22,AK22,AS22)</f>
        <v>0</v>
      </c>
      <c r="X22" s="1003">
        <v>0</v>
      </c>
      <c r="Y22" s="1003">
        <v>0</v>
      </c>
      <c r="Z22" s="1003">
        <v>0</v>
      </c>
      <c r="AA22" s="1003">
        <v>0</v>
      </c>
      <c r="AB22" s="1003">
        <v>0</v>
      </c>
      <c r="AC22" s="841">
        <f t="shared" si="9"/>
        <v>0</v>
      </c>
      <c r="AD22" s="1003">
        <v>0</v>
      </c>
      <c r="AE22" s="1003">
        <v>0</v>
      </c>
    </row>
    <row r="23" spans="1:31">
      <c r="A23" s="575" t="s">
        <v>536</v>
      </c>
      <c r="B23" s="1002">
        <f t="shared" si="5"/>
        <v>0</v>
      </c>
      <c r="C23" s="841">
        <f t="shared" si="0"/>
        <v>0</v>
      </c>
      <c r="D23" s="841">
        <f t="shared" si="1"/>
        <v>0</v>
      </c>
      <c r="E23" s="841">
        <f t="shared" si="2"/>
        <v>0</v>
      </c>
      <c r="F23" s="841">
        <f t="shared" si="2"/>
        <v>0</v>
      </c>
      <c r="G23" s="841">
        <f t="shared" si="3"/>
        <v>0</v>
      </c>
      <c r="H23" s="841">
        <f t="shared" si="3"/>
        <v>0</v>
      </c>
      <c r="I23" s="841">
        <f t="shared" si="3"/>
        <v>0</v>
      </c>
      <c r="J23" s="1003">
        <v>0</v>
      </c>
      <c r="K23" s="1003">
        <v>0</v>
      </c>
      <c r="L23" s="841">
        <f t="shared" si="6"/>
        <v>0</v>
      </c>
      <c r="M23" s="1003">
        <v>0</v>
      </c>
      <c r="N23" s="1003">
        <v>0</v>
      </c>
      <c r="O23" s="841">
        <f t="shared" si="7"/>
        <v>0</v>
      </c>
      <c r="P23" s="1003">
        <v>0</v>
      </c>
      <c r="Q23" s="1003">
        <v>0</v>
      </c>
      <c r="R23" s="1003">
        <v>0</v>
      </c>
      <c r="S23" s="1003">
        <v>0</v>
      </c>
      <c r="T23" s="841">
        <f t="shared" si="8"/>
        <v>0</v>
      </c>
      <c r="U23" s="1003">
        <v>0</v>
      </c>
      <c r="V23" s="1003">
        <v>0</v>
      </c>
      <c r="W23" s="841">
        <f>SUM(AC23,AK23,AS23)</f>
        <v>0</v>
      </c>
      <c r="X23" s="1003">
        <v>0</v>
      </c>
      <c r="Y23" s="1003">
        <v>0</v>
      </c>
      <c r="Z23" s="1003">
        <v>0</v>
      </c>
      <c r="AA23" s="1003">
        <v>0</v>
      </c>
      <c r="AB23" s="1003">
        <v>0</v>
      </c>
      <c r="AC23" s="841">
        <f t="shared" si="9"/>
        <v>0</v>
      </c>
      <c r="AD23" s="1003">
        <v>0</v>
      </c>
      <c r="AE23" s="1003">
        <v>0</v>
      </c>
    </row>
    <row r="24" spans="1:31">
      <c r="A24" s="575" t="s">
        <v>537</v>
      </c>
      <c r="B24" s="1002">
        <f t="shared" si="5"/>
        <v>1</v>
      </c>
      <c r="C24" s="841">
        <f t="shared" si="0"/>
        <v>9</v>
      </c>
      <c r="D24" s="841">
        <f t="shared" si="1"/>
        <v>3</v>
      </c>
      <c r="E24" s="841">
        <f t="shared" si="2"/>
        <v>2</v>
      </c>
      <c r="F24" s="841">
        <f t="shared" si="2"/>
        <v>1</v>
      </c>
      <c r="G24" s="843">
        <f t="shared" si="3"/>
        <v>2</v>
      </c>
      <c r="H24" s="843">
        <f t="shared" si="3"/>
        <v>1</v>
      </c>
      <c r="I24" s="843">
        <f t="shared" si="3"/>
        <v>1</v>
      </c>
      <c r="J24" s="1003">
        <v>0</v>
      </c>
      <c r="K24" s="1003">
        <v>0</v>
      </c>
      <c r="L24" s="841">
        <f t="shared" si="6"/>
        <v>0</v>
      </c>
      <c r="M24" s="512">
        <v>0</v>
      </c>
      <c r="N24" s="512">
        <v>0</v>
      </c>
      <c r="O24" s="841">
        <f t="shared" si="7"/>
        <v>0</v>
      </c>
      <c r="P24" s="512">
        <v>0</v>
      </c>
      <c r="Q24" s="512">
        <v>0</v>
      </c>
      <c r="R24" s="512">
        <v>1</v>
      </c>
      <c r="S24" s="512">
        <v>9</v>
      </c>
      <c r="T24" s="841">
        <f t="shared" si="8"/>
        <v>3</v>
      </c>
      <c r="U24" s="512">
        <v>2</v>
      </c>
      <c r="V24" s="512">
        <v>1</v>
      </c>
      <c r="W24" s="841">
        <f>X24+Y24</f>
        <v>2</v>
      </c>
      <c r="X24" s="512">
        <v>1</v>
      </c>
      <c r="Y24" s="512">
        <v>1</v>
      </c>
      <c r="Z24" s="1003">
        <v>0</v>
      </c>
      <c r="AA24" s="512">
        <v>0</v>
      </c>
      <c r="AB24" s="512">
        <v>0</v>
      </c>
      <c r="AC24" s="841">
        <f t="shared" si="9"/>
        <v>0</v>
      </c>
      <c r="AD24" s="512">
        <v>0</v>
      </c>
      <c r="AE24" s="1003">
        <v>0</v>
      </c>
    </row>
    <row r="25" spans="1:31">
      <c r="A25" s="575" t="s">
        <v>538</v>
      </c>
      <c r="B25" s="1002">
        <f t="shared" si="5"/>
        <v>0</v>
      </c>
      <c r="C25" s="841">
        <f t="shared" si="0"/>
        <v>0</v>
      </c>
      <c r="D25" s="841">
        <f t="shared" si="1"/>
        <v>0</v>
      </c>
      <c r="E25" s="841">
        <f t="shared" si="2"/>
        <v>0</v>
      </c>
      <c r="F25" s="841">
        <f t="shared" si="2"/>
        <v>0</v>
      </c>
      <c r="G25" s="843">
        <f t="shared" si="3"/>
        <v>0</v>
      </c>
      <c r="H25" s="843">
        <f t="shared" si="3"/>
        <v>0</v>
      </c>
      <c r="I25" s="843">
        <f t="shared" si="3"/>
        <v>0</v>
      </c>
      <c r="J25" s="1003">
        <v>0</v>
      </c>
      <c r="K25" s="1003">
        <v>0</v>
      </c>
      <c r="L25" s="841">
        <f t="shared" si="6"/>
        <v>0</v>
      </c>
      <c r="M25" s="512">
        <v>0</v>
      </c>
      <c r="N25" s="512">
        <v>0</v>
      </c>
      <c r="O25" s="841">
        <f t="shared" si="7"/>
        <v>0</v>
      </c>
      <c r="P25" s="512">
        <v>0</v>
      </c>
      <c r="Q25" s="512">
        <v>0</v>
      </c>
      <c r="R25" s="1003">
        <v>0</v>
      </c>
      <c r="S25" s="1003">
        <v>0</v>
      </c>
      <c r="T25" s="841">
        <f t="shared" si="8"/>
        <v>0</v>
      </c>
      <c r="U25" s="1003">
        <v>0</v>
      </c>
      <c r="V25" s="1003">
        <v>0</v>
      </c>
      <c r="W25" s="841">
        <f t="shared" ref="W25:W43" si="10">SUM(AC25,AK25,AS25)</f>
        <v>0</v>
      </c>
      <c r="X25" s="1003">
        <v>0</v>
      </c>
      <c r="Y25" s="1003">
        <v>0</v>
      </c>
      <c r="Z25" s="1003">
        <v>0</v>
      </c>
      <c r="AA25" s="1003">
        <v>0</v>
      </c>
      <c r="AB25" s="1003">
        <v>0</v>
      </c>
      <c r="AC25" s="841">
        <f t="shared" si="9"/>
        <v>0</v>
      </c>
      <c r="AD25" s="1003">
        <v>0</v>
      </c>
      <c r="AE25" s="1003">
        <v>0</v>
      </c>
    </row>
    <row r="26" spans="1:31">
      <c r="A26" s="575" t="s">
        <v>539</v>
      </c>
      <c r="B26" s="1002">
        <f t="shared" si="5"/>
        <v>0</v>
      </c>
      <c r="C26" s="841">
        <f t="shared" si="0"/>
        <v>0</v>
      </c>
      <c r="D26" s="841">
        <f t="shared" si="1"/>
        <v>0</v>
      </c>
      <c r="E26" s="841">
        <f t="shared" si="2"/>
        <v>0</v>
      </c>
      <c r="F26" s="841">
        <f t="shared" si="2"/>
        <v>0</v>
      </c>
      <c r="G26" s="843">
        <f t="shared" si="3"/>
        <v>0</v>
      </c>
      <c r="H26" s="843">
        <f t="shared" si="3"/>
        <v>0</v>
      </c>
      <c r="I26" s="843">
        <f t="shared" si="3"/>
        <v>0</v>
      </c>
      <c r="J26" s="1003">
        <v>0</v>
      </c>
      <c r="K26" s="1003">
        <v>0</v>
      </c>
      <c r="L26" s="841">
        <f t="shared" si="6"/>
        <v>0</v>
      </c>
      <c r="M26" s="512">
        <v>0</v>
      </c>
      <c r="N26" s="512">
        <v>0</v>
      </c>
      <c r="O26" s="841">
        <f t="shared" si="7"/>
        <v>0</v>
      </c>
      <c r="P26" s="512">
        <v>0</v>
      </c>
      <c r="Q26" s="512">
        <v>0</v>
      </c>
      <c r="R26" s="1003">
        <v>0</v>
      </c>
      <c r="S26" s="1003">
        <v>0</v>
      </c>
      <c r="T26" s="841">
        <f t="shared" si="8"/>
        <v>0</v>
      </c>
      <c r="U26" s="1003">
        <v>0</v>
      </c>
      <c r="V26" s="1003">
        <v>0</v>
      </c>
      <c r="W26" s="841">
        <f t="shared" si="10"/>
        <v>0</v>
      </c>
      <c r="X26" s="1003">
        <v>0</v>
      </c>
      <c r="Y26" s="1003">
        <v>0</v>
      </c>
      <c r="Z26" s="1003">
        <v>0</v>
      </c>
      <c r="AA26" s="1003">
        <v>0</v>
      </c>
      <c r="AB26" s="1003">
        <v>0</v>
      </c>
      <c r="AC26" s="841">
        <f t="shared" si="9"/>
        <v>0</v>
      </c>
      <c r="AD26" s="1003">
        <v>0</v>
      </c>
      <c r="AE26" s="1003">
        <v>0</v>
      </c>
    </row>
    <row r="27" spans="1:31">
      <c r="A27" s="575" t="s">
        <v>540</v>
      </c>
      <c r="B27" s="1002">
        <f t="shared" si="5"/>
        <v>0</v>
      </c>
      <c r="C27" s="841">
        <f t="shared" si="0"/>
        <v>0</v>
      </c>
      <c r="D27" s="841">
        <f t="shared" si="1"/>
        <v>0</v>
      </c>
      <c r="E27" s="841">
        <f t="shared" si="2"/>
        <v>0</v>
      </c>
      <c r="F27" s="841">
        <f t="shared" si="2"/>
        <v>0</v>
      </c>
      <c r="G27" s="843">
        <f t="shared" si="3"/>
        <v>0</v>
      </c>
      <c r="H27" s="843">
        <f t="shared" si="3"/>
        <v>0</v>
      </c>
      <c r="I27" s="843">
        <f t="shared" si="3"/>
        <v>0</v>
      </c>
      <c r="J27" s="1003">
        <v>0</v>
      </c>
      <c r="K27" s="1003">
        <v>0</v>
      </c>
      <c r="L27" s="841">
        <f t="shared" si="6"/>
        <v>0</v>
      </c>
      <c r="M27" s="512">
        <v>0</v>
      </c>
      <c r="N27" s="512">
        <v>0</v>
      </c>
      <c r="O27" s="841">
        <f t="shared" si="7"/>
        <v>0</v>
      </c>
      <c r="P27" s="512">
        <v>0</v>
      </c>
      <c r="Q27" s="512">
        <v>0</v>
      </c>
      <c r="R27" s="512">
        <v>0</v>
      </c>
      <c r="S27" s="512">
        <v>0</v>
      </c>
      <c r="T27" s="841">
        <f t="shared" si="8"/>
        <v>0</v>
      </c>
      <c r="U27" s="512">
        <v>0</v>
      </c>
      <c r="V27" s="512">
        <v>0</v>
      </c>
      <c r="W27" s="841">
        <f t="shared" si="10"/>
        <v>0</v>
      </c>
      <c r="X27" s="512">
        <v>0</v>
      </c>
      <c r="Y27" s="512">
        <v>0</v>
      </c>
      <c r="Z27" s="1003">
        <v>0</v>
      </c>
      <c r="AA27" s="512">
        <v>0</v>
      </c>
      <c r="AB27" s="512">
        <v>0</v>
      </c>
      <c r="AC27" s="841">
        <f t="shared" si="9"/>
        <v>0</v>
      </c>
      <c r="AD27" s="1003">
        <v>0</v>
      </c>
      <c r="AE27" s="1003">
        <v>0</v>
      </c>
    </row>
    <row r="28" spans="1:31">
      <c r="A28" s="575" t="s">
        <v>541</v>
      </c>
      <c r="B28" s="1002">
        <f t="shared" si="5"/>
        <v>0</v>
      </c>
      <c r="C28" s="841">
        <f t="shared" si="0"/>
        <v>0</v>
      </c>
      <c r="D28" s="841">
        <f t="shared" si="1"/>
        <v>0</v>
      </c>
      <c r="E28" s="841">
        <f t="shared" si="2"/>
        <v>0</v>
      </c>
      <c r="F28" s="841">
        <f t="shared" si="2"/>
        <v>0</v>
      </c>
      <c r="G28" s="843">
        <f t="shared" si="3"/>
        <v>0</v>
      </c>
      <c r="H28" s="843">
        <f t="shared" si="3"/>
        <v>0</v>
      </c>
      <c r="I28" s="843">
        <f t="shared" si="3"/>
        <v>0</v>
      </c>
      <c r="J28" s="1003">
        <v>0</v>
      </c>
      <c r="K28" s="1003">
        <v>0</v>
      </c>
      <c r="L28" s="841">
        <f t="shared" si="6"/>
        <v>0</v>
      </c>
      <c r="M28" s="512">
        <v>0</v>
      </c>
      <c r="N28" s="512">
        <v>0</v>
      </c>
      <c r="O28" s="841">
        <f t="shared" si="7"/>
        <v>0</v>
      </c>
      <c r="P28" s="512">
        <v>0</v>
      </c>
      <c r="Q28" s="512">
        <v>0</v>
      </c>
      <c r="R28" s="1003">
        <v>0</v>
      </c>
      <c r="S28" s="1003">
        <v>0</v>
      </c>
      <c r="T28" s="841">
        <f t="shared" si="8"/>
        <v>0</v>
      </c>
      <c r="U28" s="1003">
        <v>0</v>
      </c>
      <c r="V28" s="1003">
        <v>0</v>
      </c>
      <c r="W28" s="841">
        <f t="shared" si="10"/>
        <v>0</v>
      </c>
      <c r="X28" s="1003">
        <v>0</v>
      </c>
      <c r="Y28" s="1003">
        <v>0</v>
      </c>
      <c r="Z28" s="1003">
        <v>0</v>
      </c>
      <c r="AA28" s="1003">
        <v>0</v>
      </c>
      <c r="AB28" s="1003">
        <v>0</v>
      </c>
      <c r="AC28" s="841">
        <f t="shared" si="9"/>
        <v>0</v>
      </c>
      <c r="AD28" s="1003">
        <v>0</v>
      </c>
      <c r="AE28" s="1003">
        <v>0</v>
      </c>
    </row>
    <row r="29" spans="1:31">
      <c r="A29" s="575" t="s">
        <v>542</v>
      </c>
      <c r="B29" s="1002">
        <f t="shared" si="5"/>
        <v>0</v>
      </c>
      <c r="C29" s="841">
        <f t="shared" si="0"/>
        <v>0</v>
      </c>
      <c r="D29" s="841">
        <f t="shared" si="1"/>
        <v>0</v>
      </c>
      <c r="E29" s="841">
        <f t="shared" si="2"/>
        <v>0</v>
      </c>
      <c r="F29" s="841">
        <f t="shared" si="2"/>
        <v>0</v>
      </c>
      <c r="G29" s="843">
        <f t="shared" si="3"/>
        <v>0</v>
      </c>
      <c r="H29" s="843">
        <f t="shared" si="3"/>
        <v>0</v>
      </c>
      <c r="I29" s="843">
        <f t="shared" si="3"/>
        <v>0</v>
      </c>
      <c r="J29" s="1003">
        <v>0</v>
      </c>
      <c r="K29" s="512">
        <v>0</v>
      </c>
      <c r="L29" s="841">
        <f t="shared" si="6"/>
        <v>0</v>
      </c>
      <c r="M29" s="512">
        <v>0</v>
      </c>
      <c r="N29" s="512">
        <v>0</v>
      </c>
      <c r="O29" s="841">
        <f t="shared" si="7"/>
        <v>0</v>
      </c>
      <c r="P29" s="512">
        <v>0</v>
      </c>
      <c r="Q29" s="512">
        <v>0</v>
      </c>
      <c r="R29" s="1003">
        <v>0</v>
      </c>
      <c r="S29" s="1003">
        <v>0</v>
      </c>
      <c r="T29" s="841">
        <f t="shared" si="8"/>
        <v>0</v>
      </c>
      <c r="U29" s="1003">
        <v>0</v>
      </c>
      <c r="V29" s="1003">
        <v>0</v>
      </c>
      <c r="W29" s="841">
        <f t="shared" si="10"/>
        <v>0</v>
      </c>
      <c r="X29" s="1003">
        <v>0</v>
      </c>
      <c r="Y29" s="1003">
        <v>0</v>
      </c>
      <c r="Z29" s="1003">
        <v>0</v>
      </c>
      <c r="AA29" s="1003">
        <v>0</v>
      </c>
      <c r="AB29" s="1003">
        <v>0</v>
      </c>
      <c r="AC29" s="841">
        <f t="shared" si="9"/>
        <v>0</v>
      </c>
      <c r="AD29" s="1003">
        <v>0</v>
      </c>
      <c r="AE29" s="1003">
        <v>0</v>
      </c>
    </row>
    <row r="30" spans="1:31">
      <c r="A30" s="575" t="s">
        <v>543</v>
      </c>
      <c r="B30" s="1002">
        <f t="shared" si="5"/>
        <v>0</v>
      </c>
      <c r="C30" s="841">
        <f t="shared" si="0"/>
        <v>0</v>
      </c>
      <c r="D30" s="841">
        <f t="shared" si="1"/>
        <v>0</v>
      </c>
      <c r="E30" s="841">
        <f t="shared" si="2"/>
        <v>0</v>
      </c>
      <c r="F30" s="841">
        <f t="shared" si="2"/>
        <v>0</v>
      </c>
      <c r="G30" s="843">
        <f t="shared" si="3"/>
        <v>0</v>
      </c>
      <c r="H30" s="843">
        <f t="shared" si="3"/>
        <v>0</v>
      </c>
      <c r="I30" s="843">
        <f t="shared" si="3"/>
        <v>0</v>
      </c>
      <c r="J30" s="1003">
        <v>0</v>
      </c>
      <c r="K30" s="512">
        <v>0</v>
      </c>
      <c r="L30" s="841">
        <f t="shared" si="6"/>
        <v>0</v>
      </c>
      <c r="M30" s="512">
        <v>0</v>
      </c>
      <c r="N30" s="512">
        <v>0</v>
      </c>
      <c r="O30" s="841">
        <f t="shared" si="7"/>
        <v>0</v>
      </c>
      <c r="P30" s="512">
        <v>0</v>
      </c>
      <c r="Q30" s="512">
        <v>0</v>
      </c>
      <c r="R30" s="1003">
        <v>0</v>
      </c>
      <c r="S30" s="1003">
        <v>0</v>
      </c>
      <c r="T30" s="841">
        <f t="shared" si="8"/>
        <v>0</v>
      </c>
      <c r="U30" s="1003">
        <v>0</v>
      </c>
      <c r="V30" s="1003">
        <v>0</v>
      </c>
      <c r="W30" s="841">
        <f t="shared" si="10"/>
        <v>0</v>
      </c>
      <c r="X30" s="1003">
        <v>0</v>
      </c>
      <c r="Y30" s="1003">
        <v>0</v>
      </c>
      <c r="Z30" s="1003">
        <v>0</v>
      </c>
      <c r="AA30" s="1003">
        <v>0</v>
      </c>
      <c r="AB30" s="1003">
        <v>0</v>
      </c>
      <c r="AC30" s="841">
        <f t="shared" si="9"/>
        <v>0</v>
      </c>
      <c r="AD30" s="1003">
        <v>0</v>
      </c>
      <c r="AE30" s="1003">
        <v>0</v>
      </c>
    </row>
    <row r="31" spans="1:31">
      <c r="A31" s="575" t="s">
        <v>544</v>
      </c>
      <c r="B31" s="1002">
        <f t="shared" si="5"/>
        <v>0</v>
      </c>
      <c r="C31" s="841">
        <f t="shared" si="0"/>
        <v>0</v>
      </c>
      <c r="D31" s="841">
        <f t="shared" si="1"/>
        <v>0</v>
      </c>
      <c r="E31" s="841">
        <f t="shared" si="2"/>
        <v>0</v>
      </c>
      <c r="F31" s="841">
        <f t="shared" si="2"/>
        <v>0</v>
      </c>
      <c r="G31" s="843">
        <f t="shared" si="3"/>
        <v>0</v>
      </c>
      <c r="H31" s="843">
        <f t="shared" si="3"/>
        <v>0</v>
      </c>
      <c r="I31" s="843">
        <f t="shared" si="3"/>
        <v>0</v>
      </c>
      <c r="J31" s="1003">
        <v>0</v>
      </c>
      <c r="K31" s="512">
        <v>0</v>
      </c>
      <c r="L31" s="841">
        <f t="shared" si="6"/>
        <v>0</v>
      </c>
      <c r="M31" s="512">
        <v>0</v>
      </c>
      <c r="N31" s="512">
        <v>0</v>
      </c>
      <c r="O31" s="841">
        <f t="shared" si="7"/>
        <v>0</v>
      </c>
      <c r="P31" s="512">
        <v>0</v>
      </c>
      <c r="Q31" s="512">
        <v>0</v>
      </c>
      <c r="R31" s="1003">
        <v>0</v>
      </c>
      <c r="S31" s="1003">
        <v>0</v>
      </c>
      <c r="T31" s="841">
        <f t="shared" si="8"/>
        <v>0</v>
      </c>
      <c r="U31" s="1003">
        <v>0</v>
      </c>
      <c r="V31" s="1003">
        <v>0</v>
      </c>
      <c r="W31" s="841">
        <f t="shared" si="10"/>
        <v>0</v>
      </c>
      <c r="X31" s="1003">
        <v>0</v>
      </c>
      <c r="Y31" s="1003">
        <v>0</v>
      </c>
      <c r="Z31" s="1003">
        <v>0</v>
      </c>
      <c r="AA31" s="1003">
        <v>0</v>
      </c>
      <c r="AB31" s="1003">
        <v>0</v>
      </c>
      <c r="AC31" s="841">
        <f t="shared" si="9"/>
        <v>0</v>
      </c>
      <c r="AD31" s="1003">
        <v>0</v>
      </c>
      <c r="AE31" s="1003">
        <v>0</v>
      </c>
    </row>
    <row r="32" spans="1:31">
      <c r="A32" s="575" t="s">
        <v>545</v>
      </c>
      <c r="B32" s="1002">
        <f t="shared" si="5"/>
        <v>0</v>
      </c>
      <c r="C32" s="841">
        <f t="shared" si="0"/>
        <v>0</v>
      </c>
      <c r="D32" s="841">
        <f t="shared" si="1"/>
        <v>0</v>
      </c>
      <c r="E32" s="841">
        <f t="shared" si="2"/>
        <v>0</v>
      </c>
      <c r="F32" s="841">
        <f t="shared" si="2"/>
        <v>0</v>
      </c>
      <c r="G32" s="843">
        <f t="shared" si="3"/>
        <v>0</v>
      </c>
      <c r="H32" s="843">
        <f t="shared" si="3"/>
        <v>0</v>
      </c>
      <c r="I32" s="843">
        <f t="shared" si="3"/>
        <v>0</v>
      </c>
      <c r="J32" s="1003">
        <v>0</v>
      </c>
      <c r="K32" s="512">
        <v>0</v>
      </c>
      <c r="L32" s="841">
        <f t="shared" si="6"/>
        <v>0</v>
      </c>
      <c r="M32" s="512">
        <v>0</v>
      </c>
      <c r="N32" s="512">
        <v>0</v>
      </c>
      <c r="O32" s="841">
        <f t="shared" si="7"/>
        <v>0</v>
      </c>
      <c r="P32" s="512">
        <v>0</v>
      </c>
      <c r="Q32" s="512">
        <v>0</v>
      </c>
      <c r="R32" s="1003">
        <v>0</v>
      </c>
      <c r="S32" s="1003">
        <v>0</v>
      </c>
      <c r="T32" s="841">
        <f t="shared" si="8"/>
        <v>0</v>
      </c>
      <c r="U32" s="1003">
        <v>0</v>
      </c>
      <c r="V32" s="1003">
        <v>0</v>
      </c>
      <c r="W32" s="841">
        <f t="shared" si="10"/>
        <v>0</v>
      </c>
      <c r="X32" s="1003">
        <v>0</v>
      </c>
      <c r="Y32" s="1003">
        <v>0</v>
      </c>
      <c r="Z32" s="1003">
        <v>0</v>
      </c>
      <c r="AA32" s="1003">
        <v>0</v>
      </c>
      <c r="AB32" s="1003">
        <v>0</v>
      </c>
      <c r="AC32" s="841">
        <f t="shared" si="9"/>
        <v>0</v>
      </c>
      <c r="AD32" s="1003">
        <v>0</v>
      </c>
      <c r="AE32" s="1003">
        <v>0</v>
      </c>
    </row>
    <row r="33" spans="1:31">
      <c r="A33" s="575" t="s">
        <v>546</v>
      </c>
      <c r="B33" s="1002">
        <f t="shared" si="5"/>
        <v>0</v>
      </c>
      <c r="C33" s="841">
        <f t="shared" si="0"/>
        <v>0</v>
      </c>
      <c r="D33" s="841">
        <f t="shared" si="1"/>
        <v>0</v>
      </c>
      <c r="E33" s="841">
        <f t="shared" si="2"/>
        <v>0</v>
      </c>
      <c r="F33" s="841">
        <f t="shared" si="2"/>
        <v>0</v>
      </c>
      <c r="G33" s="843">
        <f t="shared" si="3"/>
        <v>0</v>
      </c>
      <c r="H33" s="843">
        <f t="shared" si="3"/>
        <v>0</v>
      </c>
      <c r="I33" s="843">
        <f t="shared" si="3"/>
        <v>0</v>
      </c>
      <c r="J33" s="1003">
        <v>0</v>
      </c>
      <c r="K33" s="512">
        <v>0</v>
      </c>
      <c r="L33" s="841">
        <f t="shared" si="6"/>
        <v>0</v>
      </c>
      <c r="M33" s="512">
        <v>0</v>
      </c>
      <c r="N33" s="512">
        <v>0</v>
      </c>
      <c r="O33" s="841">
        <f t="shared" si="7"/>
        <v>0</v>
      </c>
      <c r="P33" s="512">
        <v>0</v>
      </c>
      <c r="Q33" s="512">
        <v>0</v>
      </c>
      <c r="R33" s="1003">
        <v>0</v>
      </c>
      <c r="S33" s="1003">
        <v>0</v>
      </c>
      <c r="T33" s="841">
        <f t="shared" si="8"/>
        <v>0</v>
      </c>
      <c r="U33" s="1003">
        <v>0</v>
      </c>
      <c r="V33" s="1003">
        <v>0</v>
      </c>
      <c r="W33" s="841">
        <f t="shared" si="10"/>
        <v>0</v>
      </c>
      <c r="X33" s="1003">
        <v>0</v>
      </c>
      <c r="Y33" s="1003">
        <v>0</v>
      </c>
      <c r="Z33" s="1003">
        <v>0</v>
      </c>
      <c r="AA33" s="1003">
        <v>0</v>
      </c>
      <c r="AB33" s="1003">
        <v>0</v>
      </c>
      <c r="AC33" s="841">
        <f t="shared" si="9"/>
        <v>0</v>
      </c>
      <c r="AD33" s="1003">
        <v>0</v>
      </c>
      <c r="AE33" s="1003">
        <v>0</v>
      </c>
    </row>
    <row r="34" spans="1:31">
      <c r="A34" s="575" t="s">
        <v>547</v>
      </c>
      <c r="B34" s="1002">
        <f t="shared" si="5"/>
        <v>0</v>
      </c>
      <c r="C34" s="841">
        <f t="shared" si="0"/>
        <v>0</v>
      </c>
      <c r="D34" s="841">
        <f t="shared" si="1"/>
        <v>0</v>
      </c>
      <c r="E34" s="841">
        <f t="shared" si="2"/>
        <v>0</v>
      </c>
      <c r="F34" s="841">
        <f t="shared" si="2"/>
        <v>0</v>
      </c>
      <c r="G34" s="843">
        <f t="shared" si="3"/>
        <v>0</v>
      </c>
      <c r="H34" s="843">
        <f t="shared" si="3"/>
        <v>0</v>
      </c>
      <c r="I34" s="843">
        <f t="shared" si="3"/>
        <v>0</v>
      </c>
      <c r="J34" s="1003">
        <v>0</v>
      </c>
      <c r="K34" s="512">
        <v>0</v>
      </c>
      <c r="L34" s="841">
        <f t="shared" si="6"/>
        <v>0</v>
      </c>
      <c r="M34" s="512">
        <v>0</v>
      </c>
      <c r="N34" s="512">
        <v>0</v>
      </c>
      <c r="O34" s="841">
        <f t="shared" si="7"/>
        <v>0</v>
      </c>
      <c r="P34" s="512">
        <v>0</v>
      </c>
      <c r="Q34" s="512">
        <v>0</v>
      </c>
      <c r="R34" s="1003">
        <v>0</v>
      </c>
      <c r="S34" s="1003">
        <v>0</v>
      </c>
      <c r="T34" s="841">
        <f t="shared" si="8"/>
        <v>0</v>
      </c>
      <c r="U34" s="1003">
        <v>0</v>
      </c>
      <c r="V34" s="1003">
        <v>0</v>
      </c>
      <c r="W34" s="841">
        <f t="shared" si="10"/>
        <v>0</v>
      </c>
      <c r="X34" s="1003">
        <v>0</v>
      </c>
      <c r="Y34" s="1003">
        <v>0</v>
      </c>
      <c r="Z34" s="1003">
        <v>0</v>
      </c>
      <c r="AA34" s="1003">
        <v>0</v>
      </c>
      <c r="AB34" s="1003">
        <v>0</v>
      </c>
      <c r="AC34" s="841">
        <f t="shared" si="9"/>
        <v>0</v>
      </c>
      <c r="AD34" s="1003">
        <v>0</v>
      </c>
      <c r="AE34" s="1003">
        <v>0</v>
      </c>
    </row>
    <row r="35" spans="1:31">
      <c r="A35" s="575" t="s">
        <v>548</v>
      </c>
      <c r="B35" s="1002">
        <f t="shared" si="5"/>
        <v>0</v>
      </c>
      <c r="C35" s="841">
        <f t="shared" si="0"/>
        <v>0</v>
      </c>
      <c r="D35" s="841">
        <f t="shared" si="1"/>
        <v>0</v>
      </c>
      <c r="E35" s="841">
        <f t="shared" si="2"/>
        <v>0</v>
      </c>
      <c r="F35" s="841">
        <f t="shared" si="2"/>
        <v>0</v>
      </c>
      <c r="G35" s="843">
        <f t="shared" si="3"/>
        <v>0</v>
      </c>
      <c r="H35" s="843">
        <f t="shared" si="3"/>
        <v>0</v>
      </c>
      <c r="I35" s="843">
        <f t="shared" si="3"/>
        <v>0</v>
      </c>
      <c r="J35" s="1003">
        <v>0</v>
      </c>
      <c r="K35" s="512">
        <v>0</v>
      </c>
      <c r="L35" s="841">
        <f t="shared" si="6"/>
        <v>0</v>
      </c>
      <c r="M35" s="512">
        <v>0</v>
      </c>
      <c r="N35" s="512">
        <v>0</v>
      </c>
      <c r="O35" s="841">
        <f t="shared" si="7"/>
        <v>0</v>
      </c>
      <c r="P35" s="512">
        <v>0</v>
      </c>
      <c r="Q35" s="512">
        <v>0</v>
      </c>
      <c r="R35" s="1003">
        <v>0</v>
      </c>
      <c r="S35" s="1003">
        <v>0</v>
      </c>
      <c r="T35" s="841">
        <f t="shared" si="8"/>
        <v>0</v>
      </c>
      <c r="U35" s="1003">
        <v>0</v>
      </c>
      <c r="V35" s="1003">
        <v>0</v>
      </c>
      <c r="W35" s="841">
        <f t="shared" si="10"/>
        <v>0</v>
      </c>
      <c r="X35" s="1003">
        <v>0</v>
      </c>
      <c r="Y35" s="1003">
        <v>0</v>
      </c>
      <c r="Z35" s="1003">
        <v>0</v>
      </c>
      <c r="AA35" s="1003">
        <v>0</v>
      </c>
      <c r="AB35" s="1003">
        <v>0</v>
      </c>
      <c r="AC35" s="841">
        <f t="shared" si="9"/>
        <v>0</v>
      </c>
      <c r="AD35" s="1003">
        <v>0</v>
      </c>
      <c r="AE35" s="1003">
        <v>0</v>
      </c>
    </row>
    <row r="36" spans="1:31">
      <c r="A36" s="575" t="s">
        <v>549</v>
      </c>
      <c r="B36" s="1002">
        <f t="shared" si="5"/>
        <v>0</v>
      </c>
      <c r="C36" s="841">
        <f t="shared" si="0"/>
        <v>0</v>
      </c>
      <c r="D36" s="841">
        <f t="shared" si="1"/>
        <v>0</v>
      </c>
      <c r="E36" s="841">
        <f t="shared" si="2"/>
        <v>0</v>
      </c>
      <c r="F36" s="841">
        <f t="shared" si="2"/>
        <v>0</v>
      </c>
      <c r="G36" s="843">
        <f t="shared" si="3"/>
        <v>0</v>
      </c>
      <c r="H36" s="843">
        <f t="shared" si="3"/>
        <v>0</v>
      </c>
      <c r="I36" s="843">
        <f t="shared" si="3"/>
        <v>0</v>
      </c>
      <c r="J36" s="1003">
        <v>0</v>
      </c>
      <c r="K36" s="512">
        <v>0</v>
      </c>
      <c r="L36" s="841">
        <f t="shared" si="6"/>
        <v>0</v>
      </c>
      <c r="M36" s="512">
        <v>0</v>
      </c>
      <c r="N36" s="512">
        <v>0</v>
      </c>
      <c r="O36" s="841">
        <f t="shared" si="7"/>
        <v>0</v>
      </c>
      <c r="P36" s="512">
        <v>0</v>
      </c>
      <c r="Q36" s="512">
        <v>0</v>
      </c>
      <c r="R36" s="1003">
        <v>0</v>
      </c>
      <c r="S36" s="1003">
        <v>0</v>
      </c>
      <c r="T36" s="841">
        <f t="shared" si="8"/>
        <v>0</v>
      </c>
      <c r="U36" s="1003">
        <v>0</v>
      </c>
      <c r="V36" s="1003">
        <v>0</v>
      </c>
      <c r="W36" s="841">
        <f t="shared" si="10"/>
        <v>0</v>
      </c>
      <c r="X36" s="1003">
        <v>0</v>
      </c>
      <c r="Y36" s="1003">
        <v>0</v>
      </c>
      <c r="Z36" s="1003">
        <v>0</v>
      </c>
      <c r="AA36" s="1003">
        <v>0</v>
      </c>
      <c r="AB36" s="1003">
        <v>0</v>
      </c>
      <c r="AC36" s="841">
        <f t="shared" si="9"/>
        <v>0</v>
      </c>
      <c r="AD36" s="1003">
        <v>0</v>
      </c>
      <c r="AE36" s="1003">
        <v>0</v>
      </c>
    </row>
    <row r="37" spans="1:31">
      <c r="A37" s="575" t="s">
        <v>550</v>
      </c>
      <c r="B37" s="1002">
        <f t="shared" si="5"/>
        <v>0</v>
      </c>
      <c r="C37" s="841">
        <f t="shared" si="0"/>
        <v>0</v>
      </c>
      <c r="D37" s="841">
        <f t="shared" si="1"/>
        <v>0</v>
      </c>
      <c r="E37" s="841">
        <f t="shared" si="2"/>
        <v>0</v>
      </c>
      <c r="F37" s="841">
        <f t="shared" si="2"/>
        <v>0</v>
      </c>
      <c r="G37" s="843">
        <f t="shared" si="3"/>
        <v>0</v>
      </c>
      <c r="H37" s="843">
        <f t="shared" si="3"/>
        <v>0</v>
      </c>
      <c r="I37" s="843">
        <f t="shared" si="3"/>
        <v>0</v>
      </c>
      <c r="J37" s="1003">
        <v>0</v>
      </c>
      <c r="K37" s="512">
        <v>0</v>
      </c>
      <c r="L37" s="841">
        <f t="shared" si="6"/>
        <v>0</v>
      </c>
      <c r="M37" s="512">
        <v>0</v>
      </c>
      <c r="N37" s="512">
        <v>0</v>
      </c>
      <c r="O37" s="841">
        <f t="shared" si="7"/>
        <v>0</v>
      </c>
      <c r="P37" s="512">
        <v>0</v>
      </c>
      <c r="Q37" s="512">
        <v>0</v>
      </c>
      <c r="R37" s="1003">
        <v>0</v>
      </c>
      <c r="S37" s="1003">
        <v>0</v>
      </c>
      <c r="T37" s="841">
        <f t="shared" si="8"/>
        <v>0</v>
      </c>
      <c r="U37" s="1003">
        <v>0</v>
      </c>
      <c r="V37" s="1003">
        <v>0</v>
      </c>
      <c r="W37" s="841">
        <f t="shared" si="10"/>
        <v>0</v>
      </c>
      <c r="X37" s="1003">
        <v>0</v>
      </c>
      <c r="Y37" s="1003">
        <v>0</v>
      </c>
      <c r="Z37" s="1003">
        <v>0</v>
      </c>
      <c r="AA37" s="1003">
        <v>0</v>
      </c>
      <c r="AB37" s="1003">
        <v>0</v>
      </c>
      <c r="AC37" s="841">
        <f t="shared" si="9"/>
        <v>0</v>
      </c>
      <c r="AD37" s="1003">
        <v>0</v>
      </c>
      <c r="AE37" s="1003">
        <v>0</v>
      </c>
    </row>
    <row r="38" spans="1:31">
      <c r="A38" s="575" t="s">
        <v>551</v>
      </c>
      <c r="B38" s="1002">
        <f t="shared" si="5"/>
        <v>0</v>
      </c>
      <c r="C38" s="841">
        <f t="shared" si="0"/>
        <v>0</v>
      </c>
      <c r="D38" s="841">
        <f t="shared" si="1"/>
        <v>0</v>
      </c>
      <c r="E38" s="841">
        <f t="shared" si="2"/>
        <v>0</v>
      </c>
      <c r="F38" s="841">
        <f t="shared" si="2"/>
        <v>0</v>
      </c>
      <c r="G38" s="843">
        <f t="shared" si="3"/>
        <v>0</v>
      </c>
      <c r="H38" s="843">
        <f t="shared" si="3"/>
        <v>0</v>
      </c>
      <c r="I38" s="843">
        <f t="shared" si="3"/>
        <v>0</v>
      </c>
      <c r="J38" s="1003">
        <v>0</v>
      </c>
      <c r="K38" s="512">
        <v>0</v>
      </c>
      <c r="L38" s="841">
        <f t="shared" si="6"/>
        <v>0</v>
      </c>
      <c r="M38" s="512">
        <v>0</v>
      </c>
      <c r="N38" s="512">
        <v>0</v>
      </c>
      <c r="O38" s="841">
        <f t="shared" si="7"/>
        <v>0</v>
      </c>
      <c r="P38" s="512">
        <v>0</v>
      </c>
      <c r="Q38" s="512">
        <v>0</v>
      </c>
      <c r="R38" s="512">
        <v>0</v>
      </c>
      <c r="S38" s="1003">
        <v>0</v>
      </c>
      <c r="T38" s="841">
        <f t="shared" si="8"/>
        <v>0</v>
      </c>
      <c r="U38" s="512">
        <v>0</v>
      </c>
      <c r="V38" s="512">
        <v>0</v>
      </c>
      <c r="W38" s="841">
        <f t="shared" si="10"/>
        <v>0</v>
      </c>
      <c r="X38" s="512">
        <v>0</v>
      </c>
      <c r="Y38" s="512">
        <v>0</v>
      </c>
      <c r="Z38" s="1003">
        <v>0</v>
      </c>
      <c r="AA38" s="512">
        <v>0</v>
      </c>
      <c r="AB38" s="512">
        <v>0</v>
      </c>
      <c r="AC38" s="841">
        <f t="shared" si="9"/>
        <v>0</v>
      </c>
      <c r="AD38" s="512">
        <v>0</v>
      </c>
      <c r="AE38" s="1003">
        <v>0</v>
      </c>
    </row>
    <row r="39" spans="1:31">
      <c r="A39" s="575" t="s">
        <v>552</v>
      </c>
      <c r="B39" s="1002">
        <f t="shared" si="5"/>
        <v>0</v>
      </c>
      <c r="C39" s="841">
        <f t="shared" si="0"/>
        <v>0</v>
      </c>
      <c r="D39" s="841">
        <f t="shared" si="1"/>
        <v>0</v>
      </c>
      <c r="E39" s="841">
        <f t="shared" si="2"/>
        <v>0</v>
      </c>
      <c r="F39" s="841">
        <f t="shared" si="2"/>
        <v>0</v>
      </c>
      <c r="G39" s="843">
        <f t="shared" si="3"/>
        <v>0</v>
      </c>
      <c r="H39" s="843">
        <f t="shared" si="3"/>
        <v>0</v>
      </c>
      <c r="I39" s="843">
        <f t="shared" si="3"/>
        <v>0</v>
      </c>
      <c r="J39" s="1003">
        <v>0</v>
      </c>
      <c r="K39" s="512">
        <v>0</v>
      </c>
      <c r="L39" s="841">
        <f t="shared" si="6"/>
        <v>0</v>
      </c>
      <c r="M39" s="512">
        <v>0</v>
      </c>
      <c r="N39" s="512">
        <v>0</v>
      </c>
      <c r="O39" s="841">
        <f t="shared" si="7"/>
        <v>0</v>
      </c>
      <c r="P39" s="512">
        <v>0</v>
      </c>
      <c r="Q39" s="512">
        <v>0</v>
      </c>
      <c r="R39" s="512">
        <v>0</v>
      </c>
      <c r="S39" s="1003">
        <v>0</v>
      </c>
      <c r="T39" s="841">
        <f t="shared" si="8"/>
        <v>0</v>
      </c>
      <c r="U39" s="512">
        <v>0</v>
      </c>
      <c r="V39" s="512">
        <v>0</v>
      </c>
      <c r="W39" s="841">
        <f t="shared" si="10"/>
        <v>0</v>
      </c>
      <c r="X39" s="512">
        <v>0</v>
      </c>
      <c r="Y39" s="512">
        <v>0</v>
      </c>
      <c r="Z39" s="1003">
        <v>0</v>
      </c>
      <c r="AA39" s="512">
        <v>0</v>
      </c>
      <c r="AB39" s="512">
        <v>0</v>
      </c>
      <c r="AC39" s="841">
        <f t="shared" si="9"/>
        <v>0</v>
      </c>
      <c r="AD39" s="512">
        <v>0</v>
      </c>
      <c r="AE39" s="1003">
        <v>0</v>
      </c>
    </row>
    <row r="40" spans="1:31">
      <c r="A40" s="575" t="s">
        <v>553</v>
      </c>
      <c r="B40" s="1002">
        <f t="shared" si="5"/>
        <v>1</v>
      </c>
      <c r="C40" s="841">
        <f t="shared" si="0"/>
        <v>50</v>
      </c>
      <c r="D40" s="841">
        <f t="shared" si="1"/>
        <v>40</v>
      </c>
      <c r="E40" s="841">
        <f t="shared" si="2"/>
        <v>15</v>
      </c>
      <c r="F40" s="841">
        <f t="shared" si="2"/>
        <v>25</v>
      </c>
      <c r="G40" s="843">
        <f t="shared" si="3"/>
        <v>15</v>
      </c>
      <c r="H40" s="843">
        <f t="shared" si="3"/>
        <v>4</v>
      </c>
      <c r="I40" s="843">
        <f t="shared" si="3"/>
        <v>11</v>
      </c>
      <c r="J40" s="1003">
        <v>1</v>
      </c>
      <c r="K40" s="512">
        <v>50</v>
      </c>
      <c r="L40" s="841">
        <f t="shared" si="6"/>
        <v>40</v>
      </c>
      <c r="M40" s="512">
        <v>15</v>
      </c>
      <c r="N40" s="512">
        <v>25</v>
      </c>
      <c r="O40" s="841">
        <f t="shared" si="7"/>
        <v>15</v>
      </c>
      <c r="P40" s="512">
        <v>4</v>
      </c>
      <c r="Q40" s="512">
        <v>11</v>
      </c>
      <c r="R40" s="512">
        <v>0</v>
      </c>
      <c r="S40" s="1003">
        <v>0</v>
      </c>
      <c r="T40" s="841">
        <f t="shared" si="8"/>
        <v>0</v>
      </c>
      <c r="U40" s="512">
        <v>0</v>
      </c>
      <c r="V40" s="512">
        <v>0</v>
      </c>
      <c r="W40" s="841">
        <f t="shared" si="10"/>
        <v>0</v>
      </c>
      <c r="X40" s="512">
        <v>0</v>
      </c>
      <c r="Y40" s="512">
        <v>0</v>
      </c>
      <c r="Z40" s="1003">
        <v>0</v>
      </c>
      <c r="AA40" s="512">
        <v>0</v>
      </c>
      <c r="AB40" s="512">
        <v>0</v>
      </c>
      <c r="AC40" s="841">
        <f t="shared" si="9"/>
        <v>0</v>
      </c>
      <c r="AD40" s="512">
        <v>0</v>
      </c>
      <c r="AE40" s="1003">
        <v>0</v>
      </c>
    </row>
    <row r="41" spans="1:31">
      <c r="A41" s="575" t="s">
        <v>554</v>
      </c>
      <c r="B41" s="1002">
        <f t="shared" si="5"/>
        <v>0</v>
      </c>
      <c r="C41" s="841">
        <f t="shared" si="0"/>
        <v>0</v>
      </c>
      <c r="D41" s="841">
        <f t="shared" si="1"/>
        <v>0</v>
      </c>
      <c r="E41" s="841">
        <f t="shared" si="2"/>
        <v>0</v>
      </c>
      <c r="F41" s="841">
        <f t="shared" si="2"/>
        <v>0</v>
      </c>
      <c r="G41" s="843">
        <f t="shared" si="3"/>
        <v>0</v>
      </c>
      <c r="H41" s="843">
        <f t="shared" si="3"/>
        <v>0</v>
      </c>
      <c r="I41" s="843">
        <f t="shared" si="3"/>
        <v>0</v>
      </c>
      <c r="J41" s="1003">
        <v>0</v>
      </c>
      <c r="K41" s="512">
        <v>0</v>
      </c>
      <c r="L41" s="841">
        <f t="shared" si="6"/>
        <v>0</v>
      </c>
      <c r="M41" s="512">
        <v>0</v>
      </c>
      <c r="N41" s="512">
        <v>0</v>
      </c>
      <c r="O41" s="841">
        <f t="shared" si="7"/>
        <v>0</v>
      </c>
      <c r="P41" s="512">
        <v>0</v>
      </c>
      <c r="Q41" s="512">
        <v>0</v>
      </c>
      <c r="R41" s="512">
        <v>0</v>
      </c>
      <c r="S41" s="1003">
        <v>0</v>
      </c>
      <c r="T41" s="841">
        <f t="shared" si="8"/>
        <v>0</v>
      </c>
      <c r="U41" s="512">
        <v>0</v>
      </c>
      <c r="V41" s="512">
        <v>0</v>
      </c>
      <c r="W41" s="841">
        <f t="shared" si="10"/>
        <v>0</v>
      </c>
      <c r="X41" s="512">
        <v>0</v>
      </c>
      <c r="Y41" s="512">
        <v>0</v>
      </c>
      <c r="Z41" s="1003">
        <v>0</v>
      </c>
      <c r="AA41" s="512">
        <v>0</v>
      </c>
      <c r="AB41" s="512">
        <v>0</v>
      </c>
      <c r="AC41" s="841">
        <f t="shared" si="9"/>
        <v>0</v>
      </c>
      <c r="AD41" s="512">
        <v>0</v>
      </c>
      <c r="AE41" s="1003">
        <v>0</v>
      </c>
    </row>
    <row r="42" spans="1:31">
      <c r="A42" s="575" t="s">
        <v>555</v>
      </c>
      <c r="B42" s="1002">
        <f t="shared" si="5"/>
        <v>0</v>
      </c>
      <c r="C42" s="841">
        <f t="shared" si="0"/>
        <v>0</v>
      </c>
      <c r="D42" s="841">
        <f t="shared" si="1"/>
        <v>0</v>
      </c>
      <c r="E42" s="841">
        <f t="shared" si="2"/>
        <v>0</v>
      </c>
      <c r="F42" s="841">
        <f t="shared" si="2"/>
        <v>0</v>
      </c>
      <c r="G42" s="843">
        <f t="shared" si="3"/>
        <v>0</v>
      </c>
      <c r="H42" s="843">
        <f t="shared" si="3"/>
        <v>0</v>
      </c>
      <c r="I42" s="843">
        <f t="shared" si="3"/>
        <v>0</v>
      </c>
      <c r="J42" s="1003">
        <v>0</v>
      </c>
      <c r="K42" s="512">
        <v>0</v>
      </c>
      <c r="L42" s="841">
        <f t="shared" si="6"/>
        <v>0</v>
      </c>
      <c r="M42" s="512">
        <v>0</v>
      </c>
      <c r="N42" s="512">
        <v>0</v>
      </c>
      <c r="O42" s="841">
        <f t="shared" si="7"/>
        <v>0</v>
      </c>
      <c r="P42" s="512">
        <v>0</v>
      </c>
      <c r="Q42" s="512">
        <v>0</v>
      </c>
      <c r="R42" s="512">
        <v>0</v>
      </c>
      <c r="S42" s="1003">
        <v>0</v>
      </c>
      <c r="T42" s="841">
        <f t="shared" si="8"/>
        <v>0</v>
      </c>
      <c r="U42" s="512">
        <v>0</v>
      </c>
      <c r="V42" s="512">
        <v>0</v>
      </c>
      <c r="W42" s="841">
        <f t="shared" si="10"/>
        <v>0</v>
      </c>
      <c r="X42" s="512">
        <v>0</v>
      </c>
      <c r="Y42" s="512">
        <v>0</v>
      </c>
      <c r="Z42" s="1003">
        <v>0</v>
      </c>
      <c r="AA42" s="512">
        <v>0</v>
      </c>
      <c r="AB42" s="512">
        <v>0</v>
      </c>
      <c r="AC42" s="841">
        <f t="shared" si="9"/>
        <v>0</v>
      </c>
      <c r="AD42" s="512">
        <v>0</v>
      </c>
      <c r="AE42" s="1003">
        <v>0</v>
      </c>
    </row>
    <row r="43" spans="1:31" ht="17.25" thickBot="1">
      <c r="A43" s="576" t="s">
        <v>556</v>
      </c>
      <c r="B43" s="1004">
        <f t="shared" si="5"/>
        <v>0</v>
      </c>
      <c r="C43" s="1005">
        <f t="shared" si="0"/>
        <v>0</v>
      </c>
      <c r="D43" s="1006">
        <f t="shared" si="1"/>
        <v>0</v>
      </c>
      <c r="E43" s="1006">
        <f t="shared" si="2"/>
        <v>0</v>
      </c>
      <c r="F43" s="1006">
        <f t="shared" si="2"/>
        <v>0</v>
      </c>
      <c r="G43" s="1006">
        <f t="shared" si="3"/>
        <v>0</v>
      </c>
      <c r="H43" s="1006">
        <f t="shared" si="3"/>
        <v>0</v>
      </c>
      <c r="I43" s="1006">
        <f t="shared" si="3"/>
        <v>0</v>
      </c>
      <c r="J43" s="1007">
        <v>0</v>
      </c>
      <c r="K43" s="905">
        <v>0</v>
      </c>
      <c r="L43" s="1005">
        <f t="shared" si="6"/>
        <v>0</v>
      </c>
      <c r="M43" s="905">
        <v>0</v>
      </c>
      <c r="N43" s="905">
        <v>0</v>
      </c>
      <c r="O43" s="1005">
        <f t="shared" si="7"/>
        <v>0</v>
      </c>
      <c r="P43" s="905">
        <v>0</v>
      </c>
      <c r="Q43" s="905">
        <v>0</v>
      </c>
      <c r="R43" s="905">
        <v>0</v>
      </c>
      <c r="S43" s="1007">
        <v>0</v>
      </c>
      <c r="T43" s="1005">
        <f t="shared" si="8"/>
        <v>0</v>
      </c>
      <c r="U43" s="905">
        <v>0</v>
      </c>
      <c r="V43" s="905">
        <v>0</v>
      </c>
      <c r="W43" s="1005">
        <f t="shared" si="10"/>
        <v>0</v>
      </c>
      <c r="X43" s="905">
        <v>0</v>
      </c>
      <c r="Y43" s="905">
        <v>0</v>
      </c>
      <c r="Z43" s="1007">
        <v>0</v>
      </c>
      <c r="AA43" s="905">
        <v>0</v>
      </c>
      <c r="AB43" s="905">
        <v>0</v>
      </c>
      <c r="AC43" s="1005">
        <f t="shared" si="9"/>
        <v>0</v>
      </c>
      <c r="AD43" s="905">
        <v>0</v>
      </c>
      <c r="AE43" s="1007">
        <v>0</v>
      </c>
    </row>
    <row r="44" spans="1:31">
      <c r="A44" s="1577" t="s">
        <v>1538</v>
      </c>
      <c r="B44" s="1577"/>
      <c r="C44" s="1577"/>
      <c r="D44" s="302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4"/>
      <c r="AC44" s="304"/>
      <c r="AD44" s="304"/>
      <c r="AE44" s="302"/>
    </row>
    <row r="45" spans="1:31">
      <c r="A45" s="577" t="s">
        <v>1770</v>
      </c>
      <c r="C45" s="578"/>
      <c r="D45" s="578"/>
      <c r="E45" s="578"/>
      <c r="F45" s="578"/>
      <c r="G45" s="578"/>
      <c r="H45" s="578"/>
      <c r="I45" s="578"/>
    </row>
    <row r="46" spans="1:31">
      <c r="K46" s="304"/>
      <c r="S46" s="302"/>
    </row>
  </sheetData>
  <mergeCells count="30">
    <mergeCell ref="B7:I7"/>
    <mergeCell ref="J7:Q7"/>
    <mergeCell ref="R7:Y7"/>
    <mergeCell ref="Z7:AE7"/>
    <mergeCell ref="C8:F8"/>
    <mergeCell ref="G8:I8"/>
    <mergeCell ref="B6:I6"/>
    <mergeCell ref="J6:Q6"/>
    <mergeCell ref="R6:Y6"/>
    <mergeCell ref="Z6:AE6"/>
    <mergeCell ref="A2:Q2"/>
    <mergeCell ref="R2:AE2"/>
    <mergeCell ref="R3:AE3"/>
    <mergeCell ref="A3:Q3"/>
    <mergeCell ref="A44:C44"/>
    <mergeCell ref="AC8:AE8"/>
    <mergeCell ref="W9:Y9"/>
    <mergeCell ref="AC9:AE9"/>
    <mergeCell ref="C9:F9"/>
    <mergeCell ref="G9:I9"/>
    <mergeCell ref="K9:N9"/>
    <mergeCell ref="O9:Q9"/>
    <mergeCell ref="S9:V9"/>
    <mergeCell ref="K8:N8"/>
    <mergeCell ref="O8:Q8"/>
    <mergeCell ref="S8:V8"/>
    <mergeCell ref="W8:Y8"/>
    <mergeCell ref="AA8:AB8"/>
    <mergeCell ref="AA10:AA11"/>
    <mergeCell ref="AB10:AB11"/>
  </mergeCells>
  <phoneticPr fontId="3" type="noConversion"/>
  <pageMargins left="0.7" right="0.7" top="0.75" bottom="0.75" header="0.3" footer="0.3"/>
  <pageSetup paperSize="9" scale="52" orientation="portrait" verticalDpi="0" r:id="rId1"/>
  <colBreaks count="1" manualBreakCount="1">
    <brk id="17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4"/>
  </sheetPr>
  <dimension ref="A1:Y68"/>
  <sheetViews>
    <sheetView view="pageBreakPreview" topLeftCell="A2" zoomScaleNormal="100" zoomScaleSheetLayoutView="100" workbookViewId="0">
      <selection activeCell="AA32" sqref="AA32"/>
    </sheetView>
  </sheetViews>
  <sheetFormatPr defaultRowHeight="16.5"/>
  <cols>
    <col min="1" max="4" width="9" style="518"/>
    <col min="5" max="6" width="7.625" style="518" customWidth="1"/>
    <col min="7" max="7" width="6.125" style="518" customWidth="1"/>
    <col min="8" max="10" width="7.625" style="518" customWidth="1"/>
    <col min="11" max="12" width="9" style="518"/>
    <col min="13" max="15" width="7.625" style="518" customWidth="1"/>
    <col min="16" max="17" width="9" style="518"/>
    <col min="18" max="18" width="7.625" style="518" customWidth="1"/>
    <col min="19" max="19" width="9" style="518"/>
    <col min="20" max="22" width="7.625" style="518" customWidth="1"/>
    <col min="23" max="23" width="6.75" style="518" customWidth="1"/>
    <col min="24" max="24" width="6.875" style="518" customWidth="1"/>
    <col min="25" max="25" width="7.625" style="518" customWidth="1"/>
    <col min="26" max="16384" width="9" style="518"/>
  </cols>
  <sheetData>
    <row r="1" spans="1:25" s="592" customFormat="1" ht="24.95" customHeight="1">
      <c r="A1" s="16" t="s">
        <v>1463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492" t="s">
        <v>844</v>
      </c>
      <c r="T1" s="1492"/>
      <c r="U1" s="1492"/>
      <c r="V1" s="1492"/>
      <c r="W1" s="1492"/>
      <c r="X1" s="1492"/>
      <c r="Y1" s="1492"/>
    </row>
    <row r="2" spans="1:25" s="385" customFormat="1" ht="24.95" customHeight="1">
      <c r="A2" s="1335" t="s">
        <v>1129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  <c r="L2" s="1335"/>
      <c r="M2" s="1335"/>
      <c r="N2" s="1335"/>
      <c r="O2" s="1335"/>
      <c r="P2" s="1335"/>
      <c r="Q2" s="1335"/>
      <c r="R2" s="1335"/>
      <c r="S2" s="1335"/>
      <c r="T2" s="1335"/>
      <c r="U2" s="1335"/>
      <c r="V2" s="1335"/>
      <c r="W2" s="1335"/>
      <c r="X2" s="1335"/>
      <c r="Y2" s="1335"/>
    </row>
    <row r="3" spans="1:25" s="385" customFormat="1" ht="24.95" customHeight="1">
      <c r="A3" s="1320" t="s">
        <v>1140</v>
      </c>
      <c r="B3" s="1320"/>
      <c r="C3" s="1320"/>
      <c r="D3" s="1320"/>
      <c r="E3" s="1320"/>
      <c r="F3" s="1320"/>
      <c r="G3" s="1320"/>
      <c r="H3" s="1320"/>
      <c r="I3" s="1320"/>
      <c r="J3" s="1320"/>
      <c r="K3" s="1320"/>
      <c r="L3" s="1320"/>
      <c r="M3" s="1320"/>
      <c r="N3" s="1320"/>
      <c r="O3" s="1320"/>
      <c r="P3" s="1320"/>
      <c r="Q3" s="1320"/>
      <c r="R3" s="1320"/>
      <c r="S3" s="1320"/>
      <c r="T3" s="1320"/>
      <c r="U3" s="1320"/>
      <c r="V3" s="1320"/>
      <c r="W3" s="1320"/>
      <c r="X3" s="1320"/>
      <c r="Y3" s="1320"/>
    </row>
    <row r="4" spans="1:25" s="385" customFormat="1" ht="9.9499999999999993" customHeight="1">
      <c r="A4" s="776"/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  <c r="R4" s="776"/>
      <c r="S4" s="776"/>
      <c r="T4" s="776"/>
      <c r="U4" s="776"/>
      <c r="V4" s="776"/>
      <c r="W4" s="776"/>
      <c r="X4" s="776"/>
      <c r="Y4" s="776"/>
    </row>
    <row r="5" spans="1:25" s="6" customFormat="1" ht="15" customHeight="1" thickBot="1">
      <c r="A5" s="48" t="s">
        <v>25</v>
      </c>
      <c r="B5" s="593"/>
      <c r="D5" s="6" t="s">
        <v>2</v>
      </c>
      <c r="Y5" s="387" t="s">
        <v>1128</v>
      </c>
    </row>
    <row r="6" spans="1:25" s="7" customFormat="1" ht="15" customHeight="1">
      <c r="A6" s="588" t="s">
        <v>586</v>
      </c>
      <c r="B6" s="1578" t="s">
        <v>1464</v>
      </c>
      <c r="C6" s="1496"/>
      <c r="D6" s="1496"/>
      <c r="E6" s="1496"/>
      <c r="F6" s="1496"/>
      <c r="G6" s="1496"/>
      <c r="H6" s="1496"/>
      <c r="I6" s="1579"/>
      <c r="J6" s="1326" t="s">
        <v>1124</v>
      </c>
      <c r="K6" s="1496"/>
      <c r="L6" s="1496"/>
      <c r="M6" s="1496"/>
      <c r="N6" s="1496"/>
      <c r="O6" s="1496"/>
      <c r="P6" s="1496"/>
      <c r="Q6" s="1579"/>
      <c r="R6" s="1326" t="s">
        <v>1126</v>
      </c>
      <c r="S6" s="1493"/>
      <c r="T6" s="1493"/>
      <c r="U6" s="1493"/>
      <c r="V6" s="1493"/>
      <c r="W6" s="1493"/>
      <c r="X6" s="1493"/>
      <c r="Y6" s="1493"/>
    </row>
    <row r="7" spans="1:25" s="7" customFormat="1" ht="15" customHeight="1">
      <c r="A7" s="601"/>
      <c r="B7" s="1321" t="s">
        <v>675</v>
      </c>
      <c r="C7" s="1497"/>
      <c r="D7" s="1497"/>
      <c r="E7" s="1497"/>
      <c r="F7" s="1497"/>
      <c r="G7" s="1497"/>
      <c r="H7" s="1497"/>
      <c r="I7" s="1322"/>
      <c r="J7" s="1321" t="s">
        <v>1125</v>
      </c>
      <c r="K7" s="1497"/>
      <c r="L7" s="1497"/>
      <c r="M7" s="1497"/>
      <c r="N7" s="1497"/>
      <c r="O7" s="1497"/>
      <c r="P7" s="1497"/>
      <c r="Q7" s="1322"/>
      <c r="R7" s="1321" t="s">
        <v>1127</v>
      </c>
      <c r="S7" s="1497"/>
      <c r="T7" s="1497"/>
      <c r="U7" s="1497"/>
      <c r="V7" s="1497"/>
      <c r="W7" s="1497"/>
      <c r="X7" s="1497"/>
      <c r="Y7" s="1497"/>
    </row>
    <row r="8" spans="1:25" s="7" customFormat="1" ht="15" customHeight="1">
      <c r="A8" s="601"/>
      <c r="B8" s="597" t="s">
        <v>671</v>
      </c>
      <c r="C8" s="1332" t="s">
        <v>676</v>
      </c>
      <c r="D8" s="1479"/>
      <c r="E8" s="1479"/>
      <c r="F8" s="1480"/>
      <c r="G8" s="1332" t="s">
        <v>677</v>
      </c>
      <c r="H8" s="1489"/>
      <c r="I8" s="1333"/>
      <c r="J8" s="597" t="s">
        <v>671</v>
      </c>
      <c r="K8" s="1332" t="s">
        <v>676</v>
      </c>
      <c r="L8" s="1479"/>
      <c r="M8" s="1479"/>
      <c r="N8" s="1480"/>
      <c r="O8" s="1332" t="s">
        <v>677</v>
      </c>
      <c r="P8" s="1489"/>
      <c r="Q8" s="1333"/>
      <c r="R8" s="597" t="s">
        <v>671</v>
      </c>
      <c r="S8" s="1332" t="s">
        <v>676</v>
      </c>
      <c r="T8" s="1479"/>
      <c r="U8" s="1479"/>
      <c r="V8" s="1480"/>
      <c r="W8" s="1332" t="s">
        <v>677</v>
      </c>
      <c r="X8" s="1489"/>
      <c r="Y8" s="1489"/>
    </row>
    <row r="9" spans="1:25" s="7" customFormat="1" ht="15" customHeight="1">
      <c r="A9" s="601"/>
      <c r="B9" s="598"/>
      <c r="C9" s="1321" t="s">
        <v>1119</v>
      </c>
      <c r="D9" s="1497"/>
      <c r="E9" s="1497"/>
      <c r="F9" s="1322"/>
      <c r="G9" s="1328" t="s">
        <v>678</v>
      </c>
      <c r="H9" s="1324"/>
      <c r="I9" s="1325"/>
      <c r="J9" s="598"/>
      <c r="K9" s="1321" t="s">
        <v>1119</v>
      </c>
      <c r="L9" s="1497"/>
      <c r="M9" s="1497"/>
      <c r="N9" s="1322"/>
      <c r="O9" s="1328" t="s">
        <v>678</v>
      </c>
      <c r="P9" s="1324"/>
      <c r="Q9" s="1325"/>
      <c r="R9" s="598"/>
      <c r="S9" s="1321" t="s">
        <v>1119</v>
      </c>
      <c r="T9" s="1497"/>
      <c r="U9" s="1497"/>
      <c r="V9" s="1322"/>
      <c r="W9" s="1328" t="s">
        <v>678</v>
      </c>
      <c r="X9" s="1324"/>
      <c r="Y9" s="1324"/>
    </row>
    <row r="10" spans="1:25" s="7" customFormat="1" ht="15" customHeight="1">
      <c r="A10" s="601"/>
      <c r="B10" s="509"/>
      <c r="C10" s="597" t="s">
        <v>672</v>
      </c>
      <c r="D10" s="590" t="s">
        <v>673</v>
      </c>
      <c r="E10" s="571"/>
      <c r="F10" s="572"/>
      <c r="G10" s="589"/>
      <c r="H10" s="599"/>
      <c r="I10" s="585"/>
      <c r="J10" s="509"/>
      <c r="K10" s="597" t="s">
        <v>672</v>
      </c>
      <c r="L10" s="590" t="s">
        <v>673</v>
      </c>
      <c r="M10" s="571"/>
      <c r="N10" s="572"/>
      <c r="O10" s="589"/>
      <c r="P10" s="599"/>
      <c r="Q10" s="585"/>
      <c r="R10" s="509"/>
      <c r="S10" s="597" t="s">
        <v>672</v>
      </c>
      <c r="T10" s="590" t="s">
        <v>673</v>
      </c>
      <c r="U10" s="571"/>
      <c r="V10" s="572"/>
      <c r="W10" s="589"/>
      <c r="X10" s="599"/>
      <c r="Y10" s="599"/>
    </row>
    <row r="11" spans="1:25" s="7" customFormat="1" ht="15" customHeight="1">
      <c r="A11" s="417"/>
      <c r="B11" s="432"/>
      <c r="C11" s="596"/>
      <c r="D11" s="596"/>
      <c r="E11" s="596" t="s">
        <v>55</v>
      </c>
      <c r="F11" s="596" t="s">
        <v>56</v>
      </c>
      <c r="G11" s="432"/>
      <c r="H11" s="596" t="s">
        <v>55</v>
      </c>
      <c r="I11" s="596" t="s">
        <v>56</v>
      </c>
      <c r="J11" s="432"/>
      <c r="K11" s="596"/>
      <c r="L11" s="596"/>
      <c r="M11" s="596" t="s">
        <v>55</v>
      </c>
      <c r="N11" s="596" t="s">
        <v>56</v>
      </c>
      <c r="O11" s="432"/>
      <c r="P11" s="596" t="s">
        <v>55</v>
      </c>
      <c r="Q11" s="596" t="s">
        <v>56</v>
      </c>
      <c r="R11" s="432"/>
      <c r="S11" s="596"/>
      <c r="T11" s="596"/>
      <c r="U11" s="596" t="s">
        <v>55</v>
      </c>
      <c r="V11" s="596" t="s">
        <v>56</v>
      </c>
      <c r="W11" s="432"/>
      <c r="X11" s="596" t="s">
        <v>55</v>
      </c>
      <c r="Y11" s="508" t="s">
        <v>56</v>
      </c>
    </row>
    <row r="12" spans="1:25" s="7" customFormat="1" ht="15" customHeight="1">
      <c r="A12" s="516" t="s">
        <v>667</v>
      </c>
      <c r="B12" s="443" t="s">
        <v>24</v>
      </c>
      <c r="C12" s="443" t="s">
        <v>1117</v>
      </c>
      <c r="D12" s="443" t="s">
        <v>1118</v>
      </c>
      <c r="E12" s="443" t="s">
        <v>307</v>
      </c>
      <c r="F12" s="443" t="s">
        <v>308</v>
      </c>
      <c r="G12" s="443"/>
      <c r="H12" s="443" t="s">
        <v>307</v>
      </c>
      <c r="I12" s="443" t="s">
        <v>308</v>
      </c>
      <c r="J12" s="443" t="s">
        <v>24</v>
      </c>
      <c r="K12" s="443" t="s">
        <v>1117</v>
      </c>
      <c r="L12" s="443" t="s">
        <v>1118</v>
      </c>
      <c r="M12" s="443" t="s">
        <v>307</v>
      </c>
      <c r="N12" s="443" t="s">
        <v>308</v>
      </c>
      <c r="O12" s="443"/>
      <c r="P12" s="443" t="s">
        <v>307</v>
      </c>
      <c r="Q12" s="443" t="s">
        <v>308</v>
      </c>
      <c r="R12" s="443" t="s">
        <v>24</v>
      </c>
      <c r="S12" s="443" t="s">
        <v>1117</v>
      </c>
      <c r="T12" s="443" t="s">
        <v>1118</v>
      </c>
      <c r="U12" s="443" t="s">
        <v>307</v>
      </c>
      <c r="V12" s="443" t="s">
        <v>308</v>
      </c>
      <c r="W12" s="443"/>
      <c r="X12" s="443" t="s">
        <v>307</v>
      </c>
      <c r="Y12" s="603" t="s">
        <v>308</v>
      </c>
    </row>
    <row r="13" spans="1:25">
      <c r="A13" s="15">
        <v>2019</v>
      </c>
      <c r="B13" s="530">
        <v>68</v>
      </c>
      <c r="C13" s="303">
        <v>1850</v>
      </c>
      <c r="D13" s="303">
        <v>1649</v>
      </c>
      <c r="E13" s="303">
        <v>394</v>
      </c>
      <c r="F13" s="303">
        <v>1255</v>
      </c>
      <c r="G13" s="303">
        <v>1245</v>
      </c>
      <c r="H13" s="303">
        <v>242</v>
      </c>
      <c r="I13" s="303">
        <v>1003</v>
      </c>
      <c r="J13" s="303">
        <v>37</v>
      </c>
      <c r="K13" s="303">
        <v>1577</v>
      </c>
      <c r="L13" s="303">
        <v>1423</v>
      </c>
      <c r="M13" s="303">
        <v>349</v>
      </c>
      <c r="N13" s="303">
        <v>1074</v>
      </c>
      <c r="O13" s="303">
        <v>1015</v>
      </c>
      <c r="P13" s="303">
        <v>177</v>
      </c>
      <c r="Q13" s="303">
        <v>838</v>
      </c>
      <c r="R13" s="303">
        <v>31</v>
      </c>
      <c r="S13" s="303">
        <v>273</v>
      </c>
      <c r="T13" s="303">
        <v>226</v>
      </c>
      <c r="U13" s="303">
        <v>45</v>
      </c>
      <c r="V13" s="303">
        <v>181</v>
      </c>
      <c r="W13" s="303">
        <v>230</v>
      </c>
      <c r="X13" s="303">
        <v>65</v>
      </c>
      <c r="Y13" s="303">
        <v>165</v>
      </c>
    </row>
    <row r="14" spans="1:25">
      <c r="A14" s="15">
        <v>2020</v>
      </c>
      <c r="B14" s="530">
        <v>68</v>
      </c>
      <c r="C14" s="303">
        <v>1896</v>
      </c>
      <c r="D14" s="303">
        <v>1693</v>
      </c>
      <c r="E14" s="303">
        <v>417</v>
      </c>
      <c r="F14" s="303">
        <v>1276</v>
      </c>
      <c r="G14" s="303">
        <v>1276</v>
      </c>
      <c r="H14" s="303">
        <v>262</v>
      </c>
      <c r="I14" s="303">
        <v>1014</v>
      </c>
      <c r="J14" s="303">
        <v>40</v>
      </c>
      <c r="K14" s="303">
        <v>1650</v>
      </c>
      <c r="L14" s="303">
        <v>1482</v>
      </c>
      <c r="M14" s="303">
        <v>382</v>
      </c>
      <c r="N14" s="303">
        <v>1100</v>
      </c>
      <c r="O14" s="303">
        <v>1076</v>
      </c>
      <c r="P14" s="303">
        <v>206</v>
      </c>
      <c r="Q14" s="303">
        <v>870</v>
      </c>
      <c r="R14" s="303">
        <v>28</v>
      </c>
      <c r="S14" s="303">
        <v>246</v>
      </c>
      <c r="T14" s="303">
        <v>211</v>
      </c>
      <c r="U14" s="303">
        <v>35</v>
      </c>
      <c r="V14" s="303">
        <v>176</v>
      </c>
      <c r="W14" s="303">
        <v>200</v>
      </c>
      <c r="X14" s="303">
        <v>56</v>
      </c>
      <c r="Y14" s="303">
        <v>144</v>
      </c>
    </row>
    <row r="15" spans="1:25">
      <c r="A15" s="15">
        <v>2021</v>
      </c>
      <c r="B15" s="530">
        <v>68</v>
      </c>
      <c r="C15" s="303">
        <v>1908</v>
      </c>
      <c r="D15" s="303">
        <v>1654</v>
      </c>
      <c r="E15" s="303">
        <v>409</v>
      </c>
      <c r="F15" s="303">
        <v>1245</v>
      </c>
      <c r="G15" s="303">
        <v>1176</v>
      </c>
      <c r="H15" s="303">
        <v>184</v>
      </c>
      <c r="I15" s="303">
        <v>992</v>
      </c>
      <c r="J15" s="303">
        <v>40</v>
      </c>
      <c r="K15" s="303">
        <v>1660</v>
      </c>
      <c r="L15" s="303">
        <v>1472</v>
      </c>
      <c r="M15" s="303">
        <v>372</v>
      </c>
      <c r="N15" s="303">
        <v>1100</v>
      </c>
      <c r="O15" s="303">
        <v>1021</v>
      </c>
      <c r="P15" s="303">
        <v>160</v>
      </c>
      <c r="Q15" s="303">
        <v>861</v>
      </c>
      <c r="R15" s="303">
        <v>28</v>
      </c>
      <c r="S15" s="303">
        <v>248</v>
      </c>
      <c r="T15" s="303">
        <v>182</v>
      </c>
      <c r="U15" s="303">
        <v>37</v>
      </c>
      <c r="V15" s="303">
        <v>145</v>
      </c>
      <c r="W15" s="303">
        <v>155</v>
      </c>
      <c r="X15" s="303">
        <v>24</v>
      </c>
      <c r="Y15" s="604">
        <v>131</v>
      </c>
    </row>
    <row r="16" spans="1:25">
      <c r="A16" s="15">
        <v>2022</v>
      </c>
      <c r="B16" s="530">
        <v>68</v>
      </c>
      <c r="C16" s="303">
        <v>1926</v>
      </c>
      <c r="D16" s="303">
        <v>1722</v>
      </c>
      <c r="E16" s="303">
        <v>408</v>
      </c>
      <c r="F16" s="303">
        <v>1314</v>
      </c>
      <c r="G16" s="303">
        <v>1336</v>
      </c>
      <c r="H16" s="303">
        <v>263</v>
      </c>
      <c r="I16" s="303">
        <v>1073</v>
      </c>
      <c r="J16" s="303">
        <v>42</v>
      </c>
      <c r="K16" s="303">
        <v>1701</v>
      </c>
      <c r="L16" s="303">
        <v>1534</v>
      </c>
      <c r="M16" s="303">
        <v>370</v>
      </c>
      <c r="N16" s="303">
        <v>1164</v>
      </c>
      <c r="O16" s="303">
        <v>1158</v>
      </c>
      <c r="P16" s="303">
        <v>218</v>
      </c>
      <c r="Q16" s="303">
        <v>940</v>
      </c>
      <c r="R16" s="303">
        <v>26</v>
      </c>
      <c r="S16" s="303">
        <v>225</v>
      </c>
      <c r="T16" s="303">
        <v>188</v>
      </c>
      <c r="U16" s="303">
        <v>38</v>
      </c>
      <c r="V16" s="303">
        <v>150</v>
      </c>
      <c r="W16" s="303">
        <v>178</v>
      </c>
      <c r="X16" s="303">
        <v>45</v>
      </c>
      <c r="Y16" s="604">
        <v>133</v>
      </c>
    </row>
    <row r="17" spans="1:25">
      <c r="A17" s="15">
        <v>2023</v>
      </c>
      <c r="B17" s="530">
        <v>70</v>
      </c>
      <c r="C17" s="303">
        <v>2095</v>
      </c>
      <c r="D17" s="303">
        <v>1655</v>
      </c>
      <c r="E17" s="303">
        <v>433</v>
      </c>
      <c r="F17" s="303">
        <v>1222</v>
      </c>
      <c r="G17" s="303">
        <v>1251</v>
      </c>
      <c r="H17" s="303">
        <v>194</v>
      </c>
      <c r="I17" s="303">
        <v>1057</v>
      </c>
      <c r="J17" s="303">
        <v>43</v>
      </c>
      <c r="K17" s="303">
        <v>1861</v>
      </c>
      <c r="L17" s="303">
        <v>1491</v>
      </c>
      <c r="M17" s="303">
        <v>394</v>
      </c>
      <c r="N17" s="303">
        <v>1097</v>
      </c>
      <c r="O17" s="303">
        <v>1113</v>
      </c>
      <c r="P17" s="303">
        <v>165</v>
      </c>
      <c r="Q17" s="303">
        <v>948</v>
      </c>
      <c r="R17" s="303">
        <v>27</v>
      </c>
      <c r="S17" s="303">
        <v>234</v>
      </c>
      <c r="T17" s="303">
        <v>164</v>
      </c>
      <c r="U17" s="303">
        <v>39</v>
      </c>
      <c r="V17" s="303">
        <v>125</v>
      </c>
      <c r="W17" s="303">
        <v>138</v>
      </c>
      <c r="X17" s="303">
        <v>29</v>
      </c>
      <c r="Y17" s="604">
        <v>109</v>
      </c>
    </row>
    <row r="18" spans="1:25">
      <c r="A18" s="605">
        <v>2024</v>
      </c>
      <c r="B18" s="860">
        <f t="shared" ref="B18:I43" si="0">SUM(J18,R18)</f>
        <v>69</v>
      </c>
      <c r="C18" s="861">
        <f t="shared" si="0"/>
        <v>2086</v>
      </c>
      <c r="D18" s="861">
        <f t="shared" si="0"/>
        <v>1646</v>
      </c>
      <c r="E18" s="861">
        <f t="shared" si="0"/>
        <v>433</v>
      </c>
      <c r="F18" s="861">
        <f t="shared" si="0"/>
        <v>1213</v>
      </c>
      <c r="G18" s="861">
        <f t="shared" si="0"/>
        <v>1248</v>
      </c>
      <c r="H18" s="861">
        <f t="shared" si="0"/>
        <v>194</v>
      </c>
      <c r="I18" s="861">
        <f t="shared" si="0"/>
        <v>1054</v>
      </c>
      <c r="J18" s="861">
        <f t="shared" ref="J18:Y18" si="1">SUM(J19:J43)</f>
        <v>43</v>
      </c>
      <c r="K18" s="861">
        <f t="shared" si="1"/>
        <v>1861</v>
      </c>
      <c r="L18" s="861">
        <f t="shared" si="1"/>
        <v>1491</v>
      </c>
      <c r="M18" s="861">
        <f t="shared" si="1"/>
        <v>394</v>
      </c>
      <c r="N18" s="861">
        <f t="shared" si="1"/>
        <v>1097</v>
      </c>
      <c r="O18" s="861">
        <f t="shared" si="1"/>
        <v>1113</v>
      </c>
      <c r="P18" s="861">
        <f t="shared" si="1"/>
        <v>165</v>
      </c>
      <c r="Q18" s="861">
        <f t="shared" si="1"/>
        <v>948</v>
      </c>
      <c r="R18" s="861">
        <f t="shared" si="1"/>
        <v>26</v>
      </c>
      <c r="S18" s="861">
        <f t="shared" si="1"/>
        <v>225</v>
      </c>
      <c r="T18" s="861">
        <f t="shared" si="1"/>
        <v>155</v>
      </c>
      <c r="U18" s="861">
        <f t="shared" si="1"/>
        <v>39</v>
      </c>
      <c r="V18" s="861">
        <f t="shared" si="1"/>
        <v>116</v>
      </c>
      <c r="W18" s="861">
        <f t="shared" si="1"/>
        <v>135</v>
      </c>
      <c r="X18" s="861">
        <f t="shared" si="1"/>
        <v>29</v>
      </c>
      <c r="Y18" s="861">
        <f t="shared" si="1"/>
        <v>106</v>
      </c>
    </row>
    <row r="19" spans="1:25">
      <c r="A19" s="606" t="s">
        <v>1465</v>
      </c>
      <c r="B19" s="862">
        <f t="shared" si="0"/>
        <v>6</v>
      </c>
      <c r="C19" s="863">
        <f t="shared" si="0"/>
        <v>244</v>
      </c>
      <c r="D19" s="863">
        <f t="shared" si="0"/>
        <v>238</v>
      </c>
      <c r="E19" s="863">
        <f t="shared" si="0"/>
        <v>53</v>
      </c>
      <c r="F19" s="863">
        <f t="shared" si="0"/>
        <v>185</v>
      </c>
      <c r="G19" s="863">
        <f t="shared" si="0"/>
        <v>182</v>
      </c>
      <c r="H19" s="863">
        <f t="shared" si="0"/>
        <v>27</v>
      </c>
      <c r="I19" s="863">
        <f t="shared" si="0"/>
        <v>155</v>
      </c>
      <c r="J19" s="607">
        <v>6</v>
      </c>
      <c r="K19" s="607">
        <v>244</v>
      </c>
      <c r="L19" s="863">
        <f t="shared" ref="L19:L43" si="2">M19+N19</f>
        <v>238</v>
      </c>
      <c r="M19" s="607">
        <v>53</v>
      </c>
      <c r="N19" s="607">
        <v>185</v>
      </c>
      <c r="O19" s="863">
        <f t="shared" ref="O19:O43" si="3">P19+Q19</f>
        <v>182</v>
      </c>
      <c r="P19" s="607">
        <v>27</v>
      </c>
      <c r="Q19" s="607">
        <v>155</v>
      </c>
      <c r="R19" s="607">
        <v>0</v>
      </c>
      <c r="S19" s="607">
        <v>0</v>
      </c>
      <c r="T19" s="863">
        <f t="shared" ref="T19:T43" si="4">U19+V19</f>
        <v>0</v>
      </c>
      <c r="U19" s="607">
        <v>0</v>
      </c>
      <c r="V19" s="607">
        <v>0</v>
      </c>
      <c r="W19" s="863">
        <f t="shared" ref="W19:W43" si="5">X19+Y19</f>
        <v>0</v>
      </c>
      <c r="X19" s="607">
        <v>0</v>
      </c>
      <c r="Y19" s="607">
        <v>0</v>
      </c>
    </row>
    <row r="20" spans="1:25">
      <c r="A20" s="606" t="s">
        <v>1466</v>
      </c>
      <c r="B20" s="862">
        <f t="shared" si="0"/>
        <v>10</v>
      </c>
      <c r="C20" s="863">
        <f t="shared" si="0"/>
        <v>378</v>
      </c>
      <c r="D20" s="863">
        <f t="shared" si="0"/>
        <v>215</v>
      </c>
      <c r="E20" s="863">
        <f t="shared" si="0"/>
        <v>80</v>
      </c>
      <c r="F20" s="863">
        <f t="shared" si="0"/>
        <v>135</v>
      </c>
      <c r="G20" s="863">
        <f t="shared" si="0"/>
        <v>160</v>
      </c>
      <c r="H20" s="863">
        <f t="shared" si="0"/>
        <v>23</v>
      </c>
      <c r="I20" s="863">
        <f t="shared" si="0"/>
        <v>137</v>
      </c>
      <c r="J20" s="607">
        <v>6</v>
      </c>
      <c r="K20" s="607">
        <v>344</v>
      </c>
      <c r="L20" s="863">
        <f t="shared" si="2"/>
        <v>192</v>
      </c>
      <c r="M20" s="607">
        <v>76</v>
      </c>
      <c r="N20" s="607">
        <v>116</v>
      </c>
      <c r="O20" s="863">
        <f t="shared" si="3"/>
        <v>138</v>
      </c>
      <c r="P20" s="607">
        <v>17</v>
      </c>
      <c r="Q20" s="607">
        <v>121</v>
      </c>
      <c r="R20" s="607">
        <v>4</v>
      </c>
      <c r="S20" s="607">
        <v>34</v>
      </c>
      <c r="T20" s="863">
        <f t="shared" si="4"/>
        <v>23</v>
      </c>
      <c r="U20" s="607">
        <v>4</v>
      </c>
      <c r="V20" s="607">
        <v>19</v>
      </c>
      <c r="W20" s="863">
        <f t="shared" si="5"/>
        <v>22</v>
      </c>
      <c r="X20" s="607">
        <v>6</v>
      </c>
      <c r="Y20" s="607">
        <v>16</v>
      </c>
    </row>
    <row r="21" spans="1:25">
      <c r="A21" s="606" t="s">
        <v>1467</v>
      </c>
      <c r="B21" s="862">
        <f t="shared" si="0"/>
        <v>3</v>
      </c>
      <c r="C21" s="863">
        <f t="shared" si="0"/>
        <v>87</v>
      </c>
      <c r="D21" s="863">
        <f t="shared" si="0"/>
        <v>57</v>
      </c>
      <c r="E21" s="863">
        <f t="shared" si="0"/>
        <v>16</v>
      </c>
      <c r="F21" s="863">
        <f t="shared" si="0"/>
        <v>41</v>
      </c>
      <c r="G21" s="863">
        <f t="shared" si="0"/>
        <v>47</v>
      </c>
      <c r="H21" s="863">
        <f t="shared" si="0"/>
        <v>10</v>
      </c>
      <c r="I21" s="863">
        <f t="shared" si="0"/>
        <v>37</v>
      </c>
      <c r="J21" s="607">
        <v>3</v>
      </c>
      <c r="K21" s="607">
        <v>87</v>
      </c>
      <c r="L21" s="863">
        <f t="shared" si="2"/>
        <v>57</v>
      </c>
      <c r="M21" s="607">
        <v>16</v>
      </c>
      <c r="N21" s="607">
        <v>41</v>
      </c>
      <c r="O21" s="863">
        <f t="shared" si="3"/>
        <v>47</v>
      </c>
      <c r="P21" s="607">
        <v>10</v>
      </c>
      <c r="Q21" s="607">
        <v>37</v>
      </c>
      <c r="R21" s="607">
        <v>0</v>
      </c>
      <c r="S21" s="607">
        <v>0</v>
      </c>
      <c r="T21" s="863">
        <f t="shared" si="4"/>
        <v>0</v>
      </c>
      <c r="U21" s="607">
        <v>0</v>
      </c>
      <c r="V21" s="607">
        <v>0</v>
      </c>
      <c r="W21" s="863">
        <f t="shared" si="5"/>
        <v>0</v>
      </c>
      <c r="X21" s="607">
        <v>0</v>
      </c>
      <c r="Y21" s="607">
        <v>0</v>
      </c>
    </row>
    <row r="22" spans="1:25">
      <c r="A22" s="606" t="s">
        <v>1468</v>
      </c>
      <c r="B22" s="862">
        <f t="shared" si="0"/>
        <v>4</v>
      </c>
      <c r="C22" s="863">
        <f t="shared" si="0"/>
        <v>121</v>
      </c>
      <c r="D22" s="863">
        <f t="shared" si="0"/>
        <v>85</v>
      </c>
      <c r="E22" s="863">
        <f t="shared" si="0"/>
        <v>26</v>
      </c>
      <c r="F22" s="863">
        <f t="shared" si="0"/>
        <v>59</v>
      </c>
      <c r="G22" s="863">
        <f t="shared" si="0"/>
        <v>65</v>
      </c>
      <c r="H22" s="863">
        <f t="shared" si="0"/>
        <v>14</v>
      </c>
      <c r="I22" s="863">
        <f t="shared" si="0"/>
        <v>51</v>
      </c>
      <c r="J22" s="607">
        <v>2</v>
      </c>
      <c r="K22" s="607">
        <v>103</v>
      </c>
      <c r="L22" s="863">
        <f t="shared" si="2"/>
        <v>73</v>
      </c>
      <c r="M22" s="607">
        <v>19</v>
      </c>
      <c r="N22" s="607">
        <v>54</v>
      </c>
      <c r="O22" s="863">
        <f t="shared" si="3"/>
        <v>55</v>
      </c>
      <c r="P22" s="607">
        <v>12</v>
      </c>
      <c r="Q22" s="607">
        <v>43</v>
      </c>
      <c r="R22" s="607">
        <v>2</v>
      </c>
      <c r="S22" s="607">
        <v>18</v>
      </c>
      <c r="T22" s="863">
        <f t="shared" si="4"/>
        <v>12</v>
      </c>
      <c r="U22" s="607">
        <v>7</v>
      </c>
      <c r="V22" s="607">
        <v>5</v>
      </c>
      <c r="W22" s="863">
        <f t="shared" si="5"/>
        <v>10</v>
      </c>
      <c r="X22" s="607">
        <v>2</v>
      </c>
      <c r="Y22" s="607">
        <v>8</v>
      </c>
    </row>
    <row r="23" spans="1:25">
      <c r="A23" s="606" t="s">
        <v>1469</v>
      </c>
      <c r="B23" s="862">
        <f t="shared" si="0"/>
        <v>8</v>
      </c>
      <c r="C23" s="863">
        <f t="shared" si="0"/>
        <v>249</v>
      </c>
      <c r="D23" s="863">
        <f t="shared" si="0"/>
        <v>205</v>
      </c>
      <c r="E23" s="863">
        <f t="shared" si="0"/>
        <v>41</v>
      </c>
      <c r="F23" s="863">
        <f t="shared" si="0"/>
        <v>164</v>
      </c>
      <c r="G23" s="863">
        <f t="shared" si="0"/>
        <v>151</v>
      </c>
      <c r="H23" s="863">
        <f t="shared" si="0"/>
        <v>23</v>
      </c>
      <c r="I23" s="863">
        <f t="shared" si="0"/>
        <v>128</v>
      </c>
      <c r="J23" s="607">
        <v>5</v>
      </c>
      <c r="K23" s="607">
        <v>222</v>
      </c>
      <c r="L23" s="863">
        <f t="shared" si="2"/>
        <v>187</v>
      </c>
      <c r="M23" s="607">
        <v>38</v>
      </c>
      <c r="N23" s="607">
        <v>149</v>
      </c>
      <c r="O23" s="863">
        <f t="shared" si="3"/>
        <v>135</v>
      </c>
      <c r="P23" s="607">
        <v>20</v>
      </c>
      <c r="Q23" s="607">
        <v>115</v>
      </c>
      <c r="R23" s="607">
        <v>3</v>
      </c>
      <c r="S23" s="607">
        <v>27</v>
      </c>
      <c r="T23" s="863">
        <f t="shared" si="4"/>
        <v>18</v>
      </c>
      <c r="U23" s="607">
        <v>3</v>
      </c>
      <c r="V23" s="607">
        <v>15</v>
      </c>
      <c r="W23" s="863">
        <f t="shared" si="5"/>
        <v>16</v>
      </c>
      <c r="X23" s="607">
        <v>3</v>
      </c>
      <c r="Y23" s="607">
        <v>13</v>
      </c>
    </row>
    <row r="24" spans="1:25">
      <c r="A24" s="606" t="s">
        <v>1470</v>
      </c>
      <c r="B24" s="862">
        <f t="shared" si="0"/>
        <v>1</v>
      </c>
      <c r="C24" s="863">
        <f t="shared" si="0"/>
        <v>70</v>
      </c>
      <c r="D24" s="863">
        <f t="shared" si="0"/>
        <v>51</v>
      </c>
      <c r="E24" s="863">
        <f t="shared" si="0"/>
        <v>19</v>
      </c>
      <c r="F24" s="863">
        <f t="shared" si="0"/>
        <v>32</v>
      </c>
      <c r="G24" s="863">
        <f t="shared" si="0"/>
        <v>36</v>
      </c>
      <c r="H24" s="863">
        <f t="shared" si="0"/>
        <v>8</v>
      </c>
      <c r="I24" s="863">
        <f t="shared" si="0"/>
        <v>28</v>
      </c>
      <c r="J24" s="607">
        <v>1</v>
      </c>
      <c r="K24" s="607">
        <v>70</v>
      </c>
      <c r="L24" s="863">
        <f t="shared" si="2"/>
        <v>51</v>
      </c>
      <c r="M24" s="607">
        <v>19</v>
      </c>
      <c r="N24" s="607">
        <v>32</v>
      </c>
      <c r="O24" s="863">
        <f t="shared" si="3"/>
        <v>36</v>
      </c>
      <c r="P24" s="607">
        <v>8</v>
      </c>
      <c r="Q24" s="607">
        <v>28</v>
      </c>
      <c r="R24" s="607">
        <v>0</v>
      </c>
      <c r="S24" s="607">
        <v>0</v>
      </c>
      <c r="T24" s="863">
        <f t="shared" si="4"/>
        <v>0</v>
      </c>
      <c r="U24" s="607">
        <v>0</v>
      </c>
      <c r="V24" s="607">
        <v>0</v>
      </c>
      <c r="W24" s="863">
        <f t="shared" si="5"/>
        <v>0</v>
      </c>
      <c r="X24" s="607">
        <v>0</v>
      </c>
      <c r="Y24" s="607">
        <v>0</v>
      </c>
    </row>
    <row r="25" spans="1:25">
      <c r="A25" s="606" t="s">
        <v>1471</v>
      </c>
      <c r="B25" s="862">
        <f t="shared" si="0"/>
        <v>2</v>
      </c>
      <c r="C25" s="863">
        <f t="shared" si="0"/>
        <v>76</v>
      </c>
      <c r="D25" s="863">
        <f t="shared" si="0"/>
        <v>67</v>
      </c>
      <c r="E25" s="863">
        <f t="shared" si="0"/>
        <v>16</v>
      </c>
      <c r="F25" s="863">
        <f t="shared" si="0"/>
        <v>51</v>
      </c>
      <c r="G25" s="863">
        <f t="shared" si="0"/>
        <v>58</v>
      </c>
      <c r="H25" s="863">
        <f t="shared" si="0"/>
        <v>15</v>
      </c>
      <c r="I25" s="863">
        <f t="shared" si="0"/>
        <v>43</v>
      </c>
      <c r="J25" s="607">
        <v>2</v>
      </c>
      <c r="K25" s="607">
        <v>76</v>
      </c>
      <c r="L25" s="863">
        <f t="shared" si="2"/>
        <v>67</v>
      </c>
      <c r="M25" s="607">
        <v>16</v>
      </c>
      <c r="N25" s="607">
        <v>51</v>
      </c>
      <c r="O25" s="863">
        <f t="shared" si="3"/>
        <v>58</v>
      </c>
      <c r="P25" s="607">
        <v>15</v>
      </c>
      <c r="Q25" s="607">
        <v>43</v>
      </c>
      <c r="R25" s="607">
        <v>0</v>
      </c>
      <c r="S25" s="607">
        <v>0</v>
      </c>
      <c r="T25" s="863">
        <f t="shared" si="4"/>
        <v>0</v>
      </c>
      <c r="U25" s="607">
        <v>0</v>
      </c>
      <c r="V25" s="607">
        <v>0</v>
      </c>
      <c r="W25" s="863">
        <f t="shared" si="5"/>
        <v>0</v>
      </c>
      <c r="X25" s="607">
        <v>0</v>
      </c>
      <c r="Y25" s="607">
        <v>0</v>
      </c>
    </row>
    <row r="26" spans="1:25">
      <c r="A26" s="606" t="s">
        <v>1472</v>
      </c>
      <c r="B26" s="862">
        <f t="shared" si="0"/>
        <v>4</v>
      </c>
      <c r="C26" s="863">
        <f t="shared" si="0"/>
        <v>154</v>
      </c>
      <c r="D26" s="863">
        <f t="shared" si="0"/>
        <v>149</v>
      </c>
      <c r="E26" s="863">
        <f t="shared" si="0"/>
        <v>36</v>
      </c>
      <c r="F26" s="863">
        <f t="shared" si="0"/>
        <v>113</v>
      </c>
      <c r="G26" s="863">
        <f t="shared" si="0"/>
        <v>109</v>
      </c>
      <c r="H26" s="863">
        <f t="shared" si="0"/>
        <v>14</v>
      </c>
      <c r="I26" s="863">
        <f t="shared" si="0"/>
        <v>95</v>
      </c>
      <c r="J26" s="607">
        <v>4</v>
      </c>
      <c r="K26" s="607">
        <v>154</v>
      </c>
      <c r="L26" s="863">
        <f t="shared" si="2"/>
        <v>149</v>
      </c>
      <c r="M26" s="607">
        <v>36</v>
      </c>
      <c r="N26" s="607">
        <v>113</v>
      </c>
      <c r="O26" s="863">
        <f t="shared" si="3"/>
        <v>109</v>
      </c>
      <c r="P26" s="607">
        <v>14</v>
      </c>
      <c r="Q26" s="607">
        <v>95</v>
      </c>
      <c r="R26" s="607">
        <v>0</v>
      </c>
      <c r="S26" s="607">
        <v>0</v>
      </c>
      <c r="T26" s="863">
        <f t="shared" si="4"/>
        <v>0</v>
      </c>
      <c r="U26" s="607">
        <v>0</v>
      </c>
      <c r="V26" s="607">
        <v>0</v>
      </c>
      <c r="W26" s="863">
        <f t="shared" si="5"/>
        <v>0</v>
      </c>
      <c r="X26" s="607">
        <v>0</v>
      </c>
      <c r="Y26" s="607">
        <v>0</v>
      </c>
    </row>
    <row r="27" spans="1:25">
      <c r="A27" s="606" t="s">
        <v>1473</v>
      </c>
      <c r="B27" s="862">
        <f t="shared" si="0"/>
        <v>2</v>
      </c>
      <c r="C27" s="863">
        <f t="shared" si="0"/>
        <v>18</v>
      </c>
      <c r="D27" s="863">
        <f t="shared" si="0"/>
        <v>14</v>
      </c>
      <c r="E27" s="863">
        <f t="shared" si="0"/>
        <v>5</v>
      </c>
      <c r="F27" s="863">
        <f t="shared" si="0"/>
        <v>9</v>
      </c>
      <c r="G27" s="863">
        <f t="shared" si="0"/>
        <v>14</v>
      </c>
      <c r="H27" s="863">
        <f t="shared" si="0"/>
        <v>3</v>
      </c>
      <c r="I27" s="863">
        <f t="shared" si="0"/>
        <v>11</v>
      </c>
      <c r="J27" s="607">
        <v>0</v>
      </c>
      <c r="K27" s="607">
        <v>0</v>
      </c>
      <c r="L27" s="863">
        <f t="shared" si="2"/>
        <v>0</v>
      </c>
      <c r="M27" s="607">
        <v>0</v>
      </c>
      <c r="N27" s="607">
        <v>0</v>
      </c>
      <c r="O27" s="863">
        <f t="shared" si="3"/>
        <v>0</v>
      </c>
      <c r="P27" s="607">
        <v>0</v>
      </c>
      <c r="Q27" s="607">
        <v>0</v>
      </c>
      <c r="R27" s="607">
        <v>2</v>
      </c>
      <c r="S27" s="607">
        <v>18</v>
      </c>
      <c r="T27" s="863">
        <f t="shared" si="4"/>
        <v>14</v>
      </c>
      <c r="U27" s="607">
        <v>5</v>
      </c>
      <c r="V27" s="607">
        <v>9</v>
      </c>
      <c r="W27" s="863">
        <f t="shared" si="5"/>
        <v>14</v>
      </c>
      <c r="X27" s="607">
        <v>3</v>
      </c>
      <c r="Y27" s="607">
        <v>11</v>
      </c>
    </row>
    <row r="28" spans="1:25">
      <c r="A28" s="606" t="s">
        <v>1474</v>
      </c>
      <c r="B28" s="862">
        <f t="shared" si="0"/>
        <v>1</v>
      </c>
      <c r="C28" s="863">
        <f t="shared" si="0"/>
        <v>18</v>
      </c>
      <c r="D28" s="863">
        <f t="shared" si="0"/>
        <v>18</v>
      </c>
      <c r="E28" s="863">
        <f t="shared" si="0"/>
        <v>5</v>
      </c>
      <c r="F28" s="863">
        <f t="shared" si="0"/>
        <v>13</v>
      </c>
      <c r="G28" s="863">
        <f t="shared" si="0"/>
        <v>11</v>
      </c>
      <c r="H28" s="863">
        <f t="shared" si="0"/>
        <v>1</v>
      </c>
      <c r="I28" s="863">
        <f t="shared" si="0"/>
        <v>10</v>
      </c>
      <c r="J28" s="607">
        <v>1</v>
      </c>
      <c r="K28" s="607">
        <v>18</v>
      </c>
      <c r="L28" s="863">
        <f t="shared" si="2"/>
        <v>18</v>
      </c>
      <c r="M28" s="607">
        <v>5</v>
      </c>
      <c r="N28" s="607">
        <v>13</v>
      </c>
      <c r="O28" s="863">
        <f t="shared" si="3"/>
        <v>11</v>
      </c>
      <c r="P28" s="607">
        <v>1</v>
      </c>
      <c r="Q28" s="607">
        <v>10</v>
      </c>
      <c r="R28" s="607">
        <v>0</v>
      </c>
      <c r="S28" s="607">
        <v>0</v>
      </c>
      <c r="T28" s="863">
        <f t="shared" si="4"/>
        <v>0</v>
      </c>
      <c r="U28" s="607">
        <v>0</v>
      </c>
      <c r="V28" s="607">
        <v>0</v>
      </c>
      <c r="W28" s="863">
        <f t="shared" si="5"/>
        <v>0</v>
      </c>
      <c r="X28" s="607">
        <v>0</v>
      </c>
      <c r="Y28" s="607">
        <v>0</v>
      </c>
    </row>
    <row r="29" spans="1:25">
      <c r="A29" s="606" t="s">
        <v>1475</v>
      </c>
      <c r="B29" s="862">
        <f t="shared" si="0"/>
        <v>0</v>
      </c>
      <c r="C29" s="863">
        <f t="shared" si="0"/>
        <v>0</v>
      </c>
      <c r="D29" s="863">
        <f t="shared" si="0"/>
        <v>0</v>
      </c>
      <c r="E29" s="863">
        <f t="shared" si="0"/>
        <v>0</v>
      </c>
      <c r="F29" s="863">
        <f t="shared" si="0"/>
        <v>0</v>
      </c>
      <c r="G29" s="863">
        <f t="shared" si="0"/>
        <v>0</v>
      </c>
      <c r="H29" s="863">
        <f t="shared" si="0"/>
        <v>0</v>
      </c>
      <c r="I29" s="863">
        <f t="shared" si="0"/>
        <v>0</v>
      </c>
      <c r="J29" s="607">
        <v>0</v>
      </c>
      <c r="K29" s="607">
        <v>0</v>
      </c>
      <c r="L29" s="863">
        <f t="shared" si="2"/>
        <v>0</v>
      </c>
      <c r="M29" s="607">
        <v>0</v>
      </c>
      <c r="N29" s="607">
        <v>0</v>
      </c>
      <c r="O29" s="863">
        <f t="shared" si="3"/>
        <v>0</v>
      </c>
      <c r="P29" s="607">
        <v>0</v>
      </c>
      <c r="Q29" s="607">
        <v>0</v>
      </c>
      <c r="R29" s="607">
        <v>0</v>
      </c>
      <c r="S29" s="607">
        <v>0</v>
      </c>
      <c r="T29" s="863">
        <f t="shared" si="4"/>
        <v>0</v>
      </c>
      <c r="U29" s="607">
        <v>0</v>
      </c>
      <c r="V29" s="607">
        <v>0</v>
      </c>
      <c r="W29" s="863">
        <f t="shared" si="5"/>
        <v>0</v>
      </c>
      <c r="X29" s="607">
        <v>0</v>
      </c>
      <c r="Y29" s="607">
        <v>0</v>
      </c>
    </row>
    <row r="30" spans="1:25">
      <c r="A30" s="606" t="s">
        <v>1476</v>
      </c>
      <c r="B30" s="862">
        <f t="shared" si="0"/>
        <v>1</v>
      </c>
      <c r="C30" s="863">
        <f t="shared" si="0"/>
        <v>9</v>
      </c>
      <c r="D30" s="863">
        <f t="shared" si="0"/>
        <v>9</v>
      </c>
      <c r="E30" s="863">
        <f t="shared" si="0"/>
        <v>6</v>
      </c>
      <c r="F30" s="863">
        <f t="shared" si="0"/>
        <v>3</v>
      </c>
      <c r="G30" s="863">
        <f t="shared" si="0"/>
        <v>6</v>
      </c>
      <c r="H30" s="863">
        <f t="shared" si="0"/>
        <v>1</v>
      </c>
      <c r="I30" s="863">
        <f t="shared" si="0"/>
        <v>5</v>
      </c>
      <c r="J30" s="607">
        <v>0</v>
      </c>
      <c r="K30" s="607">
        <v>0</v>
      </c>
      <c r="L30" s="863">
        <f t="shared" si="2"/>
        <v>0</v>
      </c>
      <c r="M30" s="607">
        <v>0</v>
      </c>
      <c r="N30" s="607">
        <v>0</v>
      </c>
      <c r="O30" s="863">
        <f t="shared" si="3"/>
        <v>0</v>
      </c>
      <c r="P30" s="607">
        <v>0</v>
      </c>
      <c r="Q30" s="607">
        <v>0</v>
      </c>
      <c r="R30" s="607">
        <v>1</v>
      </c>
      <c r="S30" s="607">
        <v>9</v>
      </c>
      <c r="T30" s="863">
        <f t="shared" si="4"/>
        <v>9</v>
      </c>
      <c r="U30" s="607">
        <v>6</v>
      </c>
      <c r="V30" s="607">
        <v>3</v>
      </c>
      <c r="W30" s="863">
        <f t="shared" si="5"/>
        <v>6</v>
      </c>
      <c r="X30" s="607">
        <v>1</v>
      </c>
      <c r="Y30" s="607">
        <v>5</v>
      </c>
    </row>
    <row r="31" spans="1:25">
      <c r="A31" s="606" t="s">
        <v>1477</v>
      </c>
      <c r="B31" s="862">
        <f t="shared" si="0"/>
        <v>4</v>
      </c>
      <c r="C31" s="863">
        <f t="shared" si="0"/>
        <v>202</v>
      </c>
      <c r="D31" s="863">
        <f t="shared" si="0"/>
        <v>167</v>
      </c>
      <c r="E31" s="863">
        <f t="shared" si="0"/>
        <v>41</v>
      </c>
      <c r="F31" s="863">
        <f t="shared" si="0"/>
        <v>126</v>
      </c>
      <c r="G31" s="863">
        <f t="shared" si="0"/>
        <v>130</v>
      </c>
      <c r="H31" s="863">
        <f t="shared" si="0"/>
        <v>13</v>
      </c>
      <c r="I31" s="863">
        <f t="shared" si="0"/>
        <v>117</v>
      </c>
      <c r="J31" s="607">
        <v>3</v>
      </c>
      <c r="K31" s="607">
        <v>193</v>
      </c>
      <c r="L31" s="863">
        <f t="shared" si="2"/>
        <v>160</v>
      </c>
      <c r="M31" s="607">
        <v>39</v>
      </c>
      <c r="N31" s="607">
        <v>121</v>
      </c>
      <c r="O31" s="863">
        <f t="shared" si="3"/>
        <v>124</v>
      </c>
      <c r="P31" s="607">
        <v>12</v>
      </c>
      <c r="Q31" s="607">
        <v>112</v>
      </c>
      <c r="R31" s="607">
        <v>1</v>
      </c>
      <c r="S31" s="607">
        <v>9</v>
      </c>
      <c r="T31" s="863">
        <f t="shared" si="4"/>
        <v>7</v>
      </c>
      <c r="U31" s="607">
        <v>2</v>
      </c>
      <c r="V31" s="607">
        <v>5</v>
      </c>
      <c r="W31" s="863">
        <f t="shared" si="5"/>
        <v>6</v>
      </c>
      <c r="X31" s="607">
        <v>1</v>
      </c>
      <c r="Y31" s="607">
        <v>5</v>
      </c>
    </row>
    <row r="32" spans="1:25">
      <c r="A32" s="606" t="s">
        <v>1478</v>
      </c>
      <c r="B32" s="862">
        <f t="shared" si="0"/>
        <v>0</v>
      </c>
      <c r="C32" s="863">
        <f t="shared" si="0"/>
        <v>0</v>
      </c>
      <c r="D32" s="863">
        <f t="shared" si="0"/>
        <v>0</v>
      </c>
      <c r="E32" s="863">
        <f t="shared" si="0"/>
        <v>0</v>
      </c>
      <c r="F32" s="863">
        <f t="shared" si="0"/>
        <v>0</v>
      </c>
      <c r="G32" s="863">
        <f t="shared" si="0"/>
        <v>0</v>
      </c>
      <c r="H32" s="863">
        <f t="shared" si="0"/>
        <v>0</v>
      </c>
      <c r="I32" s="863">
        <f t="shared" si="0"/>
        <v>0</v>
      </c>
      <c r="J32" s="607">
        <v>0</v>
      </c>
      <c r="K32" s="607">
        <v>0</v>
      </c>
      <c r="L32" s="863">
        <f t="shared" si="2"/>
        <v>0</v>
      </c>
      <c r="M32" s="607">
        <v>0</v>
      </c>
      <c r="N32" s="607">
        <v>0</v>
      </c>
      <c r="O32" s="863">
        <f t="shared" si="3"/>
        <v>0</v>
      </c>
      <c r="P32" s="607">
        <v>0</v>
      </c>
      <c r="Q32" s="607">
        <v>0</v>
      </c>
      <c r="R32" s="607">
        <v>0</v>
      </c>
      <c r="S32" s="607">
        <v>0</v>
      </c>
      <c r="T32" s="863">
        <f t="shared" si="4"/>
        <v>0</v>
      </c>
      <c r="U32" s="607">
        <v>0</v>
      </c>
      <c r="V32" s="607">
        <v>0</v>
      </c>
      <c r="W32" s="863">
        <f t="shared" si="5"/>
        <v>0</v>
      </c>
      <c r="X32" s="607">
        <v>0</v>
      </c>
      <c r="Y32" s="607">
        <v>0</v>
      </c>
    </row>
    <row r="33" spans="1:25">
      <c r="A33" s="606" t="s">
        <v>1479</v>
      </c>
      <c r="B33" s="862">
        <f t="shared" si="0"/>
        <v>1</v>
      </c>
      <c r="C33" s="863">
        <f t="shared" si="0"/>
        <v>26</v>
      </c>
      <c r="D33" s="863">
        <f t="shared" si="0"/>
        <v>24</v>
      </c>
      <c r="E33" s="863">
        <f t="shared" si="0"/>
        <v>12</v>
      </c>
      <c r="F33" s="863">
        <f t="shared" si="0"/>
        <v>12</v>
      </c>
      <c r="G33" s="863">
        <f t="shared" si="0"/>
        <v>17</v>
      </c>
      <c r="H33" s="863">
        <f t="shared" si="0"/>
        <v>3</v>
      </c>
      <c r="I33" s="863">
        <f t="shared" si="0"/>
        <v>14</v>
      </c>
      <c r="J33" s="607">
        <v>1</v>
      </c>
      <c r="K33" s="607">
        <v>26</v>
      </c>
      <c r="L33" s="863">
        <f t="shared" si="2"/>
        <v>24</v>
      </c>
      <c r="M33" s="607">
        <v>12</v>
      </c>
      <c r="N33" s="607">
        <v>12</v>
      </c>
      <c r="O33" s="863">
        <f t="shared" si="3"/>
        <v>17</v>
      </c>
      <c r="P33" s="607">
        <v>3</v>
      </c>
      <c r="Q33" s="607">
        <v>14</v>
      </c>
      <c r="R33" s="607">
        <v>0</v>
      </c>
      <c r="S33" s="607">
        <v>0</v>
      </c>
      <c r="T33" s="863">
        <f t="shared" si="4"/>
        <v>0</v>
      </c>
      <c r="U33" s="607">
        <v>0</v>
      </c>
      <c r="V33" s="607">
        <v>0</v>
      </c>
      <c r="W33" s="863">
        <f t="shared" si="5"/>
        <v>0</v>
      </c>
      <c r="X33" s="607">
        <v>0</v>
      </c>
      <c r="Y33" s="607">
        <v>0</v>
      </c>
    </row>
    <row r="34" spans="1:25">
      <c r="A34" s="606" t="s">
        <v>1480</v>
      </c>
      <c r="B34" s="862">
        <f t="shared" si="0"/>
        <v>2</v>
      </c>
      <c r="C34" s="863">
        <f t="shared" si="0"/>
        <v>35</v>
      </c>
      <c r="D34" s="863">
        <f t="shared" si="0"/>
        <v>32</v>
      </c>
      <c r="E34" s="863">
        <f t="shared" si="0"/>
        <v>7</v>
      </c>
      <c r="F34" s="863">
        <f t="shared" si="0"/>
        <v>25</v>
      </c>
      <c r="G34" s="863">
        <f t="shared" si="0"/>
        <v>24</v>
      </c>
      <c r="H34" s="863">
        <f t="shared" si="0"/>
        <v>5</v>
      </c>
      <c r="I34" s="863">
        <f t="shared" si="0"/>
        <v>19</v>
      </c>
      <c r="J34" s="607">
        <v>1</v>
      </c>
      <c r="K34" s="607">
        <v>29</v>
      </c>
      <c r="L34" s="863">
        <f t="shared" si="2"/>
        <v>28</v>
      </c>
      <c r="M34" s="607">
        <v>5</v>
      </c>
      <c r="N34" s="607">
        <v>23</v>
      </c>
      <c r="O34" s="863">
        <f t="shared" si="3"/>
        <v>19</v>
      </c>
      <c r="P34" s="607">
        <v>1</v>
      </c>
      <c r="Q34" s="607">
        <v>18</v>
      </c>
      <c r="R34" s="607">
        <v>1</v>
      </c>
      <c r="S34" s="607">
        <v>6</v>
      </c>
      <c r="T34" s="863">
        <f t="shared" si="4"/>
        <v>4</v>
      </c>
      <c r="U34" s="607">
        <v>2</v>
      </c>
      <c r="V34" s="607">
        <v>2</v>
      </c>
      <c r="W34" s="863">
        <f t="shared" si="5"/>
        <v>5</v>
      </c>
      <c r="X34" s="607">
        <v>4</v>
      </c>
      <c r="Y34" s="607">
        <v>1</v>
      </c>
    </row>
    <row r="35" spans="1:25">
      <c r="A35" s="606" t="s">
        <v>1481</v>
      </c>
      <c r="B35" s="862">
        <f t="shared" si="0"/>
        <v>2</v>
      </c>
      <c r="C35" s="863">
        <f t="shared" si="0"/>
        <v>28</v>
      </c>
      <c r="D35" s="863">
        <f t="shared" si="0"/>
        <v>28</v>
      </c>
      <c r="E35" s="863">
        <f t="shared" si="0"/>
        <v>3</v>
      </c>
      <c r="F35" s="863">
        <f t="shared" si="0"/>
        <v>25</v>
      </c>
      <c r="G35" s="863">
        <f t="shared" si="0"/>
        <v>25</v>
      </c>
      <c r="H35" s="863">
        <f t="shared" si="0"/>
        <v>2</v>
      </c>
      <c r="I35" s="863">
        <f t="shared" si="0"/>
        <v>23</v>
      </c>
      <c r="J35" s="607">
        <v>2</v>
      </c>
      <c r="K35" s="607">
        <v>28</v>
      </c>
      <c r="L35" s="863">
        <f t="shared" si="2"/>
        <v>28</v>
      </c>
      <c r="M35" s="607">
        <v>3</v>
      </c>
      <c r="N35" s="607">
        <v>25</v>
      </c>
      <c r="O35" s="863">
        <f t="shared" si="3"/>
        <v>25</v>
      </c>
      <c r="P35" s="607">
        <v>2</v>
      </c>
      <c r="Q35" s="607">
        <v>23</v>
      </c>
      <c r="R35" s="607">
        <v>0</v>
      </c>
      <c r="S35" s="607">
        <v>0</v>
      </c>
      <c r="T35" s="863">
        <f t="shared" si="4"/>
        <v>0</v>
      </c>
      <c r="U35" s="607">
        <v>0</v>
      </c>
      <c r="V35" s="607">
        <v>0</v>
      </c>
      <c r="W35" s="863">
        <f t="shared" si="5"/>
        <v>0</v>
      </c>
      <c r="X35" s="607">
        <v>0</v>
      </c>
      <c r="Y35" s="607">
        <v>0</v>
      </c>
    </row>
    <row r="36" spans="1:25">
      <c r="A36" s="606" t="s">
        <v>1482</v>
      </c>
      <c r="B36" s="862">
        <f t="shared" si="0"/>
        <v>5</v>
      </c>
      <c r="C36" s="863">
        <f t="shared" si="0"/>
        <v>74</v>
      </c>
      <c r="D36" s="863">
        <f t="shared" si="0"/>
        <v>65</v>
      </c>
      <c r="E36" s="863">
        <f t="shared" si="0"/>
        <v>19</v>
      </c>
      <c r="F36" s="863">
        <f t="shared" si="0"/>
        <v>46</v>
      </c>
      <c r="G36" s="863">
        <f t="shared" si="0"/>
        <v>50</v>
      </c>
      <c r="H36" s="863">
        <f t="shared" si="0"/>
        <v>5</v>
      </c>
      <c r="I36" s="863">
        <f t="shared" si="0"/>
        <v>45</v>
      </c>
      <c r="J36" s="607">
        <v>2</v>
      </c>
      <c r="K36" s="607">
        <v>49</v>
      </c>
      <c r="L36" s="863">
        <f t="shared" si="2"/>
        <v>49</v>
      </c>
      <c r="M36" s="607">
        <v>16</v>
      </c>
      <c r="N36" s="607">
        <v>33</v>
      </c>
      <c r="O36" s="863">
        <f t="shared" si="3"/>
        <v>36</v>
      </c>
      <c r="P36" s="607">
        <v>3</v>
      </c>
      <c r="Q36" s="607">
        <v>33</v>
      </c>
      <c r="R36" s="607">
        <v>3</v>
      </c>
      <c r="S36" s="607">
        <v>25</v>
      </c>
      <c r="T36" s="863">
        <f t="shared" si="4"/>
        <v>16</v>
      </c>
      <c r="U36" s="607">
        <v>3</v>
      </c>
      <c r="V36" s="607">
        <v>13</v>
      </c>
      <c r="W36" s="863">
        <f t="shared" si="5"/>
        <v>14</v>
      </c>
      <c r="X36" s="607">
        <v>2</v>
      </c>
      <c r="Y36" s="607">
        <v>12</v>
      </c>
    </row>
    <row r="37" spans="1:25">
      <c r="A37" s="606" t="s">
        <v>1483</v>
      </c>
      <c r="B37" s="862">
        <f t="shared" si="0"/>
        <v>0</v>
      </c>
      <c r="C37" s="863">
        <f t="shared" si="0"/>
        <v>0</v>
      </c>
      <c r="D37" s="863">
        <f t="shared" si="0"/>
        <v>0</v>
      </c>
      <c r="E37" s="863">
        <f t="shared" si="0"/>
        <v>0</v>
      </c>
      <c r="F37" s="863">
        <f t="shared" si="0"/>
        <v>0</v>
      </c>
      <c r="G37" s="863">
        <f t="shared" si="0"/>
        <v>0</v>
      </c>
      <c r="H37" s="863">
        <f t="shared" si="0"/>
        <v>0</v>
      </c>
      <c r="I37" s="863">
        <f t="shared" si="0"/>
        <v>0</v>
      </c>
      <c r="J37" s="607">
        <v>0</v>
      </c>
      <c r="K37" s="607">
        <v>0</v>
      </c>
      <c r="L37" s="863">
        <f t="shared" si="2"/>
        <v>0</v>
      </c>
      <c r="M37" s="607">
        <v>0</v>
      </c>
      <c r="N37" s="607">
        <v>0</v>
      </c>
      <c r="O37" s="863">
        <f t="shared" si="3"/>
        <v>0</v>
      </c>
      <c r="P37" s="607">
        <v>0</v>
      </c>
      <c r="Q37" s="607">
        <v>0</v>
      </c>
      <c r="R37" s="607">
        <v>0</v>
      </c>
      <c r="S37" s="607">
        <v>0</v>
      </c>
      <c r="T37" s="863">
        <f t="shared" si="4"/>
        <v>0</v>
      </c>
      <c r="U37" s="607">
        <v>0</v>
      </c>
      <c r="V37" s="607">
        <v>0</v>
      </c>
      <c r="W37" s="863">
        <f t="shared" si="5"/>
        <v>0</v>
      </c>
      <c r="X37" s="607">
        <v>0</v>
      </c>
      <c r="Y37" s="607">
        <v>0</v>
      </c>
    </row>
    <row r="38" spans="1:25">
      <c r="A38" s="606" t="s">
        <v>1484</v>
      </c>
      <c r="B38" s="862">
        <f t="shared" si="0"/>
        <v>0</v>
      </c>
      <c r="C38" s="863">
        <f t="shared" si="0"/>
        <v>0</v>
      </c>
      <c r="D38" s="863">
        <f t="shared" si="0"/>
        <v>0</v>
      </c>
      <c r="E38" s="863">
        <f t="shared" si="0"/>
        <v>0</v>
      </c>
      <c r="F38" s="863">
        <f t="shared" si="0"/>
        <v>0</v>
      </c>
      <c r="G38" s="863">
        <f t="shared" si="0"/>
        <v>0</v>
      </c>
      <c r="H38" s="863">
        <f t="shared" si="0"/>
        <v>0</v>
      </c>
      <c r="I38" s="863">
        <f t="shared" si="0"/>
        <v>0</v>
      </c>
      <c r="J38" s="607">
        <v>0</v>
      </c>
      <c r="K38" s="607">
        <v>0</v>
      </c>
      <c r="L38" s="863">
        <f t="shared" si="2"/>
        <v>0</v>
      </c>
      <c r="M38" s="607">
        <v>0</v>
      </c>
      <c r="N38" s="607">
        <v>0</v>
      </c>
      <c r="O38" s="863">
        <f t="shared" si="3"/>
        <v>0</v>
      </c>
      <c r="P38" s="607">
        <v>0</v>
      </c>
      <c r="Q38" s="607">
        <v>0</v>
      </c>
      <c r="R38" s="607">
        <v>0</v>
      </c>
      <c r="S38" s="607">
        <v>0</v>
      </c>
      <c r="T38" s="863">
        <f t="shared" si="4"/>
        <v>0</v>
      </c>
      <c r="U38" s="607">
        <v>0</v>
      </c>
      <c r="V38" s="607">
        <v>0</v>
      </c>
      <c r="W38" s="863">
        <f t="shared" si="5"/>
        <v>0</v>
      </c>
      <c r="X38" s="607">
        <v>0</v>
      </c>
      <c r="Y38" s="607">
        <v>0</v>
      </c>
    </row>
    <row r="39" spans="1:25">
      <c r="A39" s="606" t="s">
        <v>1485</v>
      </c>
      <c r="B39" s="862">
        <f t="shared" si="0"/>
        <v>0</v>
      </c>
      <c r="C39" s="863">
        <f t="shared" si="0"/>
        <v>0</v>
      </c>
      <c r="D39" s="863">
        <f t="shared" si="0"/>
        <v>0</v>
      </c>
      <c r="E39" s="863">
        <f t="shared" si="0"/>
        <v>0</v>
      </c>
      <c r="F39" s="863">
        <f t="shared" si="0"/>
        <v>0</v>
      </c>
      <c r="G39" s="863">
        <f t="shared" si="0"/>
        <v>0</v>
      </c>
      <c r="H39" s="863">
        <f t="shared" si="0"/>
        <v>0</v>
      </c>
      <c r="I39" s="863">
        <f t="shared" si="0"/>
        <v>0</v>
      </c>
      <c r="J39" s="607">
        <v>0</v>
      </c>
      <c r="K39" s="607">
        <v>0</v>
      </c>
      <c r="L39" s="863">
        <f t="shared" si="2"/>
        <v>0</v>
      </c>
      <c r="M39" s="607">
        <v>0</v>
      </c>
      <c r="N39" s="607">
        <v>0</v>
      </c>
      <c r="O39" s="863">
        <f t="shared" si="3"/>
        <v>0</v>
      </c>
      <c r="P39" s="607">
        <v>0</v>
      </c>
      <c r="Q39" s="607">
        <v>0</v>
      </c>
      <c r="R39" s="607">
        <v>0</v>
      </c>
      <c r="S39" s="607">
        <v>0</v>
      </c>
      <c r="T39" s="863">
        <f t="shared" si="4"/>
        <v>0</v>
      </c>
      <c r="U39" s="607">
        <v>0</v>
      </c>
      <c r="V39" s="607">
        <v>0</v>
      </c>
      <c r="W39" s="863">
        <f t="shared" si="5"/>
        <v>0</v>
      </c>
      <c r="X39" s="607">
        <v>0</v>
      </c>
      <c r="Y39" s="607">
        <v>0</v>
      </c>
    </row>
    <row r="40" spans="1:25">
      <c r="A40" s="606" t="s">
        <v>1486</v>
      </c>
      <c r="B40" s="862">
        <f t="shared" si="0"/>
        <v>1</v>
      </c>
      <c r="C40" s="863">
        <f t="shared" si="0"/>
        <v>100</v>
      </c>
      <c r="D40" s="863">
        <f t="shared" si="0"/>
        <v>59</v>
      </c>
      <c r="E40" s="863">
        <f t="shared" si="0"/>
        <v>14</v>
      </c>
      <c r="F40" s="863">
        <f t="shared" si="0"/>
        <v>45</v>
      </c>
      <c r="G40" s="863">
        <f t="shared" si="0"/>
        <v>47</v>
      </c>
      <c r="H40" s="863">
        <f t="shared" si="0"/>
        <v>8</v>
      </c>
      <c r="I40" s="863">
        <f t="shared" si="0"/>
        <v>39</v>
      </c>
      <c r="J40" s="607">
        <v>1</v>
      </c>
      <c r="K40" s="607">
        <v>100</v>
      </c>
      <c r="L40" s="863">
        <f t="shared" si="2"/>
        <v>59</v>
      </c>
      <c r="M40" s="607">
        <v>14</v>
      </c>
      <c r="N40" s="607">
        <v>45</v>
      </c>
      <c r="O40" s="863">
        <f t="shared" si="3"/>
        <v>47</v>
      </c>
      <c r="P40" s="607">
        <v>8</v>
      </c>
      <c r="Q40" s="607">
        <v>39</v>
      </c>
      <c r="R40" s="607">
        <v>0</v>
      </c>
      <c r="S40" s="607">
        <v>0</v>
      </c>
      <c r="T40" s="863">
        <f t="shared" si="4"/>
        <v>0</v>
      </c>
      <c r="U40" s="607">
        <v>0</v>
      </c>
      <c r="V40" s="607">
        <v>0</v>
      </c>
      <c r="W40" s="863">
        <f t="shared" si="5"/>
        <v>0</v>
      </c>
      <c r="X40" s="607">
        <v>0</v>
      </c>
      <c r="Y40" s="607">
        <v>0</v>
      </c>
    </row>
    <row r="41" spans="1:25">
      <c r="A41" s="606" t="s">
        <v>1487</v>
      </c>
      <c r="B41" s="862">
        <f t="shared" si="0"/>
        <v>0</v>
      </c>
      <c r="C41" s="863">
        <f t="shared" si="0"/>
        <v>0</v>
      </c>
      <c r="D41" s="863">
        <f t="shared" si="0"/>
        <v>0</v>
      </c>
      <c r="E41" s="863">
        <f t="shared" si="0"/>
        <v>0</v>
      </c>
      <c r="F41" s="863">
        <f t="shared" si="0"/>
        <v>0</v>
      </c>
      <c r="G41" s="863">
        <f t="shared" si="0"/>
        <v>0</v>
      </c>
      <c r="H41" s="863">
        <f t="shared" si="0"/>
        <v>0</v>
      </c>
      <c r="I41" s="863">
        <f t="shared" si="0"/>
        <v>0</v>
      </c>
      <c r="J41" s="607">
        <v>0</v>
      </c>
      <c r="K41" s="607">
        <v>0</v>
      </c>
      <c r="L41" s="863">
        <f t="shared" si="2"/>
        <v>0</v>
      </c>
      <c r="M41" s="607">
        <v>0</v>
      </c>
      <c r="N41" s="607">
        <v>0</v>
      </c>
      <c r="O41" s="863">
        <f t="shared" si="3"/>
        <v>0</v>
      </c>
      <c r="P41" s="607">
        <v>0</v>
      </c>
      <c r="Q41" s="607">
        <v>0</v>
      </c>
      <c r="R41" s="607">
        <v>0</v>
      </c>
      <c r="S41" s="607">
        <v>0</v>
      </c>
      <c r="T41" s="863">
        <f t="shared" si="4"/>
        <v>0</v>
      </c>
      <c r="U41" s="607">
        <v>0</v>
      </c>
      <c r="V41" s="607">
        <v>0</v>
      </c>
      <c r="W41" s="863">
        <f t="shared" si="5"/>
        <v>0</v>
      </c>
      <c r="X41" s="607">
        <v>0</v>
      </c>
      <c r="Y41" s="607">
        <v>0</v>
      </c>
    </row>
    <row r="42" spans="1:25" s="50" customFormat="1">
      <c r="A42" s="775" t="s">
        <v>1573</v>
      </c>
      <c r="B42" s="864">
        <f t="shared" si="0"/>
        <v>7</v>
      </c>
      <c r="C42" s="865">
        <f t="shared" si="0"/>
        <v>61</v>
      </c>
      <c r="D42" s="865">
        <f t="shared" si="0"/>
        <v>44</v>
      </c>
      <c r="E42" s="865">
        <f t="shared" si="0"/>
        <v>5</v>
      </c>
      <c r="F42" s="865">
        <f t="shared" si="0"/>
        <v>39</v>
      </c>
      <c r="G42" s="865">
        <f t="shared" si="0"/>
        <v>36</v>
      </c>
      <c r="H42" s="865">
        <f t="shared" si="0"/>
        <v>6</v>
      </c>
      <c r="I42" s="865">
        <f t="shared" si="0"/>
        <v>30</v>
      </c>
      <c r="J42" s="607">
        <v>0</v>
      </c>
      <c r="K42" s="607">
        <v>0</v>
      </c>
      <c r="L42" s="863">
        <f t="shared" si="2"/>
        <v>0</v>
      </c>
      <c r="M42" s="607">
        <v>0</v>
      </c>
      <c r="N42" s="607">
        <v>0</v>
      </c>
      <c r="O42" s="863">
        <f t="shared" si="3"/>
        <v>0</v>
      </c>
      <c r="P42" s="607">
        <v>0</v>
      </c>
      <c r="Q42" s="607">
        <v>0</v>
      </c>
      <c r="R42" s="52">
        <v>7</v>
      </c>
      <c r="S42" s="52">
        <v>61</v>
      </c>
      <c r="T42" s="863">
        <f t="shared" si="4"/>
        <v>44</v>
      </c>
      <c r="U42" s="52">
        <v>5</v>
      </c>
      <c r="V42" s="52">
        <v>39</v>
      </c>
      <c r="W42" s="863">
        <f t="shared" si="5"/>
        <v>36</v>
      </c>
      <c r="X42" s="52">
        <v>6</v>
      </c>
      <c r="Y42" s="52">
        <v>30</v>
      </c>
    </row>
    <row r="43" spans="1:25" ht="17.25" thickBot="1">
      <c r="A43" s="608" t="s">
        <v>1488</v>
      </c>
      <c r="B43" s="866">
        <f t="shared" si="0"/>
        <v>5</v>
      </c>
      <c r="C43" s="867">
        <f t="shared" si="0"/>
        <v>136</v>
      </c>
      <c r="D43" s="867">
        <f t="shared" si="0"/>
        <v>119</v>
      </c>
      <c r="E43" s="867">
        <f t="shared" si="0"/>
        <v>29</v>
      </c>
      <c r="F43" s="867">
        <f t="shared" si="0"/>
        <v>90</v>
      </c>
      <c r="G43" s="867">
        <f t="shared" si="0"/>
        <v>80</v>
      </c>
      <c r="H43" s="867">
        <f t="shared" si="0"/>
        <v>13</v>
      </c>
      <c r="I43" s="867">
        <f t="shared" si="0"/>
        <v>67</v>
      </c>
      <c r="J43" s="868">
        <v>3</v>
      </c>
      <c r="K43" s="868">
        <v>118</v>
      </c>
      <c r="L43" s="867">
        <f t="shared" si="2"/>
        <v>111</v>
      </c>
      <c r="M43" s="868">
        <v>27</v>
      </c>
      <c r="N43" s="868">
        <v>84</v>
      </c>
      <c r="O43" s="867">
        <f t="shared" si="3"/>
        <v>74</v>
      </c>
      <c r="P43" s="868">
        <v>12</v>
      </c>
      <c r="Q43" s="868">
        <v>62</v>
      </c>
      <c r="R43" s="868">
        <v>2</v>
      </c>
      <c r="S43" s="868">
        <v>18</v>
      </c>
      <c r="T43" s="867">
        <f t="shared" si="4"/>
        <v>8</v>
      </c>
      <c r="U43" s="868">
        <v>2</v>
      </c>
      <c r="V43" s="868">
        <v>6</v>
      </c>
      <c r="W43" s="867">
        <f t="shared" si="5"/>
        <v>6</v>
      </c>
      <c r="X43" s="868">
        <v>1</v>
      </c>
      <c r="Y43" s="868">
        <v>5</v>
      </c>
    </row>
    <row r="44" spans="1:25">
      <c r="A44" s="1039" t="s">
        <v>1722</v>
      </c>
      <c r="B44" s="578"/>
      <c r="C44" s="578"/>
      <c r="D44" s="578"/>
      <c r="E44" s="578"/>
      <c r="F44" s="578"/>
      <c r="G44" s="578"/>
      <c r="H44" s="578"/>
      <c r="I44" s="578"/>
      <c r="J44" s="578"/>
      <c r="K44" s="578"/>
      <c r="L44" s="578"/>
      <c r="M44" s="578"/>
      <c r="N44" s="578"/>
      <c r="O44" s="578"/>
      <c r="P44" s="578"/>
      <c r="Q44" s="578"/>
      <c r="R44" s="578"/>
      <c r="S44" s="578"/>
      <c r="T44" s="578"/>
      <c r="U44" s="578"/>
      <c r="V44" s="578"/>
      <c r="W44" s="578"/>
      <c r="X44" s="578"/>
      <c r="Y44" s="578"/>
    </row>
    <row r="45" spans="1:25">
      <c r="L45" s="578"/>
    </row>
    <row r="46" spans="1:25">
      <c r="L46" s="578"/>
    </row>
    <row r="47" spans="1:25">
      <c r="L47" s="578"/>
    </row>
    <row r="48" spans="1:25">
      <c r="L48" s="578"/>
    </row>
    <row r="49" spans="12:12">
      <c r="L49" s="578"/>
    </row>
    <row r="50" spans="12:12">
      <c r="L50" s="578"/>
    </row>
    <row r="51" spans="12:12">
      <c r="L51" s="578"/>
    </row>
    <row r="52" spans="12:12">
      <c r="L52" s="578"/>
    </row>
    <row r="53" spans="12:12">
      <c r="L53" s="578"/>
    </row>
    <row r="54" spans="12:12">
      <c r="L54" s="578"/>
    </row>
    <row r="55" spans="12:12">
      <c r="L55" s="578"/>
    </row>
    <row r="56" spans="12:12">
      <c r="L56" s="578"/>
    </row>
    <row r="57" spans="12:12">
      <c r="L57" s="578"/>
    </row>
    <row r="58" spans="12:12">
      <c r="L58" s="578"/>
    </row>
    <row r="59" spans="12:12">
      <c r="L59" s="578"/>
    </row>
    <row r="60" spans="12:12">
      <c r="L60" s="578"/>
    </row>
    <row r="61" spans="12:12">
      <c r="L61" s="578"/>
    </row>
    <row r="62" spans="12:12">
      <c r="L62" s="578"/>
    </row>
    <row r="63" spans="12:12">
      <c r="L63" s="578"/>
    </row>
    <row r="64" spans="12:12">
      <c r="L64" s="578"/>
    </row>
    <row r="65" spans="12:12">
      <c r="L65" s="578"/>
    </row>
    <row r="66" spans="12:12">
      <c r="L66" s="578"/>
    </row>
    <row r="67" spans="12:12">
      <c r="L67" s="578"/>
    </row>
    <row r="68" spans="12:12">
      <c r="L68" s="578"/>
    </row>
  </sheetData>
  <mergeCells count="21">
    <mergeCell ref="B7:I7"/>
    <mergeCell ref="J7:Q7"/>
    <mergeCell ref="R7:Y7"/>
    <mergeCell ref="S1:Y1"/>
    <mergeCell ref="J6:Q6"/>
    <mergeCell ref="R6:Y6"/>
    <mergeCell ref="B6:I6"/>
    <mergeCell ref="A2:Y2"/>
    <mergeCell ref="A3:Y3"/>
    <mergeCell ref="W8:Y8"/>
    <mergeCell ref="C9:F9"/>
    <mergeCell ref="G9:I9"/>
    <mergeCell ref="K9:N9"/>
    <mergeCell ref="O9:Q9"/>
    <mergeCell ref="S9:V9"/>
    <mergeCell ref="W9:Y9"/>
    <mergeCell ref="C8:F8"/>
    <mergeCell ref="G8:I8"/>
    <mergeCell ref="K8:N8"/>
    <mergeCell ref="O8:Q8"/>
    <mergeCell ref="S8:V8"/>
  </mergeCells>
  <phoneticPr fontId="3" type="noConversion"/>
  <pageMargins left="0.7" right="0.7" top="0.75" bottom="0.75" header="0.3" footer="0.3"/>
  <pageSetup paperSize="9" scale="35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4"/>
  </sheetPr>
  <dimension ref="A1:AG46"/>
  <sheetViews>
    <sheetView view="pageBreakPreview" topLeftCell="B1" zoomScale="85" zoomScaleNormal="85" zoomScaleSheetLayoutView="85" workbookViewId="0">
      <selection activeCell="Z18" sqref="Z18"/>
    </sheetView>
  </sheetViews>
  <sheetFormatPr defaultRowHeight="16.5"/>
  <cols>
    <col min="1" max="1" width="13.25" style="518" customWidth="1"/>
    <col min="2" max="13" width="9" style="518"/>
    <col min="14" max="16" width="7.625" style="518" customWidth="1"/>
    <col min="17" max="17" width="9" style="518"/>
    <col min="18" max="20" width="7.625" style="518" customWidth="1"/>
    <col min="21" max="21" width="9" style="518"/>
    <col min="22" max="24" width="7.625" style="518" customWidth="1"/>
    <col min="25" max="25" width="9" style="518"/>
    <col min="26" max="28" width="7.625" style="518" customWidth="1"/>
    <col min="29" max="29" width="9" style="518"/>
    <col min="30" max="32" width="7.625" style="518" customWidth="1"/>
    <col min="33" max="16384" width="9" style="518"/>
  </cols>
  <sheetData>
    <row r="1" spans="1:33">
      <c r="A1" s="16" t="s">
        <v>1463</v>
      </c>
      <c r="B1" s="828"/>
      <c r="C1" s="828"/>
      <c r="D1" s="828"/>
      <c r="E1" s="828"/>
      <c r="F1" s="828"/>
      <c r="G1" s="828"/>
      <c r="H1" s="828"/>
      <c r="I1" s="828"/>
      <c r="K1" s="16" t="s">
        <v>844</v>
      </c>
      <c r="L1" s="16"/>
      <c r="M1" s="16"/>
      <c r="N1" s="16" t="s">
        <v>1463</v>
      </c>
      <c r="O1" s="16"/>
      <c r="P1" s="16"/>
      <c r="AE1" s="16" t="s">
        <v>844</v>
      </c>
    </row>
    <row r="2" spans="1:33">
      <c r="A2" s="787"/>
      <c r="B2" s="787"/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</row>
    <row r="3" spans="1:33" ht="25.5">
      <c r="A3" s="1335" t="s">
        <v>1152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 t="s">
        <v>1591</v>
      </c>
      <c r="O3" s="1335"/>
      <c r="P3" s="1335"/>
      <c r="Q3" s="1335"/>
      <c r="R3" s="1335"/>
      <c r="S3" s="1335"/>
      <c r="T3" s="1335"/>
      <c r="U3" s="1335"/>
      <c r="V3" s="1335"/>
      <c r="W3" s="1335"/>
      <c r="X3" s="1335"/>
      <c r="Y3" s="1335"/>
      <c r="Z3" s="1335"/>
      <c r="AA3" s="1335"/>
      <c r="AB3" s="1335"/>
      <c r="AC3" s="1335"/>
      <c r="AD3" s="1335"/>
      <c r="AE3" s="1335"/>
      <c r="AF3" s="1335"/>
      <c r="AG3" s="1335"/>
    </row>
    <row r="4" spans="1:33" ht="25.5">
      <c r="A4" s="1320" t="s">
        <v>1139</v>
      </c>
      <c r="B4" s="1320"/>
      <c r="C4" s="1320"/>
      <c r="D4" s="1320"/>
      <c r="E4" s="1320"/>
      <c r="F4" s="1320"/>
      <c r="G4" s="1320"/>
      <c r="H4" s="1320"/>
      <c r="I4" s="1320"/>
      <c r="J4" s="1320"/>
      <c r="K4" s="1320"/>
      <c r="L4" s="1320"/>
      <c r="M4" s="1320"/>
      <c r="N4" s="1320" t="s">
        <v>1592</v>
      </c>
      <c r="O4" s="1320"/>
      <c r="P4" s="1320"/>
      <c r="Q4" s="1320"/>
      <c r="R4" s="1320"/>
      <c r="S4" s="1320"/>
      <c r="T4" s="1320"/>
      <c r="U4" s="1320"/>
      <c r="V4" s="1320"/>
      <c r="W4" s="1320"/>
      <c r="X4" s="1320"/>
      <c r="Y4" s="1320"/>
      <c r="Z4" s="1320"/>
      <c r="AA4" s="1320"/>
      <c r="AB4" s="1320"/>
      <c r="AC4" s="1320"/>
      <c r="AD4" s="1320"/>
      <c r="AE4" s="1320"/>
      <c r="AF4" s="1320"/>
      <c r="AG4" s="1320"/>
    </row>
    <row r="5" spans="1:33" ht="9.9499999999999993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33" s="6" customFormat="1" ht="15" customHeight="1" thickBot="1">
      <c r="A6" s="48" t="s">
        <v>25</v>
      </c>
      <c r="B6" s="672"/>
      <c r="D6" s="6" t="s">
        <v>2</v>
      </c>
      <c r="M6" s="387" t="s">
        <v>1138</v>
      </c>
      <c r="N6" s="48" t="s">
        <v>25</v>
      </c>
      <c r="U6" s="387"/>
      <c r="AG6" s="387" t="s">
        <v>1138</v>
      </c>
    </row>
    <row r="7" spans="1:33" s="455" customFormat="1" ht="15.6" customHeight="1">
      <c r="A7" s="668" t="s">
        <v>586</v>
      </c>
      <c r="B7" s="413" t="s">
        <v>680</v>
      </c>
      <c r="C7" s="413"/>
      <c r="D7" s="413"/>
      <c r="E7" s="413"/>
      <c r="F7" s="1326" t="s">
        <v>681</v>
      </c>
      <c r="G7" s="1493"/>
      <c r="H7" s="1493"/>
      <c r="I7" s="1327"/>
      <c r="J7" s="1326" t="s">
        <v>1302</v>
      </c>
      <c r="K7" s="1493"/>
      <c r="L7" s="1493"/>
      <c r="M7" s="1327"/>
      <c r="N7" s="1326" t="s">
        <v>1134</v>
      </c>
      <c r="O7" s="1493"/>
      <c r="P7" s="1493"/>
      <c r="Q7" s="1327"/>
      <c r="R7" s="1326" t="s">
        <v>682</v>
      </c>
      <c r="S7" s="1493"/>
      <c r="T7" s="1493"/>
      <c r="U7" s="1327"/>
      <c r="V7" s="1326" t="s">
        <v>1274</v>
      </c>
      <c r="W7" s="1493"/>
      <c r="X7" s="1493"/>
      <c r="Y7" s="1327"/>
      <c r="Z7" s="1493" t="s">
        <v>1280</v>
      </c>
      <c r="AA7" s="1493"/>
      <c r="AB7" s="1493"/>
      <c r="AC7" s="1327"/>
      <c r="AD7" s="1326" t="s">
        <v>1303</v>
      </c>
      <c r="AE7" s="1493"/>
      <c r="AF7" s="1493"/>
      <c r="AG7" s="1493"/>
    </row>
    <row r="8" spans="1:33" s="7" customFormat="1" ht="15.6" customHeight="1">
      <c r="A8" s="681"/>
      <c r="B8" s="664"/>
      <c r="C8" s="664" t="s">
        <v>683</v>
      </c>
      <c r="D8" s="521"/>
      <c r="E8" s="510"/>
      <c r="F8" s="1321" t="s">
        <v>1132</v>
      </c>
      <c r="G8" s="1497"/>
      <c r="H8" s="1497"/>
      <c r="I8" s="1322"/>
      <c r="J8" s="1321" t="s">
        <v>1133</v>
      </c>
      <c r="K8" s="1497"/>
      <c r="L8" s="1497"/>
      <c r="M8" s="1322"/>
      <c r="N8" s="1321" t="s">
        <v>1135</v>
      </c>
      <c r="O8" s="1497"/>
      <c r="P8" s="1497"/>
      <c r="Q8" s="1322"/>
      <c r="R8" s="1321" t="s">
        <v>1136</v>
      </c>
      <c r="S8" s="1497"/>
      <c r="T8" s="1497"/>
      <c r="U8" s="1322"/>
      <c r="V8" s="1321" t="s">
        <v>1368</v>
      </c>
      <c r="W8" s="1497"/>
      <c r="X8" s="1497"/>
      <c r="Y8" s="1322"/>
      <c r="Z8" s="1321" t="s">
        <v>1369</v>
      </c>
      <c r="AA8" s="1497"/>
      <c r="AB8" s="1497"/>
      <c r="AC8" s="1322"/>
      <c r="AD8" s="1321" t="s">
        <v>1137</v>
      </c>
      <c r="AE8" s="1497"/>
      <c r="AF8" s="1497"/>
      <c r="AG8" s="1497"/>
    </row>
    <row r="9" spans="1:33" s="7" customFormat="1" ht="15.6" customHeight="1">
      <c r="A9" s="681"/>
      <c r="B9" s="677" t="s">
        <v>679</v>
      </c>
      <c r="C9" s="1332" t="s">
        <v>685</v>
      </c>
      <c r="D9" s="1333"/>
      <c r="E9" s="677" t="s">
        <v>686</v>
      </c>
      <c r="F9" s="677" t="s">
        <v>671</v>
      </c>
      <c r="G9" s="1332" t="s">
        <v>684</v>
      </c>
      <c r="H9" s="1333"/>
      <c r="I9" s="677" t="s">
        <v>686</v>
      </c>
      <c r="J9" s="677" t="s">
        <v>671</v>
      </c>
      <c r="K9" s="1332" t="s">
        <v>684</v>
      </c>
      <c r="L9" s="1333"/>
      <c r="M9" s="677" t="s">
        <v>686</v>
      </c>
      <c r="N9" s="677" t="s">
        <v>671</v>
      </c>
      <c r="O9" s="1332" t="s">
        <v>684</v>
      </c>
      <c r="P9" s="1333"/>
      <c r="Q9" s="677" t="s">
        <v>686</v>
      </c>
      <c r="R9" s="677" t="s">
        <v>671</v>
      </c>
      <c r="S9" s="1332" t="s">
        <v>684</v>
      </c>
      <c r="T9" s="1333"/>
      <c r="U9" s="677" t="s">
        <v>686</v>
      </c>
      <c r="V9" s="677" t="s">
        <v>1275</v>
      </c>
      <c r="W9" s="1332" t="s">
        <v>1276</v>
      </c>
      <c r="X9" s="1333"/>
      <c r="Y9" s="677" t="s">
        <v>1279</v>
      </c>
      <c r="Z9" s="677" t="s">
        <v>730</v>
      </c>
      <c r="AA9" s="1332" t="s">
        <v>1276</v>
      </c>
      <c r="AB9" s="1333"/>
      <c r="AC9" s="677" t="s">
        <v>1279</v>
      </c>
      <c r="AD9" s="677" t="s">
        <v>671</v>
      </c>
      <c r="AE9" s="1332" t="s">
        <v>684</v>
      </c>
      <c r="AF9" s="1333"/>
      <c r="AG9" s="670" t="s">
        <v>686</v>
      </c>
    </row>
    <row r="10" spans="1:33" s="7" customFormat="1" ht="15.6" customHeight="1">
      <c r="A10" s="681"/>
      <c r="B10" s="678"/>
      <c r="C10" s="1321" t="s">
        <v>1130</v>
      </c>
      <c r="D10" s="1322"/>
      <c r="E10" s="678"/>
      <c r="F10" s="678"/>
      <c r="G10" s="1321" t="s">
        <v>1130</v>
      </c>
      <c r="H10" s="1322"/>
      <c r="I10" s="678"/>
      <c r="J10" s="678"/>
      <c r="K10" s="1321" t="s">
        <v>1130</v>
      </c>
      <c r="L10" s="1322"/>
      <c r="M10" s="678"/>
      <c r="N10" s="678"/>
      <c r="O10" s="1321" t="s">
        <v>1130</v>
      </c>
      <c r="P10" s="1322"/>
      <c r="Q10" s="678"/>
      <c r="R10" s="678"/>
      <c r="S10" s="1321" t="s">
        <v>1130</v>
      </c>
      <c r="T10" s="1322"/>
      <c r="U10" s="678"/>
      <c r="V10" s="678"/>
      <c r="W10" s="1321" t="s">
        <v>1130</v>
      </c>
      <c r="X10" s="1322"/>
      <c r="Y10" s="678"/>
      <c r="Z10" s="678"/>
      <c r="AA10" s="1321" t="s">
        <v>1130</v>
      </c>
      <c r="AB10" s="1322"/>
      <c r="AC10" s="678"/>
      <c r="AD10" s="678"/>
      <c r="AE10" s="1321" t="s">
        <v>1130</v>
      </c>
      <c r="AF10" s="1322"/>
      <c r="AG10" s="612"/>
    </row>
    <row r="11" spans="1:33" s="7" customFormat="1" ht="15.6" customHeight="1">
      <c r="A11" s="681"/>
      <c r="B11" s="509"/>
      <c r="C11" s="678" t="s">
        <v>672</v>
      </c>
      <c r="D11" s="678" t="s">
        <v>688</v>
      </c>
      <c r="E11" s="509"/>
      <c r="F11" s="509"/>
      <c r="G11" s="678" t="s">
        <v>672</v>
      </c>
      <c r="H11" s="678" t="s">
        <v>673</v>
      </c>
      <c r="I11" s="509"/>
      <c r="J11" s="509"/>
      <c r="K11" s="678" t="s">
        <v>672</v>
      </c>
      <c r="L11" s="678" t="s">
        <v>673</v>
      </c>
      <c r="M11" s="509"/>
      <c r="N11" s="509"/>
      <c r="O11" s="678" t="s">
        <v>672</v>
      </c>
      <c r="P11" s="678" t="s">
        <v>673</v>
      </c>
      <c r="Q11" s="509"/>
      <c r="R11" s="509"/>
      <c r="S11" s="678" t="s">
        <v>672</v>
      </c>
      <c r="T11" s="678" t="s">
        <v>673</v>
      </c>
      <c r="U11" s="509"/>
      <c r="V11" s="509"/>
      <c r="W11" s="737" t="s">
        <v>1277</v>
      </c>
      <c r="X11" s="737" t="s">
        <v>1278</v>
      </c>
      <c r="Y11" s="509"/>
      <c r="Z11" s="509"/>
      <c r="AA11" s="737" t="s">
        <v>1277</v>
      </c>
      <c r="AB11" s="737" t="s">
        <v>1278</v>
      </c>
      <c r="AC11" s="509"/>
      <c r="AD11" s="509"/>
      <c r="AE11" s="678" t="s">
        <v>672</v>
      </c>
      <c r="AF11" s="678" t="s">
        <v>673</v>
      </c>
      <c r="AG11" s="669"/>
    </row>
    <row r="12" spans="1:33" s="7" customFormat="1" ht="15.6" customHeight="1">
      <c r="A12" s="516" t="s">
        <v>667</v>
      </c>
      <c r="B12" s="685" t="s">
        <v>689</v>
      </c>
      <c r="C12" s="685" t="s">
        <v>1131</v>
      </c>
      <c r="D12" s="685" t="s">
        <v>1118</v>
      </c>
      <c r="E12" s="685" t="s">
        <v>690</v>
      </c>
      <c r="F12" s="685" t="s">
        <v>407</v>
      </c>
      <c r="G12" s="685" t="s">
        <v>1131</v>
      </c>
      <c r="H12" s="685" t="s">
        <v>1118</v>
      </c>
      <c r="I12" s="685" t="s">
        <v>674</v>
      </c>
      <c r="J12" s="685" t="s">
        <v>407</v>
      </c>
      <c r="K12" s="685" t="s">
        <v>1131</v>
      </c>
      <c r="L12" s="685" t="s">
        <v>1118</v>
      </c>
      <c r="M12" s="685" t="s">
        <v>674</v>
      </c>
      <c r="N12" s="685" t="s">
        <v>407</v>
      </c>
      <c r="O12" s="685" t="s">
        <v>1131</v>
      </c>
      <c r="P12" s="685" t="s">
        <v>1118</v>
      </c>
      <c r="Q12" s="685" t="s">
        <v>674</v>
      </c>
      <c r="R12" s="685" t="s">
        <v>407</v>
      </c>
      <c r="S12" s="685" t="s">
        <v>1131</v>
      </c>
      <c r="T12" s="685" t="s">
        <v>1118</v>
      </c>
      <c r="U12" s="685" t="s">
        <v>674</v>
      </c>
      <c r="V12" s="685" t="s">
        <v>407</v>
      </c>
      <c r="W12" s="685" t="s">
        <v>1117</v>
      </c>
      <c r="X12" s="685" t="s">
        <v>1118</v>
      </c>
      <c r="Y12" s="685" t="s">
        <v>674</v>
      </c>
      <c r="Z12" s="685" t="s">
        <v>407</v>
      </c>
      <c r="AA12" s="685" t="s">
        <v>1117</v>
      </c>
      <c r="AB12" s="685" t="s">
        <v>1118</v>
      </c>
      <c r="AC12" s="685" t="s">
        <v>674</v>
      </c>
      <c r="AD12" s="685" t="s">
        <v>407</v>
      </c>
      <c r="AE12" s="685" t="s">
        <v>1131</v>
      </c>
      <c r="AF12" s="685" t="s">
        <v>1118</v>
      </c>
      <c r="AG12" s="666" t="s">
        <v>674</v>
      </c>
    </row>
    <row r="13" spans="1:33">
      <c r="A13" s="15">
        <v>2019</v>
      </c>
      <c r="B13" s="530">
        <v>69</v>
      </c>
      <c r="C13" s="303">
        <v>978</v>
      </c>
      <c r="D13" s="303">
        <v>821</v>
      </c>
      <c r="E13" s="303">
        <v>1496</v>
      </c>
      <c r="F13" s="303">
        <v>27</v>
      </c>
      <c r="G13" s="303">
        <v>0</v>
      </c>
      <c r="H13" s="303">
        <v>0</v>
      </c>
      <c r="I13" s="303">
        <v>904</v>
      </c>
      <c r="J13" s="303">
        <v>16</v>
      </c>
      <c r="K13" s="303">
        <v>518</v>
      </c>
      <c r="L13" s="303">
        <v>418</v>
      </c>
      <c r="M13" s="303">
        <v>210</v>
      </c>
      <c r="N13" s="303">
        <v>0</v>
      </c>
      <c r="O13" s="303">
        <v>0</v>
      </c>
      <c r="P13" s="303">
        <v>0</v>
      </c>
      <c r="Q13" s="303">
        <v>0</v>
      </c>
      <c r="R13" s="303">
        <v>19</v>
      </c>
      <c r="S13" s="303">
        <v>0</v>
      </c>
      <c r="T13" s="303">
        <v>0</v>
      </c>
      <c r="U13" s="303">
        <v>361</v>
      </c>
      <c r="V13" s="303">
        <v>0</v>
      </c>
      <c r="W13" s="303">
        <v>0</v>
      </c>
      <c r="X13" s="303">
        <v>0</v>
      </c>
      <c r="Y13" s="303">
        <v>0</v>
      </c>
      <c r="Z13" s="303">
        <v>0</v>
      </c>
      <c r="AA13" s="303">
        <v>0</v>
      </c>
      <c r="AB13" s="303">
        <v>0</v>
      </c>
      <c r="AC13" s="303">
        <v>0</v>
      </c>
      <c r="AD13" s="303">
        <v>7</v>
      </c>
      <c r="AE13" s="303">
        <v>460</v>
      </c>
      <c r="AF13" s="303">
        <v>403</v>
      </c>
      <c r="AG13" s="303">
        <v>21</v>
      </c>
    </row>
    <row r="14" spans="1:33">
      <c r="A14" s="15">
        <v>2020</v>
      </c>
      <c r="B14" s="530">
        <v>78</v>
      </c>
      <c r="C14" s="303">
        <v>1048</v>
      </c>
      <c r="D14" s="303">
        <v>2528</v>
      </c>
      <c r="E14" s="303">
        <v>2014</v>
      </c>
      <c r="F14" s="303">
        <v>34</v>
      </c>
      <c r="G14" s="303">
        <v>0</v>
      </c>
      <c r="H14" s="303">
        <v>1266</v>
      </c>
      <c r="I14" s="303">
        <v>1327</v>
      </c>
      <c r="J14" s="303">
        <v>17</v>
      </c>
      <c r="K14" s="303">
        <v>588</v>
      </c>
      <c r="L14" s="303">
        <v>470</v>
      </c>
      <c r="M14" s="303">
        <v>230</v>
      </c>
      <c r="N14" s="303">
        <v>0</v>
      </c>
      <c r="O14" s="303">
        <v>0</v>
      </c>
      <c r="P14" s="303">
        <v>0</v>
      </c>
      <c r="Q14" s="303">
        <v>0</v>
      </c>
      <c r="R14" s="303">
        <v>20</v>
      </c>
      <c r="S14" s="303">
        <v>0</v>
      </c>
      <c r="T14" s="303">
        <v>389</v>
      </c>
      <c r="U14" s="303">
        <v>436</v>
      </c>
      <c r="V14" s="303">
        <v>0</v>
      </c>
      <c r="W14" s="303">
        <v>0</v>
      </c>
      <c r="X14" s="303">
        <v>0</v>
      </c>
      <c r="Y14" s="303">
        <v>0</v>
      </c>
      <c r="Z14" s="303">
        <v>0</v>
      </c>
      <c r="AA14" s="303">
        <v>0</v>
      </c>
      <c r="AB14" s="303">
        <v>0</v>
      </c>
      <c r="AC14" s="303">
        <v>0</v>
      </c>
      <c r="AD14" s="303">
        <v>7</v>
      </c>
      <c r="AE14" s="303">
        <v>460</v>
      </c>
      <c r="AF14" s="303">
        <v>403</v>
      </c>
      <c r="AG14" s="303">
        <v>21</v>
      </c>
    </row>
    <row r="15" spans="1:33">
      <c r="A15" s="15">
        <v>2021</v>
      </c>
      <c r="B15" s="530">
        <v>82</v>
      </c>
      <c r="C15" s="303">
        <v>1006</v>
      </c>
      <c r="D15" s="303">
        <v>2118</v>
      </c>
      <c r="E15" s="303">
        <v>1421</v>
      </c>
      <c r="F15" s="303">
        <v>32</v>
      </c>
      <c r="G15" s="303">
        <v>0</v>
      </c>
      <c r="H15" s="303">
        <v>1153</v>
      </c>
      <c r="I15" s="303">
        <v>1022</v>
      </c>
      <c r="J15" s="303">
        <v>16</v>
      </c>
      <c r="K15" s="303">
        <v>546</v>
      </c>
      <c r="L15" s="303">
        <v>441</v>
      </c>
      <c r="M15" s="303">
        <v>216</v>
      </c>
      <c r="N15" s="303">
        <v>0</v>
      </c>
      <c r="O15" s="303">
        <v>0</v>
      </c>
      <c r="P15" s="303">
        <v>0</v>
      </c>
      <c r="Q15" s="303">
        <v>0</v>
      </c>
      <c r="R15" s="303">
        <v>24</v>
      </c>
      <c r="S15" s="303">
        <v>0</v>
      </c>
      <c r="T15" s="303">
        <v>61</v>
      </c>
      <c r="U15" s="303">
        <v>121</v>
      </c>
      <c r="V15" s="303">
        <v>2</v>
      </c>
      <c r="W15" s="303">
        <v>0</v>
      </c>
      <c r="X15" s="303">
        <v>18</v>
      </c>
      <c r="Y15" s="303">
        <v>17</v>
      </c>
      <c r="Z15" s="303">
        <v>1</v>
      </c>
      <c r="AA15" s="303">
        <v>0</v>
      </c>
      <c r="AB15" s="303">
        <v>24</v>
      </c>
      <c r="AC15" s="303">
        <v>24</v>
      </c>
      <c r="AD15" s="303">
        <v>7</v>
      </c>
      <c r="AE15" s="303">
        <v>460</v>
      </c>
      <c r="AF15" s="303">
        <v>421</v>
      </c>
      <c r="AG15" s="303">
        <v>21</v>
      </c>
    </row>
    <row r="16" spans="1:33">
      <c r="A16" s="15">
        <v>2022</v>
      </c>
      <c r="B16" s="530">
        <v>117</v>
      </c>
      <c r="C16" s="303">
        <v>1483</v>
      </c>
      <c r="D16" s="303">
        <v>2318</v>
      </c>
      <c r="E16" s="303">
        <v>3167</v>
      </c>
      <c r="F16" s="303">
        <v>51</v>
      </c>
      <c r="G16" s="303">
        <v>0</v>
      </c>
      <c r="H16" s="303">
        <v>1010</v>
      </c>
      <c r="I16" s="303">
        <v>2172</v>
      </c>
      <c r="J16" s="303">
        <v>22</v>
      </c>
      <c r="K16" s="303">
        <v>923</v>
      </c>
      <c r="L16" s="303">
        <v>574</v>
      </c>
      <c r="M16" s="303">
        <v>338</v>
      </c>
      <c r="N16" s="303">
        <v>0</v>
      </c>
      <c r="O16" s="303">
        <v>0</v>
      </c>
      <c r="P16" s="303">
        <v>0</v>
      </c>
      <c r="Q16" s="303">
        <v>0</v>
      </c>
      <c r="R16" s="303">
        <v>34</v>
      </c>
      <c r="S16" s="303">
        <v>0</v>
      </c>
      <c r="T16" s="303">
        <v>120</v>
      </c>
      <c r="U16" s="303">
        <v>632</v>
      </c>
      <c r="V16" s="303">
        <v>2</v>
      </c>
      <c r="W16" s="303">
        <v>0</v>
      </c>
      <c r="X16" s="303">
        <v>134</v>
      </c>
      <c r="Y16" s="303">
        <v>10</v>
      </c>
      <c r="Z16" s="303">
        <v>1</v>
      </c>
      <c r="AA16" s="303">
        <v>0</v>
      </c>
      <c r="AB16" s="303">
        <v>0</v>
      </c>
      <c r="AC16" s="303">
        <v>1</v>
      </c>
      <c r="AD16" s="303">
        <v>7</v>
      </c>
      <c r="AE16" s="303">
        <v>560</v>
      </c>
      <c r="AF16" s="303">
        <v>480</v>
      </c>
      <c r="AG16" s="303">
        <v>14</v>
      </c>
    </row>
    <row r="17" spans="1:33">
      <c r="A17" s="15">
        <v>2023</v>
      </c>
      <c r="B17" s="530">
        <v>162</v>
      </c>
      <c r="C17" s="303">
        <v>1005</v>
      </c>
      <c r="D17" s="303">
        <v>3819</v>
      </c>
      <c r="E17" s="303">
        <v>2956</v>
      </c>
      <c r="F17" s="303">
        <v>72</v>
      </c>
      <c r="G17" s="303">
        <v>0</v>
      </c>
      <c r="H17" s="303">
        <v>2510</v>
      </c>
      <c r="I17" s="303">
        <v>2398</v>
      </c>
      <c r="J17" s="303">
        <v>29</v>
      </c>
      <c r="K17" s="303">
        <v>954</v>
      </c>
      <c r="L17" s="303">
        <v>739</v>
      </c>
      <c r="M17" s="303">
        <v>333</v>
      </c>
      <c r="N17" s="303">
        <v>0</v>
      </c>
      <c r="O17" s="303">
        <v>0</v>
      </c>
      <c r="P17" s="303">
        <v>0</v>
      </c>
      <c r="Q17" s="303">
        <v>0</v>
      </c>
      <c r="R17" s="303">
        <v>50</v>
      </c>
      <c r="S17" s="303">
        <v>0</v>
      </c>
      <c r="T17" s="303">
        <v>121</v>
      </c>
      <c r="U17" s="303">
        <v>199</v>
      </c>
      <c r="V17" s="303">
        <v>4</v>
      </c>
      <c r="W17" s="303">
        <v>0</v>
      </c>
      <c r="X17" s="303">
        <v>74</v>
      </c>
      <c r="Y17" s="303">
        <v>6</v>
      </c>
      <c r="Z17" s="303">
        <v>1</v>
      </c>
      <c r="AA17" s="303">
        <v>0</v>
      </c>
      <c r="AB17" s="303">
        <v>0</v>
      </c>
      <c r="AC17" s="303">
        <v>0</v>
      </c>
      <c r="AD17" s="303">
        <v>6</v>
      </c>
      <c r="AE17" s="303">
        <v>51</v>
      </c>
      <c r="AF17" s="303">
        <v>375</v>
      </c>
      <c r="AG17" s="303">
        <v>20</v>
      </c>
    </row>
    <row r="18" spans="1:33">
      <c r="A18" s="32">
        <v>2024</v>
      </c>
      <c r="B18" s="1022">
        <f t="shared" ref="B18:E43" si="0">SUM(F18,J18,N18,R18,V18,Z18,AD18)</f>
        <v>170</v>
      </c>
      <c r="C18" s="832">
        <f t="shared" si="0"/>
        <v>1005</v>
      </c>
      <c r="D18" s="832">
        <f t="shared" si="0"/>
        <v>3819</v>
      </c>
      <c r="E18" s="832">
        <f t="shared" si="0"/>
        <v>2884</v>
      </c>
      <c r="F18" s="832">
        <f t="shared" ref="F18:AG18" si="1">SUM(F19:F43)</f>
        <v>85</v>
      </c>
      <c r="G18" s="832">
        <f t="shared" si="1"/>
        <v>0</v>
      </c>
      <c r="H18" s="832">
        <f t="shared" si="1"/>
        <v>2510</v>
      </c>
      <c r="I18" s="832">
        <f t="shared" si="1"/>
        <v>2326</v>
      </c>
      <c r="J18" s="832">
        <f t="shared" si="1"/>
        <v>30</v>
      </c>
      <c r="K18" s="832">
        <f t="shared" si="1"/>
        <v>954</v>
      </c>
      <c r="L18" s="832">
        <f t="shared" si="1"/>
        <v>739</v>
      </c>
      <c r="M18" s="832">
        <f t="shared" si="1"/>
        <v>333</v>
      </c>
      <c r="N18" s="832">
        <f t="shared" si="1"/>
        <v>0</v>
      </c>
      <c r="O18" s="832">
        <f t="shared" si="1"/>
        <v>0</v>
      </c>
      <c r="P18" s="832">
        <f t="shared" si="1"/>
        <v>0</v>
      </c>
      <c r="Q18" s="832">
        <f t="shared" si="1"/>
        <v>0</v>
      </c>
      <c r="R18" s="832">
        <f t="shared" si="1"/>
        <v>40</v>
      </c>
      <c r="S18" s="832">
        <f t="shared" si="1"/>
        <v>0</v>
      </c>
      <c r="T18" s="832">
        <f t="shared" si="1"/>
        <v>121</v>
      </c>
      <c r="U18" s="832">
        <f t="shared" si="1"/>
        <v>199</v>
      </c>
      <c r="V18" s="832">
        <f t="shared" si="1"/>
        <v>5</v>
      </c>
      <c r="W18" s="832">
        <f t="shared" si="1"/>
        <v>0</v>
      </c>
      <c r="X18" s="832">
        <f t="shared" si="1"/>
        <v>74</v>
      </c>
      <c r="Y18" s="832">
        <f t="shared" si="1"/>
        <v>6</v>
      </c>
      <c r="Z18" s="832">
        <f t="shared" si="1"/>
        <v>4</v>
      </c>
      <c r="AA18" s="832">
        <f t="shared" si="1"/>
        <v>0</v>
      </c>
      <c r="AB18" s="832">
        <f t="shared" si="1"/>
        <v>0</v>
      </c>
      <c r="AC18" s="832">
        <f t="shared" si="1"/>
        <v>0</v>
      </c>
      <c r="AD18" s="832">
        <f t="shared" si="1"/>
        <v>6</v>
      </c>
      <c r="AE18" s="832">
        <f t="shared" si="1"/>
        <v>51</v>
      </c>
      <c r="AF18" s="832">
        <f t="shared" si="1"/>
        <v>375</v>
      </c>
      <c r="AG18" s="832">
        <f t="shared" si="1"/>
        <v>20</v>
      </c>
    </row>
    <row r="19" spans="1:33">
      <c r="A19" s="738" t="s">
        <v>1540</v>
      </c>
      <c r="B19" s="869">
        <f t="shared" si="0"/>
        <v>1</v>
      </c>
      <c r="C19" s="832">
        <f t="shared" si="0"/>
        <v>0</v>
      </c>
      <c r="D19" s="832">
        <f t="shared" si="0"/>
        <v>47</v>
      </c>
      <c r="E19" s="832">
        <f t="shared" si="0"/>
        <v>3</v>
      </c>
      <c r="F19" s="1179" t="s">
        <v>1783</v>
      </c>
      <c r="G19" s="1179" t="s">
        <v>1783</v>
      </c>
      <c r="H19" s="1179" t="s">
        <v>1783</v>
      </c>
      <c r="I19" s="1179" t="s">
        <v>1783</v>
      </c>
      <c r="J19" s="1179" t="s">
        <v>1783</v>
      </c>
      <c r="K19" s="1179" t="s">
        <v>1783</v>
      </c>
      <c r="L19" s="1179" t="s">
        <v>1783</v>
      </c>
      <c r="M19" s="1179" t="s">
        <v>1783</v>
      </c>
      <c r="N19" s="1179" t="s">
        <v>1783</v>
      </c>
      <c r="O19" s="1179" t="s">
        <v>1783</v>
      </c>
      <c r="P19" s="1179" t="s">
        <v>1783</v>
      </c>
      <c r="Q19" s="1179" t="s">
        <v>1783</v>
      </c>
      <c r="R19" s="1179" t="s">
        <v>1783</v>
      </c>
      <c r="S19" s="1179" t="s">
        <v>1783</v>
      </c>
      <c r="T19" s="1179" t="s">
        <v>1783</v>
      </c>
      <c r="U19" s="1179" t="s">
        <v>1783</v>
      </c>
      <c r="V19" s="1179" t="s">
        <v>1783</v>
      </c>
      <c r="W19" s="1179" t="s">
        <v>1783</v>
      </c>
      <c r="X19" s="1179" t="s">
        <v>1783</v>
      </c>
      <c r="Y19" s="1179" t="s">
        <v>1783</v>
      </c>
      <c r="Z19" s="1179" t="s">
        <v>1783</v>
      </c>
      <c r="AA19" s="1179" t="s">
        <v>1783</v>
      </c>
      <c r="AB19" s="1179" t="s">
        <v>1783</v>
      </c>
      <c r="AC19" s="1179" t="s">
        <v>1783</v>
      </c>
      <c r="AD19" s="1179">
        <v>1</v>
      </c>
      <c r="AE19" s="1179" t="s">
        <v>1783</v>
      </c>
      <c r="AF19" s="1179">
        <v>47</v>
      </c>
      <c r="AG19" s="1179">
        <v>3</v>
      </c>
    </row>
    <row r="20" spans="1:33">
      <c r="A20" s="738" t="s">
        <v>1541</v>
      </c>
      <c r="B20" s="869">
        <f t="shared" si="0"/>
        <v>9</v>
      </c>
      <c r="C20" s="832">
        <f t="shared" si="0"/>
        <v>158</v>
      </c>
      <c r="D20" s="832">
        <f t="shared" si="0"/>
        <v>189</v>
      </c>
      <c r="E20" s="832">
        <f t="shared" si="0"/>
        <v>115</v>
      </c>
      <c r="F20" s="1179">
        <v>3</v>
      </c>
      <c r="G20" s="1179" t="s">
        <v>1783</v>
      </c>
      <c r="H20" s="1179">
        <v>57</v>
      </c>
      <c r="I20" s="1179">
        <v>60</v>
      </c>
      <c r="J20" s="1179">
        <v>4</v>
      </c>
      <c r="K20" s="1179">
        <v>158</v>
      </c>
      <c r="L20" s="1179">
        <v>129</v>
      </c>
      <c r="M20" s="1179">
        <v>49</v>
      </c>
      <c r="N20" s="1179" t="s">
        <v>1783</v>
      </c>
      <c r="O20" s="1179" t="s">
        <v>1783</v>
      </c>
      <c r="P20" s="1179" t="s">
        <v>1783</v>
      </c>
      <c r="Q20" s="1179" t="s">
        <v>1783</v>
      </c>
      <c r="R20" s="1179">
        <v>2</v>
      </c>
      <c r="S20" s="1179" t="s">
        <v>792</v>
      </c>
      <c r="T20" s="1179">
        <v>3</v>
      </c>
      <c r="U20" s="1179">
        <v>6</v>
      </c>
      <c r="V20" s="1179" t="s">
        <v>1783</v>
      </c>
      <c r="W20" s="1179" t="s">
        <v>1783</v>
      </c>
      <c r="X20" s="1179" t="s">
        <v>1783</v>
      </c>
      <c r="Y20" s="1179" t="s">
        <v>1783</v>
      </c>
      <c r="Z20" s="1179" t="s">
        <v>1783</v>
      </c>
      <c r="AA20" s="1179" t="s">
        <v>1783</v>
      </c>
      <c r="AB20" s="1179" t="s">
        <v>1783</v>
      </c>
      <c r="AC20" s="1179" t="s">
        <v>1783</v>
      </c>
      <c r="AD20" s="1179" t="s">
        <v>1783</v>
      </c>
      <c r="AE20" s="1179" t="s">
        <v>1783</v>
      </c>
      <c r="AF20" s="1179" t="s">
        <v>1783</v>
      </c>
      <c r="AG20" s="1179" t="s">
        <v>1783</v>
      </c>
    </row>
    <row r="21" spans="1:33">
      <c r="A21" s="738" t="s">
        <v>1542</v>
      </c>
      <c r="B21" s="869">
        <f t="shared" si="0"/>
        <v>0</v>
      </c>
      <c r="C21" s="832">
        <f t="shared" si="0"/>
        <v>0</v>
      </c>
      <c r="D21" s="832">
        <f t="shared" si="0"/>
        <v>0</v>
      </c>
      <c r="E21" s="832">
        <f t="shared" si="0"/>
        <v>0</v>
      </c>
      <c r="F21" s="1179" t="s">
        <v>1783</v>
      </c>
      <c r="G21" s="1179" t="s">
        <v>1783</v>
      </c>
      <c r="H21" s="1179" t="s">
        <v>1783</v>
      </c>
      <c r="I21" s="1179" t="s">
        <v>1783</v>
      </c>
      <c r="J21" s="1179" t="s">
        <v>1783</v>
      </c>
      <c r="K21" s="1179" t="s">
        <v>1783</v>
      </c>
      <c r="L21" s="1179" t="s">
        <v>1783</v>
      </c>
      <c r="M21" s="1179" t="s">
        <v>1783</v>
      </c>
      <c r="N21" s="1179" t="s">
        <v>1783</v>
      </c>
      <c r="O21" s="1179" t="s">
        <v>1783</v>
      </c>
      <c r="P21" s="1179" t="s">
        <v>1783</v>
      </c>
      <c r="Q21" s="1179" t="s">
        <v>1783</v>
      </c>
      <c r="R21" s="1179" t="s">
        <v>1783</v>
      </c>
      <c r="S21" s="1179" t="s">
        <v>1783</v>
      </c>
      <c r="T21" s="1179" t="s">
        <v>1783</v>
      </c>
      <c r="U21" s="1179" t="s">
        <v>1783</v>
      </c>
      <c r="V21" s="1179" t="s">
        <v>1783</v>
      </c>
      <c r="W21" s="1179" t="s">
        <v>1783</v>
      </c>
      <c r="X21" s="1179" t="s">
        <v>1783</v>
      </c>
      <c r="Y21" s="1179" t="s">
        <v>1783</v>
      </c>
      <c r="Z21" s="1179" t="s">
        <v>1783</v>
      </c>
      <c r="AA21" s="1179" t="s">
        <v>1783</v>
      </c>
      <c r="AB21" s="1179" t="s">
        <v>1783</v>
      </c>
      <c r="AC21" s="1179" t="s">
        <v>1783</v>
      </c>
      <c r="AD21" s="1179" t="s">
        <v>1783</v>
      </c>
      <c r="AE21" s="1179" t="s">
        <v>1783</v>
      </c>
      <c r="AF21" s="1179" t="s">
        <v>1783</v>
      </c>
      <c r="AG21" s="1179" t="s">
        <v>1783</v>
      </c>
    </row>
    <row r="22" spans="1:33">
      <c r="A22" s="738" t="s">
        <v>1543</v>
      </c>
      <c r="B22" s="869">
        <f t="shared" si="0"/>
        <v>0</v>
      </c>
      <c r="C22" s="832">
        <f t="shared" si="0"/>
        <v>0</v>
      </c>
      <c r="D22" s="832">
        <f t="shared" si="0"/>
        <v>0</v>
      </c>
      <c r="E22" s="832">
        <f t="shared" si="0"/>
        <v>0</v>
      </c>
      <c r="F22" s="1179" t="s">
        <v>1783</v>
      </c>
      <c r="G22" s="1179" t="s">
        <v>1783</v>
      </c>
      <c r="H22" s="1179" t="s">
        <v>1783</v>
      </c>
      <c r="I22" s="1179" t="s">
        <v>1783</v>
      </c>
      <c r="J22" s="1179" t="s">
        <v>1783</v>
      </c>
      <c r="K22" s="1179" t="s">
        <v>1783</v>
      </c>
      <c r="L22" s="1179" t="s">
        <v>1783</v>
      </c>
      <c r="M22" s="1179" t="s">
        <v>1783</v>
      </c>
      <c r="N22" s="1179" t="s">
        <v>1783</v>
      </c>
      <c r="O22" s="1179" t="s">
        <v>1783</v>
      </c>
      <c r="P22" s="1179" t="s">
        <v>1783</v>
      </c>
      <c r="Q22" s="1179" t="s">
        <v>1783</v>
      </c>
      <c r="R22" s="1179" t="s">
        <v>1783</v>
      </c>
      <c r="S22" s="1179" t="s">
        <v>1783</v>
      </c>
      <c r="T22" s="1179" t="s">
        <v>1783</v>
      </c>
      <c r="U22" s="1179" t="s">
        <v>1783</v>
      </c>
      <c r="V22" s="1179" t="s">
        <v>1783</v>
      </c>
      <c r="W22" s="1179" t="s">
        <v>1783</v>
      </c>
      <c r="X22" s="1179" t="s">
        <v>1783</v>
      </c>
      <c r="Y22" s="1179" t="s">
        <v>1783</v>
      </c>
      <c r="Z22" s="1179" t="s">
        <v>1783</v>
      </c>
      <c r="AA22" s="1179" t="s">
        <v>1783</v>
      </c>
      <c r="AB22" s="1179" t="s">
        <v>1783</v>
      </c>
      <c r="AC22" s="1179" t="s">
        <v>1783</v>
      </c>
      <c r="AD22" s="1179" t="s">
        <v>1783</v>
      </c>
      <c r="AE22" s="1179" t="s">
        <v>1783</v>
      </c>
      <c r="AF22" s="1179" t="s">
        <v>1783</v>
      </c>
      <c r="AG22" s="1179" t="s">
        <v>1783</v>
      </c>
    </row>
    <row r="23" spans="1:33">
      <c r="A23" s="738" t="s">
        <v>1544</v>
      </c>
      <c r="B23" s="869">
        <f t="shared" si="0"/>
        <v>16</v>
      </c>
      <c r="C23" s="832">
        <f t="shared" si="0"/>
        <v>213</v>
      </c>
      <c r="D23" s="832">
        <f t="shared" si="0"/>
        <v>227</v>
      </c>
      <c r="E23" s="832">
        <f t="shared" si="0"/>
        <v>172</v>
      </c>
      <c r="F23" s="1179">
        <v>7</v>
      </c>
      <c r="G23" s="1179" t="s">
        <v>1783</v>
      </c>
      <c r="H23" s="1179">
        <v>67</v>
      </c>
      <c r="I23" s="1179">
        <v>83</v>
      </c>
      <c r="J23" s="1179">
        <v>8</v>
      </c>
      <c r="K23" s="1179">
        <v>213</v>
      </c>
      <c r="L23" s="1179">
        <v>150</v>
      </c>
      <c r="M23" s="1179">
        <v>70</v>
      </c>
      <c r="N23" s="1179" t="s">
        <v>1783</v>
      </c>
      <c r="O23" s="1179" t="s">
        <v>1783</v>
      </c>
      <c r="P23" s="1179" t="s">
        <v>1783</v>
      </c>
      <c r="Q23" s="1179" t="s">
        <v>1783</v>
      </c>
      <c r="R23" s="1179">
        <v>1</v>
      </c>
      <c r="S23" s="1179" t="s">
        <v>1783</v>
      </c>
      <c r="T23" s="1179">
        <v>10</v>
      </c>
      <c r="U23" s="1179">
        <v>19</v>
      </c>
      <c r="V23" s="1179" t="s">
        <v>1783</v>
      </c>
      <c r="W23" s="1179" t="s">
        <v>1783</v>
      </c>
      <c r="X23" s="1179" t="s">
        <v>1783</v>
      </c>
      <c r="Y23" s="1179" t="s">
        <v>1783</v>
      </c>
      <c r="Z23" s="1179" t="s">
        <v>1783</v>
      </c>
      <c r="AA23" s="1179" t="s">
        <v>1783</v>
      </c>
      <c r="AB23" s="1179" t="s">
        <v>1783</v>
      </c>
      <c r="AC23" s="1179" t="s">
        <v>1783</v>
      </c>
      <c r="AD23" s="1179" t="s">
        <v>1783</v>
      </c>
      <c r="AE23" s="1179" t="s">
        <v>1783</v>
      </c>
      <c r="AF23" s="1179" t="s">
        <v>1783</v>
      </c>
      <c r="AG23" s="1179" t="s">
        <v>1783</v>
      </c>
    </row>
    <row r="24" spans="1:33">
      <c r="A24" s="738" t="s">
        <v>1545</v>
      </c>
      <c r="B24" s="869">
        <f t="shared" si="0"/>
        <v>0</v>
      </c>
      <c r="C24" s="832">
        <f t="shared" si="0"/>
        <v>0</v>
      </c>
      <c r="D24" s="832">
        <f t="shared" si="0"/>
        <v>0</v>
      </c>
      <c r="E24" s="832">
        <f t="shared" si="0"/>
        <v>0</v>
      </c>
      <c r="F24" s="1179" t="s">
        <v>1783</v>
      </c>
      <c r="G24" s="1179" t="s">
        <v>1783</v>
      </c>
      <c r="H24" s="1179" t="s">
        <v>1783</v>
      </c>
      <c r="I24" s="1179" t="s">
        <v>1783</v>
      </c>
      <c r="J24" s="1179" t="s">
        <v>1783</v>
      </c>
      <c r="K24" s="1179" t="s">
        <v>1783</v>
      </c>
      <c r="L24" s="1179" t="s">
        <v>1783</v>
      </c>
      <c r="M24" s="1179" t="s">
        <v>1783</v>
      </c>
      <c r="N24" s="1179" t="s">
        <v>1783</v>
      </c>
      <c r="O24" s="1179" t="s">
        <v>1783</v>
      </c>
      <c r="P24" s="1179" t="s">
        <v>1783</v>
      </c>
      <c r="Q24" s="1179" t="s">
        <v>1783</v>
      </c>
      <c r="R24" s="1179" t="s">
        <v>1783</v>
      </c>
      <c r="S24" s="1179" t="s">
        <v>1783</v>
      </c>
      <c r="T24" s="1179" t="s">
        <v>1783</v>
      </c>
      <c r="U24" s="1179" t="s">
        <v>1783</v>
      </c>
      <c r="V24" s="1179" t="s">
        <v>1783</v>
      </c>
      <c r="W24" s="1179" t="s">
        <v>1783</v>
      </c>
      <c r="X24" s="1179" t="s">
        <v>1783</v>
      </c>
      <c r="Y24" s="1179" t="s">
        <v>1783</v>
      </c>
      <c r="Z24" s="1179" t="s">
        <v>1783</v>
      </c>
      <c r="AA24" s="1179" t="s">
        <v>1783</v>
      </c>
      <c r="AB24" s="1179" t="s">
        <v>1783</v>
      </c>
      <c r="AC24" s="1179" t="s">
        <v>1783</v>
      </c>
      <c r="AD24" s="1179" t="s">
        <v>1783</v>
      </c>
      <c r="AE24" s="1179" t="s">
        <v>1783</v>
      </c>
      <c r="AF24" s="1179" t="s">
        <v>1783</v>
      </c>
      <c r="AG24" s="1179" t="s">
        <v>1783</v>
      </c>
    </row>
    <row r="25" spans="1:33">
      <c r="A25" s="738" t="s">
        <v>1546</v>
      </c>
      <c r="B25" s="869">
        <f t="shared" si="0"/>
        <v>2</v>
      </c>
      <c r="C25" s="832">
        <f t="shared" si="0"/>
        <v>40</v>
      </c>
      <c r="D25" s="832">
        <f t="shared" si="0"/>
        <v>25</v>
      </c>
      <c r="E25" s="832">
        <f t="shared" si="0"/>
        <v>13</v>
      </c>
      <c r="F25" s="1096">
        <v>1</v>
      </c>
      <c r="G25" s="1179" t="s">
        <v>1783</v>
      </c>
      <c r="H25" s="1179" t="s">
        <v>1783</v>
      </c>
      <c r="I25" s="1179" t="s">
        <v>1783</v>
      </c>
      <c r="J25" s="1096">
        <v>1</v>
      </c>
      <c r="K25" s="1096">
        <v>40</v>
      </c>
      <c r="L25" s="1096">
        <v>25</v>
      </c>
      <c r="M25" s="1096">
        <v>13</v>
      </c>
      <c r="N25" s="1179" t="s">
        <v>1783</v>
      </c>
      <c r="O25" s="1179" t="s">
        <v>1783</v>
      </c>
      <c r="P25" s="1179" t="s">
        <v>1783</v>
      </c>
      <c r="Q25" s="1179" t="s">
        <v>1783</v>
      </c>
      <c r="R25" s="1179" t="s">
        <v>1783</v>
      </c>
      <c r="S25" s="1179" t="s">
        <v>1783</v>
      </c>
      <c r="T25" s="1179" t="s">
        <v>1783</v>
      </c>
      <c r="U25" s="1179" t="s">
        <v>1783</v>
      </c>
      <c r="V25" s="1179" t="s">
        <v>1783</v>
      </c>
      <c r="W25" s="1179" t="s">
        <v>1783</v>
      </c>
      <c r="X25" s="1179" t="s">
        <v>1783</v>
      </c>
      <c r="Y25" s="1179" t="s">
        <v>1783</v>
      </c>
      <c r="Z25" s="1179" t="s">
        <v>1783</v>
      </c>
      <c r="AA25" s="1179" t="s">
        <v>1783</v>
      </c>
      <c r="AB25" s="1179" t="s">
        <v>1783</v>
      </c>
      <c r="AC25" s="1179" t="s">
        <v>1783</v>
      </c>
      <c r="AD25" s="1179" t="s">
        <v>1783</v>
      </c>
      <c r="AE25" s="1179" t="s">
        <v>1783</v>
      </c>
      <c r="AF25" s="1179" t="s">
        <v>1783</v>
      </c>
      <c r="AG25" s="1179" t="s">
        <v>1783</v>
      </c>
    </row>
    <row r="26" spans="1:33">
      <c r="A26" s="738" t="s">
        <v>1547</v>
      </c>
      <c r="B26" s="869">
        <f t="shared" si="0"/>
        <v>0</v>
      </c>
      <c r="C26" s="832">
        <f t="shared" si="0"/>
        <v>0</v>
      </c>
      <c r="D26" s="832">
        <f t="shared" si="0"/>
        <v>0</v>
      </c>
      <c r="E26" s="832">
        <f t="shared" si="0"/>
        <v>0</v>
      </c>
      <c r="F26" s="1179" t="s">
        <v>1783</v>
      </c>
      <c r="G26" s="1179" t="s">
        <v>1783</v>
      </c>
      <c r="H26" s="1179" t="s">
        <v>1783</v>
      </c>
      <c r="I26" s="1179" t="s">
        <v>1783</v>
      </c>
      <c r="J26" s="1179" t="s">
        <v>1783</v>
      </c>
      <c r="K26" s="1179" t="s">
        <v>1783</v>
      </c>
      <c r="L26" s="1179" t="s">
        <v>1783</v>
      </c>
      <c r="M26" s="1179" t="s">
        <v>1783</v>
      </c>
      <c r="N26" s="1179" t="s">
        <v>1783</v>
      </c>
      <c r="O26" s="1179" t="s">
        <v>1783</v>
      </c>
      <c r="P26" s="1179" t="s">
        <v>1783</v>
      </c>
      <c r="Q26" s="1179" t="s">
        <v>1783</v>
      </c>
      <c r="R26" s="1179" t="s">
        <v>1783</v>
      </c>
      <c r="S26" s="1179" t="s">
        <v>1783</v>
      </c>
      <c r="T26" s="1179" t="s">
        <v>1783</v>
      </c>
      <c r="U26" s="1179" t="s">
        <v>1783</v>
      </c>
      <c r="V26" s="1179" t="s">
        <v>1783</v>
      </c>
      <c r="W26" s="1179" t="s">
        <v>1783</v>
      </c>
      <c r="X26" s="1179" t="s">
        <v>1783</v>
      </c>
      <c r="Y26" s="1179" t="s">
        <v>1783</v>
      </c>
      <c r="Z26" s="1179" t="s">
        <v>1783</v>
      </c>
      <c r="AA26" s="1179" t="s">
        <v>1783</v>
      </c>
      <c r="AB26" s="1179" t="s">
        <v>1783</v>
      </c>
      <c r="AC26" s="1179" t="s">
        <v>1783</v>
      </c>
      <c r="AD26" s="1179" t="s">
        <v>1783</v>
      </c>
      <c r="AE26" s="1179" t="s">
        <v>1783</v>
      </c>
      <c r="AF26" s="1179" t="s">
        <v>1783</v>
      </c>
      <c r="AG26" s="1179" t="s">
        <v>1783</v>
      </c>
    </row>
    <row r="27" spans="1:33">
      <c r="A27" s="738" t="s">
        <v>1548</v>
      </c>
      <c r="B27" s="869">
        <f t="shared" si="0"/>
        <v>2</v>
      </c>
      <c r="C27" s="832">
        <f t="shared" si="0"/>
        <v>51</v>
      </c>
      <c r="D27" s="832">
        <f t="shared" si="0"/>
        <v>14</v>
      </c>
      <c r="E27" s="832">
        <f t="shared" si="0"/>
        <v>8</v>
      </c>
      <c r="F27" s="1179">
        <v>1</v>
      </c>
      <c r="G27" s="1179" t="s">
        <v>1783</v>
      </c>
      <c r="H27" s="1179">
        <v>12</v>
      </c>
      <c r="I27" s="1179">
        <v>8</v>
      </c>
      <c r="J27" s="1179" t="s">
        <v>1783</v>
      </c>
      <c r="K27" s="1179" t="s">
        <v>1783</v>
      </c>
      <c r="L27" s="1179" t="s">
        <v>1783</v>
      </c>
      <c r="M27" s="1179" t="s">
        <v>1783</v>
      </c>
      <c r="N27" s="1179" t="s">
        <v>1783</v>
      </c>
      <c r="O27" s="1179" t="s">
        <v>1783</v>
      </c>
      <c r="P27" s="1179" t="s">
        <v>1783</v>
      </c>
      <c r="Q27" s="1179" t="s">
        <v>1783</v>
      </c>
      <c r="R27" s="1179" t="s">
        <v>1783</v>
      </c>
      <c r="S27" s="1179" t="s">
        <v>1783</v>
      </c>
      <c r="T27" s="1179" t="s">
        <v>1783</v>
      </c>
      <c r="U27" s="1179" t="s">
        <v>1783</v>
      </c>
      <c r="V27" s="1179" t="s">
        <v>1783</v>
      </c>
      <c r="W27" s="1179" t="s">
        <v>1783</v>
      </c>
      <c r="X27" s="1179" t="s">
        <v>1783</v>
      </c>
      <c r="Y27" s="1179" t="s">
        <v>1783</v>
      </c>
      <c r="Z27" s="1179" t="s">
        <v>1783</v>
      </c>
      <c r="AA27" s="1179" t="s">
        <v>1783</v>
      </c>
      <c r="AB27" s="1179" t="s">
        <v>1783</v>
      </c>
      <c r="AC27" s="1179" t="s">
        <v>1783</v>
      </c>
      <c r="AD27" s="1179">
        <v>1</v>
      </c>
      <c r="AE27" s="1179">
        <v>51</v>
      </c>
      <c r="AF27" s="1179">
        <v>2</v>
      </c>
      <c r="AG27" s="1179" t="s">
        <v>1783</v>
      </c>
    </row>
    <row r="28" spans="1:33">
      <c r="A28" s="738" t="s">
        <v>1549</v>
      </c>
      <c r="B28" s="869">
        <f t="shared" si="0"/>
        <v>0</v>
      </c>
      <c r="C28" s="832">
        <f t="shared" si="0"/>
        <v>0</v>
      </c>
      <c r="D28" s="832">
        <f t="shared" si="0"/>
        <v>0</v>
      </c>
      <c r="E28" s="832">
        <f t="shared" si="0"/>
        <v>0</v>
      </c>
      <c r="F28" s="1179" t="s">
        <v>1783</v>
      </c>
      <c r="G28" s="1179" t="s">
        <v>1783</v>
      </c>
      <c r="H28" s="1179" t="s">
        <v>1783</v>
      </c>
      <c r="I28" s="1179" t="s">
        <v>1783</v>
      </c>
      <c r="J28" s="1179" t="s">
        <v>1783</v>
      </c>
      <c r="K28" s="1179" t="s">
        <v>1783</v>
      </c>
      <c r="L28" s="1179" t="s">
        <v>1783</v>
      </c>
      <c r="M28" s="1179" t="s">
        <v>1783</v>
      </c>
      <c r="N28" s="1179" t="s">
        <v>1783</v>
      </c>
      <c r="O28" s="1179" t="s">
        <v>1783</v>
      </c>
      <c r="P28" s="1179" t="s">
        <v>1783</v>
      </c>
      <c r="Q28" s="1179" t="s">
        <v>1783</v>
      </c>
      <c r="R28" s="1179" t="s">
        <v>1783</v>
      </c>
      <c r="S28" s="1179" t="s">
        <v>1783</v>
      </c>
      <c r="T28" s="1179" t="s">
        <v>1783</v>
      </c>
      <c r="U28" s="1179" t="s">
        <v>1783</v>
      </c>
      <c r="V28" s="1179" t="s">
        <v>1783</v>
      </c>
      <c r="W28" s="1179" t="s">
        <v>1783</v>
      </c>
      <c r="X28" s="1179" t="s">
        <v>1783</v>
      </c>
      <c r="Y28" s="1179" t="s">
        <v>1783</v>
      </c>
      <c r="Z28" s="1179" t="s">
        <v>1783</v>
      </c>
      <c r="AA28" s="1179" t="s">
        <v>1783</v>
      </c>
      <c r="AB28" s="1179" t="s">
        <v>1783</v>
      </c>
      <c r="AC28" s="1179" t="s">
        <v>1783</v>
      </c>
      <c r="AD28" s="1179" t="s">
        <v>1783</v>
      </c>
      <c r="AE28" s="1179" t="s">
        <v>1783</v>
      </c>
      <c r="AF28" s="1179" t="s">
        <v>1783</v>
      </c>
      <c r="AG28" s="1179" t="s">
        <v>1783</v>
      </c>
    </row>
    <row r="29" spans="1:33">
      <c r="A29" s="738" t="s">
        <v>1550</v>
      </c>
      <c r="B29" s="869">
        <f t="shared" si="0"/>
        <v>9</v>
      </c>
      <c r="C29" s="832">
        <f t="shared" si="0"/>
        <v>0</v>
      </c>
      <c r="D29" s="832">
        <f t="shared" si="0"/>
        <v>193</v>
      </c>
      <c r="E29" s="832">
        <f t="shared" si="0"/>
        <v>176</v>
      </c>
      <c r="F29" s="1179">
        <v>5</v>
      </c>
      <c r="G29" s="1179" t="s">
        <v>1783</v>
      </c>
      <c r="H29" s="1179">
        <v>183</v>
      </c>
      <c r="I29" s="1179">
        <v>157</v>
      </c>
      <c r="J29" s="1179" t="s">
        <v>1783</v>
      </c>
      <c r="K29" s="1179" t="s">
        <v>1783</v>
      </c>
      <c r="L29" s="1179" t="s">
        <v>1783</v>
      </c>
      <c r="M29" s="1179" t="s">
        <v>1783</v>
      </c>
      <c r="N29" s="1179" t="s">
        <v>1783</v>
      </c>
      <c r="O29" s="1179" t="s">
        <v>1783</v>
      </c>
      <c r="P29" s="1179" t="s">
        <v>1783</v>
      </c>
      <c r="Q29" s="1179" t="s">
        <v>1783</v>
      </c>
      <c r="R29" s="1179">
        <v>4</v>
      </c>
      <c r="S29" s="1179" t="s">
        <v>1783</v>
      </c>
      <c r="T29" s="1179">
        <v>10</v>
      </c>
      <c r="U29" s="1179">
        <v>19</v>
      </c>
      <c r="V29" s="1179" t="s">
        <v>1783</v>
      </c>
      <c r="W29" s="1179" t="s">
        <v>1783</v>
      </c>
      <c r="X29" s="1179" t="s">
        <v>1783</v>
      </c>
      <c r="Y29" s="1179" t="s">
        <v>1783</v>
      </c>
      <c r="Z29" s="1179" t="s">
        <v>1783</v>
      </c>
      <c r="AA29" s="1179" t="s">
        <v>1783</v>
      </c>
      <c r="AB29" s="1179" t="s">
        <v>1783</v>
      </c>
      <c r="AC29" s="1179" t="s">
        <v>1783</v>
      </c>
      <c r="AD29" s="1179" t="s">
        <v>1783</v>
      </c>
      <c r="AE29" s="1179" t="s">
        <v>1783</v>
      </c>
      <c r="AF29" s="1179" t="s">
        <v>1783</v>
      </c>
      <c r="AG29" s="1179" t="s">
        <v>1783</v>
      </c>
    </row>
    <row r="30" spans="1:33">
      <c r="A30" s="738" t="s">
        <v>1551</v>
      </c>
      <c r="B30" s="869">
        <f t="shared" si="0"/>
        <v>12</v>
      </c>
      <c r="C30" s="832">
        <f t="shared" si="0"/>
        <v>125</v>
      </c>
      <c r="D30" s="832">
        <f t="shared" si="0"/>
        <v>487</v>
      </c>
      <c r="E30" s="832">
        <f t="shared" si="0"/>
        <v>287</v>
      </c>
      <c r="F30" s="1179">
        <v>4</v>
      </c>
      <c r="G30" s="1179" t="s">
        <v>1783</v>
      </c>
      <c r="H30" s="1179">
        <v>232</v>
      </c>
      <c r="I30" s="1179">
        <v>222</v>
      </c>
      <c r="J30" s="1179">
        <v>3</v>
      </c>
      <c r="K30" s="1179">
        <v>125</v>
      </c>
      <c r="L30" s="1179">
        <v>102</v>
      </c>
      <c r="M30" s="1179">
        <v>43</v>
      </c>
      <c r="N30" s="1179" t="s">
        <v>1783</v>
      </c>
      <c r="O30" s="1179" t="s">
        <v>1783</v>
      </c>
      <c r="P30" s="1179" t="s">
        <v>1783</v>
      </c>
      <c r="Q30" s="1179" t="s">
        <v>1783</v>
      </c>
      <c r="R30" s="1179">
        <v>3</v>
      </c>
      <c r="S30" s="1179" t="s">
        <v>1783</v>
      </c>
      <c r="T30" s="1179">
        <v>41</v>
      </c>
      <c r="U30" s="1179">
        <v>10</v>
      </c>
      <c r="V30" s="1096">
        <v>1</v>
      </c>
      <c r="W30" s="1179" t="s">
        <v>1783</v>
      </c>
      <c r="X30" s="1096">
        <v>34</v>
      </c>
      <c r="Y30" s="1096">
        <v>2</v>
      </c>
      <c r="Z30" s="1179" t="s">
        <v>1783</v>
      </c>
      <c r="AA30" s="1179" t="s">
        <v>1783</v>
      </c>
      <c r="AB30" s="1179" t="s">
        <v>1783</v>
      </c>
      <c r="AC30" s="1179" t="s">
        <v>1783</v>
      </c>
      <c r="AD30" s="1179">
        <v>1</v>
      </c>
      <c r="AE30" s="1179" t="s">
        <v>1783</v>
      </c>
      <c r="AF30" s="1179">
        <v>78</v>
      </c>
      <c r="AG30" s="1179">
        <v>10</v>
      </c>
    </row>
    <row r="31" spans="1:33">
      <c r="A31" s="738" t="s">
        <v>1552</v>
      </c>
      <c r="B31" s="869">
        <f t="shared" si="0"/>
        <v>0</v>
      </c>
      <c r="C31" s="832">
        <f t="shared" si="0"/>
        <v>0</v>
      </c>
      <c r="D31" s="832">
        <f t="shared" si="0"/>
        <v>0</v>
      </c>
      <c r="E31" s="832">
        <f t="shared" si="0"/>
        <v>0</v>
      </c>
      <c r="F31" s="1179" t="s">
        <v>1783</v>
      </c>
      <c r="G31" s="1179" t="s">
        <v>1783</v>
      </c>
      <c r="H31" s="1179" t="s">
        <v>1783</v>
      </c>
      <c r="I31" s="1179" t="s">
        <v>1783</v>
      </c>
      <c r="J31" s="1179" t="s">
        <v>1783</v>
      </c>
      <c r="K31" s="1179" t="s">
        <v>1783</v>
      </c>
      <c r="L31" s="1179" t="s">
        <v>1783</v>
      </c>
      <c r="M31" s="1179" t="s">
        <v>1783</v>
      </c>
      <c r="N31" s="1179" t="s">
        <v>1783</v>
      </c>
      <c r="O31" s="1179" t="s">
        <v>1783</v>
      </c>
      <c r="P31" s="1179" t="s">
        <v>1783</v>
      </c>
      <c r="Q31" s="1179" t="s">
        <v>1783</v>
      </c>
      <c r="R31" s="1179" t="s">
        <v>1783</v>
      </c>
      <c r="S31" s="1179" t="s">
        <v>1783</v>
      </c>
      <c r="T31" s="1179" t="s">
        <v>1783</v>
      </c>
      <c r="U31" s="1179" t="s">
        <v>1783</v>
      </c>
      <c r="V31" s="1179" t="s">
        <v>1783</v>
      </c>
      <c r="W31" s="1179" t="s">
        <v>1783</v>
      </c>
      <c r="X31" s="1179" t="s">
        <v>1783</v>
      </c>
      <c r="Y31" s="1179" t="s">
        <v>1783</v>
      </c>
      <c r="Z31" s="1179" t="s">
        <v>1783</v>
      </c>
      <c r="AA31" s="1179" t="s">
        <v>1783</v>
      </c>
      <c r="AB31" s="1179" t="s">
        <v>1783</v>
      </c>
      <c r="AC31" s="1179" t="s">
        <v>1783</v>
      </c>
      <c r="AD31" s="1179" t="s">
        <v>1783</v>
      </c>
      <c r="AE31" s="1179" t="s">
        <v>1783</v>
      </c>
      <c r="AF31" s="1179" t="s">
        <v>1783</v>
      </c>
      <c r="AG31" s="1179" t="s">
        <v>1783</v>
      </c>
    </row>
    <row r="32" spans="1:33">
      <c r="A32" s="738" t="s">
        <v>1553</v>
      </c>
      <c r="B32" s="869">
        <f t="shared" si="0"/>
        <v>5</v>
      </c>
      <c r="C32" s="832">
        <f t="shared" si="0"/>
        <v>34</v>
      </c>
      <c r="D32" s="832">
        <f t="shared" si="0"/>
        <v>292</v>
      </c>
      <c r="E32" s="832">
        <f t="shared" si="0"/>
        <v>340</v>
      </c>
      <c r="F32" s="1179">
        <v>3</v>
      </c>
      <c r="G32" s="1179" t="s">
        <v>1783</v>
      </c>
      <c r="H32" s="1179">
        <v>250</v>
      </c>
      <c r="I32" s="1179">
        <v>301</v>
      </c>
      <c r="J32" s="1179">
        <v>1</v>
      </c>
      <c r="K32" s="1179">
        <v>34</v>
      </c>
      <c r="L32" s="1179">
        <v>39</v>
      </c>
      <c r="M32" s="1179">
        <v>17</v>
      </c>
      <c r="N32" s="1179" t="s">
        <v>1783</v>
      </c>
      <c r="O32" s="1179" t="s">
        <v>1783</v>
      </c>
      <c r="P32" s="1179" t="s">
        <v>1783</v>
      </c>
      <c r="Q32" s="1179" t="s">
        <v>1783</v>
      </c>
      <c r="R32" s="1179">
        <v>1</v>
      </c>
      <c r="S32" s="1179" t="s">
        <v>1783</v>
      </c>
      <c r="T32" s="1179">
        <v>3</v>
      </c>
      <c r="U32" s="1179">
        <v>22</v>
      </c>
      <c r="V32" s="1179" t="s">
        <v>1783</v>
      </c>
      <c r="W32" s="1179" t="s">
        <v>1783</v>
      </c>
      <c r="X32" s="1179" t="s">
        <v>1783</v>
      </c>
      <c r="Y32" s="1179" t="s">
        <v>1783</v>
      </c>
      <c r="Z32" s="1179" t="s">
        <v>1783</v>
      </c>
      <c r="AA32" s="1179" t="s">
        <v>1783</v>
      </c>
      <c r="AB32" s="1179" t="s">
        <v>1783</v>
      </c>
      <c r="AC32" s="1179" t="s">
        <v>1783</v>
      </c>
      <c r="AD32" s="1179" t="s">
        <v>1783</v>
      </c>
      <c r="AE32" s="1179" t="s">
        <v>1783</v>
      </c>
      <c r="AF32" s="1179" t="s">
        <v>1783</v>
      </c>
      <c r="AG32" s="1179" t="s">
        <v>1783</v>
      </c>
    </row>
    <row r="33" spans="1:33">
      <c r="A33" s="738" t="s">
        <v>1554</v>
      </c>
      <c r="B33" s="869">
        <f t="shared" si="0"/>
        <v>3</v>
      </c>
      <c r="C33" s="832">
        <f t="shared" si="0"/>
        <v>0</v>
      </c>
      <c r="D33" s="832">
        <f t="shared" si="0"/>
        <v>41</v>
      </c>
      <c r="E33" s="832">
        <f t="shared" si="0"/>
        <v>42</v>
      </c>
      <c r="F33" s="1179">
        <v>2</v>
      </c>
      <c r="G33" s="1179" t="s">
        <v>1783</v>
      </c>
      <c r="H33" s="1179">
        <v>41</v>
      </c>
      <c r="I33" s="1179">
        <v>42</v>
      </c>
      <c r="J33" s="1179" t="s">
        <v>1783</v>
      </c>
      <c r="K33" s="1179" t="s">
        <v>1783</v>
      </c>
      <c r="L33" s="1179" t="s">
        <v>1783</v>
      </c>
      <c r="M33" s="1179" t="s">
        <v>1783</v>
      </c>
      <c r="N33" s="1179" t="s">
        <v>1783</v>
      </c>
      <c r="O33" s="1179" t="s">
        <v>1783</v>
      </c>
      <c r="P33" s="1179" t="s">
        <v>1783</v>
      </c>
      <c r="Q33" s="1179" t="s">
        <v>1783</v>
      </c>
      <c r="R33" s="1179">
        <v>1</v>
      </c>
      <c r="S33" s="1179" t="s">
        <v>1783</v>
      </c>
      <c r="T33" s="1179" t="s">
        <v>1783</v>
      </c>
      <c r="U33" s="1179" t="s">
        <v>1783</v>
      </c>
      <c r="V33" s="1179" t="s">
        <v>1783</v>
      </c>
      <c r="W33" s="1179" t="s">
        <v>1783</v>
      </c>
      <c r="X33" s="1179" t="s">
        <v>1783</v>
      </c>
      <c r="Y33" s="1179" t="s">
        <v>1783</v>
      </c>
      <c r="Z33" s="1179" t="s">
        <v>1783</v>
      </c>
      <c r="AA33" s="1179" t="s">
        <v>1783</v>
      </c>
      <c r="AB33" s="1179" t="s">
        <v>1783</v>
      </c>
      <c r="AC33" s="1179" t="s">
        <v>1783</v>
      </c>
      <c r="AD33" s="1179" t="s">
        <v>1783</v>
      </c>
      <c r="AE33" s="1179" t="s">
        <v>1783</v>
      </c>
      <c r="AF33" s="1179" t="s">
        <v>1783</v>
      </c>
      <c r="AG33" s="1179" t="s">
        <v>1783</v>
      </c>
    </row>
    <row r="34" spans="1:33">
      <c r="A34" s="774" t="s">
        <v>1565</v>
      </c>
      <c r="B34" s="869">
        <f t="shared" si="0"/>
        <v>14</v>
      </c>
      <c r="C34" s="832">
        <f t="shared" si="0"/>
        <v>9</v>
      </c>
      <c r="D34" s="832">
        <f t="shared" si="0"/>
        <v>107</v>
      </c>
      <c r="E34" s="832">
        <f t="shared" si="0"/>
        <v>100</v>
      </c>
      <c r="F34" s="1179">
        <v>6</v>
      </c>
      <c r="G34" s="1179" t="s">
        <v>1783</v>
      </c>
      <c r="H34" s="1179">
        <v>101</v>
      </c>
      <c r="I34" s="1179">
        <v>89</v>
      </c>
      <c r="J34" s="1179">
        <v>1</v>
      </c>
      <c r="K34" s="1179">
        <v>9</v>
      </c>
      <c r="L34" s="1179" t="s">
        <v>1783</v>
      </c>
      <c r="M34" s="1179">
        <v>4</v>
      </c>
      <c r="N34" s="1179" t="s">
        <v>1783</v>
      </c>
      <c r="O34" s="1179" t="s">
        <v>1783</v>
      </c>
      <c r="P34" s="1179" t="s">
        <v>1783</v>
      </c>
      <c r="Q34" s="1179" t="s">
        <v>1783</v>
      </c>
      <c r="R34" s="1179">
        <v>4</v>
      </c>
      <c r="S34" s="1179" t="s">
        <v>1783</v>
      </c>
      <c r="T34" s="1179">
        <v>5</v>
      </c>
      <c r="U34" s="1179">
        <v>6</v>
      </c>
      <c r="V34" s="1096">
        <v>2</v>
      </c>
      <c r="W34" s="1179" t="s">
        <v>1783</v>
      </c>
      <c r="X34" s="1180">
        <v>1</v>
      </c>
      <c r="Y34" s="1180">
        <v>1</v>
      </c>
      <c r="Z34" s="1180">
        <v>1</v>
      </c>
      <c r="AA34" s="1179" t="s">
        <v>1783</v>
      </c>
      <c r="AB34" s="1179" t="s">
        <v>1783</v>
      </c>
      <c r="AC34" s="1179" t="s">
        <v>1783</v>
      </c>
      <c r="AD34" s="1179" t="s">
        <v>1783</v>
      </c>
      <c r="AE34" s="1179" t="s">
        <v>1783</v>
      </c>
      <c r="AF34" s="1179" t="s">
        <v>1783</v>
      </c>
      <c r="AG34" s="1179" t="s">
        <v>1783</v>
      </c>
    </row>
    <row r="35" spans="1:33">
      <c r="A35" s="774" t="s">
        <v>1566</v>
      </c>
      <c r="B35" s="869">
        <f t="shared" si="0"/>
        <v>9</v>
      </c>
      <c r="C35" s="832">
        <f t="shared" si="0"/>
        <v>60</v>
      </c>
      <c r="D35" s="832">
        <f t="shared" si="0"/>
        <v>234</v>
      </c>
      <c r="E35" s="832">
        <f t="shared" si="0"/>
        <v>217</v>
      </c>
      <c r="F35" s="1179">
        <v>4</v>
      </c>
      <c r="G35" s="1179" t="s">
        <v>1783</v>
      </c>
      <c r="H35" s="1179">
        <v>212</v>
      </c>
      <c r="I35" s="1179">
        <v>197</v>
      </c>
      <c r="J35" s="1179">
        <v>2</v>
      </c>
      <c r="K35" s="1179">
        <v>60</v>
      </c>
      <c r="L35" s="1179">
        <v>17</v>
      </c>
      <c r="M35" s="1179">
        <v>9</v>
      </c>
      <c r="N35" s="1179" t="s">
        <v>1783</v>
      </c>
      <c r="O35" s="1179" t="s">
        <v>1783</v>
      </c>
      <c r="P35" s="1179" t="s">
        <v>1783</v>
      </c>
      <c r="Q35" s="1179" t="s">
        <v>1783</v>
      </c>
      <c r="R35" s="1179">
        <v>3</v>
      </c>
      <c r="S35" s="1179" t="s">
        <v>1783</v>
      </c>
      <c r="T35" s="1179">
        <v>5</v>
      </c>
      <c r="U35" s="1179">
        <v>11</v>
      </c>
      <c r="V35" s="1179" t="s">
        <v>1783</v>
      </c>
      <c r="W35" s="1179" t="s">
        <v>1783</v>
      </c>
      <c r="X35" s="1179" t="s">
        <v>1783</v>
      </c>
      <c r="Y35" s="1179" t="s">
        <v>1783</v>
      </c>
      <c r="Z35" s="1179" t="s">
        <v>1783</v>
      </c>
      <c r="AA35" s="1179" t="s">
        <v>1783</v>
      </c>
      <c r="AB35" s="1179" t="s">
        <v>1783</v>
      </c>
      <c r="AC35" s="1179" t="s">
        <v>1783</v>
      </c>
      <c r="AD35" s="1179" t="s">
        <v>1783</v>
      </c>
      <c r="AE35" s="1179" t="s">
        <v>1783</v>
      </c>
      <c r="AF35" s="1179" t="s">
        <v>1783</v>
      </c>
      <c r="AG35" s="1179" t="s">
        <v>1783</v>
      </c>
    </row>
    <row r="36" spans="1:33">
      <c r="A36" s="774" t="s">
        <v>1567</v>
      </c>
      <c r="B36" s="869">
        <f t="shared" si="0"/>
        <v>8</v>
      </c>
      <c r="C36" s="832">
        <f t="shared" si="0"/>
        <v>0</v>
      </c>
      <c r="D36" s="832">
        <f t="shared" si="0"/>
        <v>174</v>
      </c>
      <c r="E36" s="832">
        <f t="shared" si="0"/>
        <v>162</v>
      </c>
      <c r="F36" s="1179">
        <v>5</v>
      </c>
      <c r="G36" s="1179" t="s">
        <v>1783</v>
      </c>
      <c r="H36" s="1179">
        <v>169</v>
      </c>
      <c r="I36" s="1179">
        <v>154</v>
      </c>
      <c r="J36" s="1179" t="s">
        <v>1783</v>
      </c>
      <c r="K36" s="1179" t="s">
        <v>1783</v>
      </c>
      <c r="L36" s="1179" t="s">
        <v>1783</v>
      </c>
      <c r="M36" s="1179" t="s">
        <v>1783</v>
      </c>
      <c r="N36" s="1179" t="s">
        <v>1783</v>
      </c>
      <c r="O36" s="1179" t="s">
        <v>1783</v>
      </c>
      <c r="P36" s="1179" t="s">
        <v>1783</v>
      </c>
      <c r="Q36" s="1179" t="s">
        <v>1783</v>
      </c>
      <c r="R36" s="1179">
        <v>3</v>
      </c>
      <c r="S36" s="1179" t="s">
        <v>1783</v>
      </c>
      <c r="T36" s="1179">
        <v>5</v>
      </c>
      <c r="U36" s="1179">
        <v>8</v>
      </c>
      <c r="V36" s="1179" t="s">
        <v>1783</v>
      </c>
      <c r="W36" s="1179" t="s">
        <v>1783</v>
      </c>
      <c r="X36" s="1179" t="s">
        <v>1783</v>
      </c>
      <c r="Y36" s="1179" t="s">
        <v>1783</v>
      </c>
      <c r="Z36" s="1179" t="s">
        <v>1783</v>
      </c>
      <c r="AA36" s="1179" t="s">
        <v>1783</v>
      </c>
      <c r="AB36" s="1179" t="s">
        <v>1783</v>
      </c>
      <c r="AC36" s="1179" t="s">
        <v>1783</v>
      </c>
      <c r="AD36" s="1179" t="s">
        <v>1783</v>
      </c>
      <c r="AE36" s="1179" t="s">
        <v>1783</v>
      </c>
      <c r="AF36" s="1179" t="s">
        <v>1783</v>
      </c>
      <c r="AG36" s="1179" t="s">
        <v>1783</v>
      </c>
    </row>
    <row r="37" spans="1:33">
      <c r="A37" s="774" t="s">
        <v>1568</v>
      </c>
      <c r="B37" s="869">
        <f t="shared" si="0"/>
        <v>6</v>
      </c>
      <c r="C37" s="832">
        <f t="shared" si="0"/>
        <v>49</v>
      </c>
      <c r="D37" s="832">
        <f t="shared" si="0"/>
        <v>94</v>
      </c>
      <c r="E37" s="832">
        <f t="shared" si="0"/>
        <v>61</v>
      </c>
      <c r="F37" s="1179">
        <v>5</v>
      </c>
      <c r="G37" s="1179" t="s">
        <v>1783</v>
      </c>
      <c r="H37" s="1179">
        <v>48</v>
      </c>
      <c r="I37" s="1179">
        <v>45</v>
      </c>
      <c r="J37" s="1179">
        <v>1</v>
      </c>
      <c r="K37" s="1179">
        <v>49</v>
      </c>
      <c r="L37" s="1179">
        <v>46</v>
      </c>
      <c r="M37" s="1179">
        <v>16</v>
      </c>
      <c r="N37" s="1179" t="s">
        <v>1783</v>
      </c>
      <c r="O37" s="1179" t="s">
        <v>1783</v>
      </c>
      <c r="P37" s="1179" t="s">
        <v>1783</v>
      </c>
      <c r="Q37" s="1179" t="s">
        <v>1783</v>
      </c>
      <c r="R37" s="1179" t="s">
        <v>1783</v>
      </c>
      <c r="S37" s="1179" t="s">
        <v>1783</v>
      </c>
      <c r="T37" s="1179" t="s">
        <v>1783</v>
      </c>
      <c r="U37" s="1179" t="s">
        <v>1783</v>
      </c>
      <c r="V37" s="1179" t="s">
        <v>1783</v>
      </c>
      <c r="W37" s="1179" t="s">
        <v>1783</v>
      </c>
      <c r="X37" s="1179" t="s">
        <v>1783</v>
      </c>
      <c r="Y37" s="1179" t="s">
        <v>1783</v>
      </c>
      <c r="Z37" s="1179" t="s">
        <v>1783</v>
      </c>
      <c r="AA37" s="1179" t="s">
        <v>1783</v>
      </c>
      <c r="AB37" s="1179" t="s">
        <v>1783</v>
      </c>
      <c r="AC37" s="1179" t="s">
        <v>1783</v>
      </c>
      <c r="AD37" s="1179" t="s">
        <v>1783</v>
      </c>
      <c r="AE37" s="1179" t="s">
        <v>1783</v>
      </c>
      <c r="AF37" s="1179" t="s">
        <v>1783</v>
      </c>
      <c r="AG37" s="1179" t="s">
        <v>1783</v>
      </c>
    </row>
    <row r="38" spans="1:33">
      <c r="A38" s="774" t="s">
        <v>1569</v>
      </c>
      <c r="B38" s="869">
        <f t="shared" si="0"/>
        <v>8</v>
      </c>
      <c r="C38" s="832">
        <f t="shared" si="0"/>
        <v>34</v>
      </c>
      <c r="D38" s="832">
        <f t="shared" si="0"/>
        <v>242</v>
      </c>
      <c r="E38" s="832">
        <f t="shared" si="0"/>
        <v>126</v>
      </c>
      <c r="F38" s="1179">
        <v>4</v>
      </c>
      <c r="G38" s="1179" t="s">
        <v>1783</v>
      </c>
      <c r="H38" s="1179">
        <v>133</v>
      </c>
      <c r="I38" s="1179">
        <v>105</v>
      </c>
      <c r="J38" s="1179">
        <v>1</v>
      </c>
      <c r="K38" s="1179">
        <v>34</v>
      </c>
      <c r="L38" s="1179">
        <v>30</v>
      </c>
      <c r="M38" s="1179">
        <v>15</v>
      </c>
      <c r="N38" s="1179" t="s">
        <v>1783</v>
      </c>
      <c r="O38" s="1179" t="s">
        <v>1783</v>
      </c>
      <c r="P38" s="1179" t="s">
        <v>1783</v>
      </c>
      <c r="Q38" s="1179" t="s">
        <v>1783</v>
      </c>
      <c r="R38" s="1179">
        <v>2</v>
      </c>
      <c r="S38" s="1179" t="s">
        <v>1783</v>
      </c>
      <c r="T38" s="1179" t="s">
        <v>1783</v>
      </c>
      <c r="U38" s="1179">
        <v>4</v>
      </c>
      <c r="V38" s="1179" t="s">
        <v>1783</v>
      </c>
      <c r="W38" s="1179" t="s">
        <v>1783</v>
      </c>
      <c r="X38" s="1179" t="s">
        <v>1783</v>
      </c>
      <c r="Y38" s="1179" t="s">
        <v>1783</v>
      </c>
      <c r="Z38" s="1179" t="s">
        <v>1783</v>
      </c>
      <c r="AA38" s="1179" t="s">
        <v>1783</v>
      </c>
      <c r="AB38" s="1179" t="s">
        <v>1783</v>
      </c>
      <c r="AC38" s="1179" t="s">
        <v>1783</v>
      </c>
      <c r="AD38" s="1179">
        <v>1</v>
      </c>
      <c r="AE38" s="1179" t="s">
        <v>1783</v>
      </c>
      <c r="AF38" s="1179">
        <v>79</v>
      </c>
      <c r="AG38" s="1179">
        <v>2</v>
      </c>
    </row>
    <row r="39" spans="1:33">
      <c r="A39" s="774" t="s">
        <v>1570</v>
      </c>
      <c r="B39" s="869">
        <f t="shared" si="0"/>
        <v>4</v>
      </c>
      <c r="C39" s="832">
        <f t="shared" si="0"/>
        <v>0</v>
      </c>
      <c r="D39" s="832">
        <f t="shared" si="0"/>
        <v>6</v>
      </c>
      <c r="E39" s="832">
        <f t="shared" si="0"/>
        <v>5</v>
      </c>
      <c r="F39" s="1179">
        <v>3</v>
      </c>
      <c r="G39" s="1179" t="s">
        <v>1783</v>
      </c>
      <c r="H39" s="1179">
        <v>6</v>
      </c>
      <c r="I39" s="1179">
        <v>5</v>
      </c>
      <c r="J39" s="1179" t="s">
        <v>1783</v>
      </c>
      <c r="K39" s="1179" t="s">
        <v>1783</v>
      </c>
      <c r="L39" s="1179" t="s">
        <v>1783</v>
      </c>
      <c r="M39" s="1179" t="s">
        <v>1783</v>
      </c>
      <c r="N39" s="1179" t="s">
        <v>1783</v>
      </c>
      <c r="O39" s="1179" t="s">
        <v>1783</v>
      </c>
      <c r="P39" s="1179" t="s">
        <v>1783</v>
      </c>
      <c r="Q39" s="1179" t="s">
        <v>1783</v>
      </c>
      <c r="R39" s="1179">
        <v>1</v>
      </c>
      <c r="S39" s="1179" t="s">
        <v>1783</v>
      </c>
      <c r="T39" s="1179" t="s">
        <v>1783</v>
      </c>
      <c r="U39" s="1179" t="s">
        <v>1783</v>
      </c>
      <c r="V39" s="1179" t="s">
        <v>1783</v>
      </c>
      <c r="W39" s="1179" t="s">
        <v>1783</v>
      </c>
      <c r="X39" s="1179" t="s">
        <v>1783</v>
      </c>
      <c r="Y39" s="1179" t="s">
        <v>1783</v>
      </c>
      <c r="Z39" s="1179" t="s">
        <v>1783</v>
      </c>
      <c r="AA39" s="1179" t="s">
        <v>1783</v>
      </c>
      <c r="AB39" s="1179" t="s">
        <v>1783</v>
      </c>
      <c r="AC39" s="1179" t="s">
        <v>1783</v>
      </c>
      <c r="AD39" s="1179" t="s">
        <v>1783</v>
      </c>
      <c r="AE39" s="1179" t="s">
        <v>1783</v>
      </c>
      <c r="AF39" s="1179" t="s">
        <v>1783</v>
      </c>
      <c r="AG39" s="1179" t="s">
        <v>1783</v>
      </c>
    </row>
    <row r="40" spans="1:33">
      <c r="A40" s="774" t="s">
        <v>1571</v>
      </c>
      <c r="B40" s="869">
        <f t="shared" si="0"/>
        <v>17</v>
      </c>
      <c r="C40" s="832">
        <f t="shared" si="0"/>
        <v>0</v>
      </c>
      <c r="D40" s="832">
        <f t="shared" si="0"/>
        <v>281</v>
      </c>
      <c r="E40" s="832">
        <f t="shared" si="0"/>
        <v>257</v>
      </c>
      <c r="F40" s="1179">
        <v>11</v>
      </c>
      <c r="G40" s="1179" t="s">
        <v>1783</v>
      </c>
      <c r="H40" s="1179">
        <v>280</v>
      </c>
      <c r="I40" s="1179">
        <v>255</v>
      </c>
      <c r="J40" s="1179" t="s">
        <v>1783</v>
      </c>
      <c r="K40" s="1179" t="s">
        <v>1783</v>
      </c>
      <c r="L40" s="1179" t="s">
        <v>1783</v>
      </c>
      <c r="M40" s="1179" t="s">
        <v>1783</v>
      </c>
      <c r="N40" s="1179" t="s">
        <v>1783</v>
      </c>
      <c r="O40" s="1179" t="s">
        <v>1783</v>
      </c>
      <c r="P40" s="1179" t="s">
        <v>1783</v>
      </c>
      <c r="Q40" s="1179" t="s">
        <v>1783</v>
      </c>
      <c r="R40" s="1179">
        <v>6</v>
      </c>
      <c r="S40" s="1179" t="s">
        <v>1783</v>
      </c>
      <c r="T40" s="1179">
        <v>1</v>
      </c>
      <c r="U40" s="1179">
        <v>2</v>
      </c>
      <c r="V40" s="1179" t="s">
        <v>1783</v>
      </c>
      <c r="W40" s="1179" t="s">
        <v>1783</v>
      </c>
      <c r="X40" s="1179" t="s">
        <v>1783</v>
      </c>
      <c r="Y40" s="1179" t="s">
        <v>1783</v>
      </c>
      <c r="Z40" s="1179" t="s">
        <v>1783</v>
      </c>
      <c r="AA40" s="1179" t="s">
        <v>1783</v>
      </c>
      <c r="AB40" s="1179" t="s">
        <v>1783</v>
      </c>
      <c r="AC40" s="1179" t="s">
        <v>1783</v>
      </c>
      <c r="AD40" s="1179" t="s">
        <v>1783</v>
      </c>
      <c r="AE40" s="1179" t="s">
        <v>1783</v>
      </c>
      <c r="AF40" s="1179" t="s">
        <v>1783</v>
      </c>
      <c r="AG40" s="1179" t="s">
        <v>1783</v>
      </c>
    </row>
    <row r="41" spans="1:33">
      <c r="A41" s="774" t="s">
        <v>1572</v>
      </c>
      <c r="B41" s="869">
        <f t="shared" si="0"/>
        <v>25</v>
      </c>
      <c r="C41" s="832">
        <f t="shared" si="0"/>
        <v>31</v>
      </c>
      <c r="D41" s="832">
        <f t="shared" si="0"/>
        <v>646</v>
      </c>
      <c r="E41" s="832">
        <f t="shared" si="0"/>
        <v>532</v>
      </c>
      <c r="F41" s="1179">
        <v>11</v>
      </c>
      <c r="G41" s="1179" t="s">
        <v>1783</v>
      </c>
      <c r="H41" s="1179">
        <v>557</v>
      </c>
      <c r="I41" s="1179">
        <v>451</v>
      </c>
      <c r="J41" s="1179">
        <v>2</v>
      </c>
      <c r="K41" s="1179">
        <v>31</v>
      </c>
      <c r="L41" s="1179">
        <v>18</v>
      </c>
      <c r="M41" s="1179">
        <v>20</v>
      </c>
      <c r="N41" s="1179" t="s">
        <v>1783</v>
      </c>
      <c r="O41" s="1179" t="s">
        <v>1783</v>
      </c>
      <c r="P41" s="1179" t="s">
        <v>1783</v>
      </c>
      <c r="Q41" s="1179" t="s">
        <v>1783</v>
      </c>
      <c r="R41" s="1179">
        <v>7</v>
      </c>
      <c r="S41" s="1179" t="s">
        <v>1783</v>
      </c>
      <c r="T41" s="1179">
        <v>32</v>
      </c>
      <c r="U41" s="1179">
        <v>58</v>
      </c>
      <c r="V41" s="1096">
        <v>2</v>
      </c>
      <c r="W41" s="1179" t="s">
        <v>1783</v>
      </c>
      <c r="X41" s="1180">
        <v>39</v>
      </c>
      <c r="Y41" s="1180">
        <v>3</v>
      </c>
      <c r="Z41" s="1180">
        <v>3</v>
      </c>
      <c r="AA41" s="1179" t="s">
        <v>1783</v>
      </c>
      <c r="AB41" s="1179" t="s">
        <v>1783</v>
      </c>
      <c r="AC41" s="1179" t="s">
        <v>1783</v>
      </c>
      <c r="AD41" s="1179" t="s">
        <v>1783</v>
      </c>
      <c r="AE41" s="1179" t="s">
        <v>1783</v>
      </c>
      <c r="AF41" s="1179" t="s">
        <v>1783</v>
      </c>
      <c r="AG41" s="1179" t="s">
        <v>1783</v>
      </c>
    </row>
    <row r="42" spans="1:33">
      <c r="A42" s="738" t="s">
        <v>1555</v>
      </c>
      <c r="B42" s="869">
        <f t="shared" si="0"/>
        <v>9</v>
      </c>
      <c r="C42" s="832">
        <f t="shared" si="0"/>
        <v>45</v>
      </c>
      <c r="D42" s="832">
        <f t="shared" si="0"/>
        <v>293</v>
      </c>
      <c r="E42" s="832">
        <f t="shared" si="0"/>
        <v>198</v>
      </c>
      <c r="F42" s="1179">
        <v>5</v>
      </c>
      <c r="G42" s="1179" t="s">
        <v>1783</v>
      </c>
      <c r="H42" s="1179">
        <v>153</v>
      </c>
      <c r="I42" s="1179">
        <v>141</v>
      </c>
      <c r="J42" s="1179">
        <v>2</v>
      </c>
      <c r="K42" s="1179">
        <v>45</v>
      </c>
      <c r="L42" s="1179">
        <v>44</v>
      </c>
      <c r="M42" s="1179">
        <v>21</v>
      </c>
      <c r="N42" s="1179" t="s">
        <v>1783</v>
      </c>
      <c r="O42" s="1179" t="s">
        <v>1783</v>
      </c>
      <c r="P42" s="1179" t="s">
        <v>1783</v>
      </c>
      <c r="Q42" s="1179" t="s">
        <v>1783</v>
      </c>
      <c r="R42" s="1179">
        <v>1</v>
      </c>
      <c r="S42" s="1179" t="s">
        <v>1783</v>
      </c>
      <c r="T42" s="1179">
        <v>6</v>
      </c>
      <c r="U42" s="1179">
        <v>34</v>
      </c>
      <c r="V42" s="1179" t="s">
        <v>1783</v>
      </c>
      <c r="W42" s="1179" t="s">
        <v>1783</v>
      </c>
      <c r="X42" s="1179" t="s">
        <v>1783</v>
      </c>
      <c r="Y42" s="1179" t="s">
        <v>1783</v>
      </c>
      <c r="Z42" s="1179" t="s">
        <v>1783</v>
      </c>
      <c r="AA42" s="1179" t="s">
        <v>1783</v>
      </c>
      <c r="AB42" s="1179" t="s">
        <v>1783</v>
      </c>
      <c r="AC42" s="1179" t="s">
        <v>1783</v>
      </c>
      <c r="AD42" s="1179">
        <v>1</v>
      </c>
      <c r="AE42" s="1179" t="s">
        <v>1783</v>
      </c>
      <c r="AF42" s="1179">
        <v>90</v>
      </c>
      <c r="AG42" s="1179">
        <v>2</v>
      </c>
    </row>
    <row r="43" spans="1:33" ht="17.25" thickBot="1">
      <c r="A43" s="739" t="s">
        <v>1556</v>
      </c>
      <c r="B43" s="833">
        <f t="shared" si="0"/>
        <v>11</v>
      </c>
      <c r="C43" s="870">
        <f t="shared" si="0"/>
        <v>156</v>
      </c>
      <c r="D43" s="870">
        <f t="shared" si="0"/>
        <v>227</v>
      </c>
      <c r="E43" s="870">
        <f t="shared" si="0"/>
        <v>70</v>
      </c>
      <c r="F43" s="1181">
        <v>5</v>
      </c>
      <c r="G43" s="1181" t="s">
        <v>1783</v>
      </c>
      <c r="H43" s="1181">
        <v>9</v>
      </c>
      <c r="I43" s="1181">
        <v>11</v>
      </c>
      <c r="J43" s="1181">
        <v>4</v>
      </c>
      <c r="K43" s="1181">
        <v>156</v>
      </c>
      <c r="L43" s="1181">
        <v>139</v>
      </c>
      <c r="M43" s="1181">
        <v>56</v>
      </c>
      <c r="N43" s="1181" t="s">
        <v>1783</v>
      </c>
      <c r="O43" s="1181" t="s">
        <v>1783</v>
      </c>
      <c r="P43" s="1181" t="s">
        <v>1783</v>
      </c>
      <c r="Q43" s="1181" t="s">
        <v>1783</v>
      </c>
      <c r="R43" s="1181">
        <v>1</v>
      </c>
      <c r="S43" s="1181" t="s">
        <v>1783</v>
      </c>
      <c r="T43" s="1181" t="s">
        <v>1783</v>
      </c>
      <c r="U43" s="1181" t="s">
        <v>1783</v>
      </c>
      <c r="V43" s="1181" t="s">
        <v>1783</v>
      </c>
      <c r="W43" s="1181" t="s">
        <v>1783</v>
      </c>
      <c r="X43" s="1181" t="s">
        <v>1783</v>
      </c>
      <c r="Y43" s="1181" t="s">
        <v>1783</v>
      </c>
      <c r="Z43" s="1181" t="s">
        <v>1783</v>
      </c>
      <c r="AA43" s="1181" t="s">
        <v>1783</v>
      </c>
      <c r="AB43" s="1181" t="s">
        <v>1783</v>
      </c>
      <c r="AC43" s="1181" t="s">
        <v>1783</v>
      </c>
      <c r="AD43" s="1181">
        <v>1</v>
      </c>
      <c r="AE43" s="1181" t="s">
        <v>1783</v>
      </c>
      <c r="AF43" s="1181">
        <v>79</v>
      </c>
      <c r="AG43" s="1181">
        <v>3</v>
      </c>
    </row>
    <row r="44" spans="1:33">
      <c r="A44" s="1580" t="s">
        <v>1557</v>
      </c>
      <c r="B44" s="1580"/>
      <c r="C44" s="1580"/>
      <c r="D44" s="1580"/>
      <c r="E44" s="1580"/>
      <c r="F44" s="303"/>
      <c r="G44" s="531"/>
      <c r="H44" s="303"/>
      <c r="I44" s="303"/>
      <c r="J44" s="303"/>
      <c r="K44" s="303"/>
      <c r="L44" s="303"/>
      <c r="M44" s="303"/>
      <c r="N44" s="531"/>
      <c r="O44" s="531"/>
      <c r="P44" s="531"/>
      <c r="Q44" s="531"/>
      <c r="R44" s="303"/>
      <c r="S44" s="303"/>
      <c r="T44" s="303"/>
      <c r="U44" s="303"/>
      <c r="V44" s="531"/>
      <c r="W44" s="531"/>
      <c r="X44" s="531"/>
      <c r="Y44" s="531"/>
      <c r="Z44" s="531"/>
      <c r="AA44" s="531"/>
      <c r="AB44" s="531"/>
      <c r="AC44" s="531"/>
      <c r="AD44" s="303"/>
      <c r="AE44" s="303"/>
      <c r="AF44" s="303"/>
      <c r="AG44" s="303"/>
    </row>
    <row r="45" spans="1:33">
      <c r="A45" s="1039" t="s">
        <v>1722</v>
      </c>
      <c r="B45" s="578"/>
      <c r="C45" s="578"/>
      <c r="D45" s="578"/>
      <c r="E45" s="578"/>
      <c r="F45" s="578"/>
      <c r="G45" s="578"/>
      <c r="H45" s="578"/>
      <c r="I45" s="578"/>
      <c r="J45" s="578"/>
      <c r="K45" s="578"/>
      <c r="L45" s="578"/>
      <c r="M45" s="578"/>
      <c r="N45" s="578"/>
      <c r="O45" s="578"/>
      <c r="P45" s="578"/>
      <c r="Q45" s="578"/>
      <c r="R45" s="578"/>
      <c r="S45" s="578"/>
      <c r="T45" s="578"/>
      <c r="U45" s="578"/>
      <c r="V45" s="578"/>
      <c r="W45" s="578"/>
      <c r="X45" s="578"/>
      <c r="Y45" s="578"/>
      <c r="Z45" s="578"/>
      <c r="AA45" s="578"/>
      <c r="AB45" s="578"/>
      <c r="AC45" s="578"/>
      <c r="AD45" s="578"/>
      <c r="AE45" s="578"/>
      <c r="AF45" s="578"/>
      <c r="AG45" s="578"/>
    </row>
    <row r="46" spans="1:33" s="520" customFormat="1">
      <c r="B46" s="473"/>
      <c r="C46" s="473"/>
      <c r="D46" s="473"/>
      <c r="E46" s="473"/>
      <c r="F46" s="740"/>
      <c r="G46" s="740"/>
      <c r="H46" s="740"/>
      <c r="I46" s="740"/>
      <c r="J46" s="740"/>
      <c r="K46" s="740"/>
      <c r="L46" s="740"/>
      <c r="M46" s="740"/>
      <c r="N46" s="740"/>
      <c r="O46" s="740"/>
      <c r="P46" s="740"/>
      <c r="Q46" s="740"/>
      <c r="R46" s="740"/>
      <c r="S46" s="740"/>
      <c r="T46" s="740"/>
      <c r="U46" s="740"/>
      <c r="V46" s="740"/>
      <c r="W46" s="740"/>
      <c r="X46" s="740"/>
      <c r="Y46" s="740"/>
      <c r="Z46" s="531"/>
      <c r="AB46" s="531"/>
      <c r="AD46" s="303"/>
      <c r="AE46" s="303"/>
      <c r="AF46" s="303"/>
      <c r="AG46" s="303"/>
    </row>
  </sheetData>
  <mergeCells count="35">
    <mergeCell ref="C10:D10"/>
    <mergeCell ref="G10:H10"/>
    <mergeCell ref="K10:L10"/>
    <mergeCell ref="O10:P10"/>
    <mergeCell ref="S10:T10"/>
    <mergeCell ref="W10:X10"/>
    <mergeCell ref="AA10:AB10"/>
    <mergeCell ref="A44:E44"/>
    <mergeCell ref="AD8:AG8"/>
    <mergeCell ref="F8:I8"/>
    <mergeCell ref="J8:M8"/>
    <mergeCell ref="N8:Q8"/>
    <mergeCell ref="R8:U8"/>
    <mergeCell ref="V8:Y8"/>
    <mergeCell ref="Z8:AC8"/>
    <mergeCell ref="AE10:AF10"/>
    <mergeCell ref="C9:D9"/>
    <mergeCell ref="G9:H9"/>
    <mergeCell ref="K9:L9"/>
    <mergeCell ref="O9:P9"/>
    <mergeCell ref="S9:T9"/>
    <mergeCell ref="A4:M4"/>
    <mergeCell ref="N4:AG4"/>
    <mergeCell ref="N3:AG3"/>
    <mergeCell ref="W9:X9"/>
    <mergeCell ref="AA9:AB9"/>
    <mergeCell ref="F7:I7"/>
    <mergeCell ref="J7:M7"/>
    <mergeCell ref="N7:Q7"/>
    <mergeCell ref="R7:U7"/>
    <mergeCell ref="V7:Y7"/>
    <mergeCell ref="Z7:AC7"/>
    <mergeCell ref="A3:M3"/>
    <mergeCell ref="AD7:AG7"/>
    <mergeCell ref="AE9:AF9"/>
  </mergeCells>
  <phoneticPr fontId="3" type="noConversion"/>
  <pageMargins left="0.7" right="0.7" top="0.75" bottom="0.75" header="0.3" footer="0.3"/>
  <pageSetup paperSize="9" scale="44" orientation="portrait" verticalDpi="0" r:id="rId1"/>
  <colBreaks count="1" manualBreakCount="1">
    <brk id="13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4"/>
    <outlinePr summaryBelow="0" summaryRight="0"/>
  </sheetPr>
  <dimension ref="A1:Q29"/>
  <sheetViews>
    <sheetView view="pageBreakPreview" topLeftCell="A2" zoomScaleNormal="100" zoomScaleSheetLayoutView="100" workbookViewId="0">
      <selection activeCell="J18" sqref="J18"/>
    </sheetView>
  </sheetViews>
  <sheetFormatPr defaultColWidth="9" defaultRowHeight="12"/>
  <cols>
    <col min="1" max="1" width="10.625" style="390" customWidth="1"/>
    <col min="2" max="3" width="9.125" style="390" customWidth="1"/>
    <col min="4" max="5" width="7.625" style="390" customWidth="1"/>
    <col min="6" max="7" width="9.125" style="390" customWidth="1"/>
    <col min="8" max="9" width="7.625" style="390" customWidth="1"/>
    <col min="10" max="15" width="11.125" style="390" customWidth="1"/>
    <col min="16" max="16" width="8.75" style="390" customWidth="1"/>
    <col min="17" max="17" width="11.125" style="390" customWidth="1"/>
    <col min="18" max="16384" width="9" style="390"/>
  </cols>
  <sheetData>
    <row r="1" spans="1:17" ht="12.75">
      <c r="A1" s="1336" t="s">
        <v>1589</v>
      </c>
      <c r="B1" s="1336"/>
      <c r="C1" s="1336"/>
      <c r="D1" s="1336"/>
      <c r="E1" s="1336"/>
      <c r="F1" s="1336"/>
      <c r="G1" s="1336"/>
      <c r="H1" s="1336"/>
      <c r="I1" s="1336"/>
      <c r="J1" s="1336"/>
      <c r="P1" s="16" t="s">
        <v>844</v>
      </c>
    </row>
    <row r="2" spans="1:17" ht="12.75">
      <c r="A2" s="778"/>
      <c r="B2" s="778"/>
      <c r="C2" s="778"/>
      <c r="D2" s="778"/>
      <c r="E2" s="778"/>
      <c r="F2" s="778"/>
      <c r="G2" s="778"/>
      <c r="H2" s="778"/>
      <c r="I2" s="778"/>
      <c r="J2" s="778"/>
      <c r="P2" s="16"/>
    </row>
    <row r="3" spans="1:17" ht="25.5">
      <c r="A3" s="1335" t="s">
        <v>1153</v>
      </c>
      <c r="B3" s="1335"/>
      <c r="C3" s="1335"/>
      <c r="D3" s="1335"/>
      <c r="E3" s="1335"/>
      <c r="F3" s="1335"/>
      <c r="G3" s="1335"/>
      <c r="H3" s="1335"/>
      <c r="I3" s="1335"/>
      <c r="J3" s="1335"/>
      <c r="K3" s="1335"/>
      <c r="L3" s="1335"/>
      <c r="M3" s="1335"/>
      <c r="N3" s="1335"/>
      <c r="O3" s="1335"/>
      <c r="P3" s="1335"/>
      <c r="Q3" s="1335"/>
    </row>
    <row r="4" spans="1:17" ht="25.5" customHeight="1">
      <c r="A4" s="1581" t="s">
        <v>1142</v>
      </c>
      <c r="B4" s="1581"/>
      <c r="C4" s="1581"/>
      <c r="D4" s="1581"/>
      <c r="E4" s="1581"/>
      <c r="F4" s="1581"/>
      <c r="G4" s="1581"/>
      <c r="H4" s="1581"/>
      <c r="I4" s="1581"/>
      <c r="J4" s="1581"/>
      <c r="K4" s="1581"/>
      <c r="L4" s="1581"/>
      <c r="M4" s="1581"/>
      <c r="N4" s="1581"/>
      <c r="O4" s="1581"/>
      <c r="P4" s="1581"/>
      <c r="Q4" s="1581"/>
    </row>
    <row r="5" spans="1:17" ht="9.9499999999999993" customHeight="1">
      <c r="A5" s="788"/>
      <c r="B5" s="788"/>
      <c r="C5" s="788"/>
      <c r="D5" s="788"/>
      <c r="E5" s="788"/>
      <c r="F5" s="788"/>
      <c r="G5" s="788"/>
      <c r="H5" s="788"/>
      <c r="I5" s="788"/>
      <c r="J5" s="788"/>
      <c r="K5" s="788"/>
      <c r="L5" s="788"/>
      <c r="M5" s="788"/>
      <c r="N5" s="788"/>
      <c r="O5" s="788"/>
      <c r="P5" s="788"/>
      <c r="Q5" s="788"/>
    </row>
    <row r="6" spans="1:17" s="6" customFormat="1" ht="15" customHeight="1" thickBot="1">
      <c r="A6" s="48" t="s">
        <v>1</v>
      </c>
      <c r="B6" s="22"/>
      <c r="G6" s="6" t="s">
        <v>2</v>
      </c>
      <c r="Q6" s="387" t="s">
        <v>1143</v>
      </c>
    </row>
    <row r="7" spans="1:17" s="7" customFormat="1" ht="15" customHeight="1">
      <c r="A7" s="184" t="s">
        <v>3</v>
      </c>
      <c r="B7" s="1326" t="s">
        <v>4</v>
      </c>
      <c r="C7" s="1493"/>
      <c r="D7" s="1493"/>
      <c r="E7" s="1327"/>
      <c r="F7" s="1326" t="s">
        <v>5</v>
      </c>
      <c r="G7" s="1493"/>
      <c r="H7" s="1493"/>
      <c r="I7" s="1327"/>
      <c r="J7" s="1326" t="s">
        <v>6</v>
      </c>
      <c r="K7" s="1493"/>
      <c r="L7" s="1493"/>
      <c r="M7" s="1493"/>
      <c r="N7" s="1493"/>
      <c r="O7" s="1327"/>
      <c r="P7" s="1326" t="s">
        <v>7</v>
      </c>
      <c r="Q7" s="1493"/>
    </row>
    <row r="8" spans="1:17" s="7" customFormat="1" ht="12.75">
      <c r="A8" s="350"/>
      <c r="B8" s="1321" t="s">
        <v>8</v>
      </c>
      <c r="C8" s="1497"/>
      <c r="D8" s="1497"/>
      <c r="E8" s="1322"/>
      <c r="F8" s="1321" t="s">
        <v>9</v>
      </c>
      <c r="G8" s="1497"/>
      <c r="H8" s="1497"/>
      <c r="I8" s="1322"/>
      <c r="J8" s="1328" t="s">
        <v>10</v>
      </c>
      <c r="K8" s="1324"/>
      <c r="L8" s="1324"/>
      <c r="M8" s="1324"/>
      <c r="N8" s="1324"/>
      <c r="O8" s="1325"/>
      <c r="P8" s="1328" t="s">
        <v>16</v>
      </c>
      <c r="Q8" s="1324"/>
    </row>
    <row r="9" spans="1:17" s="7" customFormat="1" ht="14.25">
      <c r="A9" s="350"/>
      <c r="B9" s="415" t="s">
        <v>1442</v>
      </c>
      <c r="C9" s="1332" t="s">
        <v>1304</v>
      </c>
      <c r="D9" s="1489"/>
      <c r="E9" s="1333"/>
      <c r="F9" s="415" t="s">
        <v>11</v>
      </c>
      <c r="G9" s="1332" t="s">
        <v>881</v>
      </c>
      <c r="H9" s="1489"/>
      <c r="I9" s="1333"/>
      <c r="J9" s="1582" t="s">
        <v>12</v>
      </c>
      <c r="K9" s="1489"/>
      <c r="L9" s="1583" t="s">
        <v>13</v>
      </c>
      <c r="M9" s="1490"/>
      <c r="N9" s="1583" t="s">
        <v>14</v>
      </c>
      <c r="O9" s="1490"/>
      <c r="P9" s="773"/>
      <c r="Q9" s="721"/>
    </row>
    <row r="10" spans="1:17" s="7" customFormat="1" ht="16.5" customHeight="1">
      <c r="A10" s="350"/>
      <c r="B10" s="579"/>
      <c r="C10" s="1328" t="s">
        <v>1146</v>
      </c>
      <c r="D10" s="1324"/>
      <c r="E10" s="1325"/>
      <c r="F10" s="579"/>
      <c r="G10" s="1328" t="s">
        <v>1146</v>
      </c>
      <c r="H10" s="1324"/>
      <c r="I10" s="1325"/>
      <c r="J10" s="1584" t="s">
        <v>15</v>
      </c>
      <c r="K10" s="1585"/>
      <c r="L10" s="1584" t="s">
        <v>1149</v>
      </c>
      <c r="M10" s="1585"/>
      <c r="N10" s="1584" t="s">
        <v>1150</v>
      </c>
      <c r="O10" s="1585"/>
      <c r="P10" s="773"/>
      <c r="Q10" s="510"/>
    </row>
    <row r="11" spans="1:17" s="7" customFormat="1" ht="15" customHeight="1">
      <c r="A11" s="350"/>
      <c r="B11" s="509" t="s">
        <v>1145</v>
      </c>
      <c r="C11" s="580" t="s">
        <v>1307</v>
      </c>
      <c r="D11" s="581" t="s">
        <v>1443</v>
      </c>
      <c r="E11" s="581" t="s">
        <v>1444</v>
      </c>
      <c r="F11" s="582"/>
      <c r="G11" s="580" t="s">
        <v>1305</v>
      </c>
      <c r="H11" s="581" t="s">
        <v>1443</v>
      </c>
      <c r="I11" s="581" t="s">
        <v>1444</v>
      </c>
      <c r="J11" s="503" t="s">
        <v>17</v>
      </c>
      <c r="K11" s="415" t="s">
        <v>18</v>
      </c>
      <c r="L11" s="503" t="s">
        <v>17</v>
      </c>
      <c r="M11" s="529" t="s">
        <v>18</v>
      </c>
      <c r="N11" s="415" t="s">
        <v>17</v>
      </c>
      <c r="O11" s="529" t="s">
        <v>18</v>
      </c>
      <c r="P11" s="415" t="s">
        <v>19</v>
      </c>
      <c r="Q11" s="529" t="s">
        <v>20</v>
      </c>
    </row>
    <row r="12" spans="1:17" s="7" customFormat="1" ht="15" customHeight="1">
      <c r="A12" s="53"/>
      <c r="B12" s="484" t="s">
        <v>21</v>
      </c>
      <c r="C12" s="484" t="s">
        <v>1308</v>
      </c>
      <c r="D12" s="484" t="s">
        <v>22</v>
      </c>
      <c r="E12" s="484" t="s">
        <v>30</v>
      </c>
      <c r="F12" s="484" t="s">
        <v>21</v>
      </c>
      <c r="G12" s="484" t="s">
        <v>1306</v>
      </c>
      <c r="H12" s="484" t="s">
        <v>22</v>
      </c>
      <c r="I12" s="517" t="s">
        <v>30</v>
      </c>
      <c r="J12" s="420" t="s">
        <v>1147</v>
      </c>
      <c r="K12" s="484" t="s">
        <v>1148</v>
      </c>
      <c r="L12" s="420" t="s">
        <v>1147</v>
      </c>
      <c r="M12" s="470" t="s">
        <v>1148</v>
      </c>
      <c r="N12" s="443" t="s">
        <v>1147</v>
      </c>
      <c r="O12" s="470" t="s">
        <v>1148</v>
      </c>
      <c r="P12" s="484" t="s">
        <v>24</v>
      </c>
      <c r="Q12" s="470" t="s">
        <v>1148</v>
      </c>
    </row>
    <row r="13" spans="1:17" s="40" customFormat="1" ht="21" customHeight="1">
      <c r="A13" s="23">
        <v>2019</v>
      </c>
      <c r="B13" s="1081">
        <v>9562</v>
      </c>
      <c r="C13" s="1081">
        <v>14450</v>
      </c>
      <c r="D13" s="1081">
        <v>0</v>
      </c>
      <c r="E13" s="1081">
        <v>0</v>
      </c>
      <c r="F13" s="1081">
        <v>8958</v>
      </c>
      <c r="G13" s="1081">
        <v>12509</v>
      </c>
      <c r="H13" s="1081">
        <v>0</v>
      </c>
      <c r="I13" s="1081">
        <v>0</v>
      </c>
      <c r="J13" s="24">
        <v>604</v>
      </c>
      <c r="K13" s="24">
        <v>1086</v>
      </c>
      <c r="L13" s="24">
        <v>548</v>
      </c>
      <c r="M13" s="24">
        <v>1023</v>
      </c>
      <c r="N13" s="24">
        <v>56</v>
      </c>
      <c r="O13" s="24">
        <v>63</v>
      </c>
      <c r="P13" s="1081">
        <v>73</v>
      </c>
      <c r="Q13" s="1081">
        <v>855</v>
      </c>
    </row>
    <row r="14" spans="1:17" s="40" customFormat="1" ht="21" customHeight="1">
      <c r="A14" s="23">
        <v>2020</v>
      </c>
      <c r="B14" s="1081">
        <v>10650</v>
      </c>
      <c r="C14" s="1081">
        <v>15986</v>
      </c>
      <c r="D14" s="1081">
        <v>7105</v>
      </c>
      <c r="E14" s="1081">
        <v>8881</v>
      </c>
      <c r="F14" s="1081">
        <v>10024</v>
      </c>
      <c r="G14" s="1081">
        <v>14085</v>
      </c>
      <c r="H14" s="1081">
        <v>6311</v>
      </c>
      <c r="I14" s="1081">
        <v>7774</v>
      </c>
      <c r="J14" s="1081">
        <v>626</v>
      </c>
      <c r="K14" s="1081">
        <v>1071</v>
      </c>
      <c r="L14" s="1081">
        <v>572</v>
      </c>
      <c r="M14" s="1081">
        <v>1013</v>
      </c>
      <c r="N14" s="1081">
        <v>54</v>
      </c>
      <c r="O14" s="1081">
        <v>58</v>
      </c>
      <c r="P14" s="1081">
        <v>74</v>
      </c>
      <c r="Q14" s="1081">
        <v>830</v>
      </c>
    </row>
    <row r="15" spans="1:17" s="40" customFormat="1" ht="24.75" customHeight="1">
      <c r="A15" s="23">
        <v>2021</v>
      </c>
      <c r="B15" s="1081">
        <v>11788</v>
      </c>
      <c r="C15" s="1081">
        <v>17441</v>
      </c>
      <c r="D15" s="1081">
        <v>7625</v>
      </c>
      <c r="E15" s="1081">
        <v>9816</v>
      </c>
      <c r="F15" s="1081">
        <v>11258</v>
      </c>
      <c r="G15" s="1081">
        <v>15678</v>
      </c>
      <c r="H15" s="1081">
        <v>6888</v>
      </c>
      <c r="I15" s="1081">
        <v>8790</v>
      </c>
      <c r="J15" s="24">
        <v>530</v>
      </c>
      <c r="K15" s="24">
        <v>902</v>
      </c>
      <c r="L15" s="24">
        <v>483</v>
      </c>
      <c r="M15" s="24">
        <v>854</v>
      </c>
      <c r="N15" s="24">
        <v>47</v>
      </c>
      <c r="O15" s="24">
        <v>48</v>
      </c>
      <c r="P15" s="1081">
        <v>72</v>
      </c>
      <c r="Q15" s="1081">
        <v>861</v>
      </c>
    </row>
    <row r="16" spans="1:17" s="40" customFormat="1" ht="24" customHeight="1">
      <c r="A16" s="23">
        <v>2022</v>
      </c>
      <c r="B16" s="1081">
        <v>11985</v>
      </c>
      <c r="C16" s="1081">
        <v>17645</v>
      </c>
      <c r="D16" s="1081">
        <v>7616</v>
      </c>
      <c r="E16" s="1081">
        <v>10029</v>
      </c>
      <c r="F16" s="1081">
        <v>11333</v>
      </c>
      <c r="G16" s="1081">
        <v>15579</v>
      </c>
      <c r="H16" s="1081">
        <v>6758</v>
      </c>
      <c r="I16" s="1081">
        <v>8821</v>
      </c>
      <c r="J16" s="24">
        <v>652</v>
      </c>
      <c r="K16" s="24">
        <v>1166</v>
      </c>
      <c r="L16" s="24">
        <v>614</v>
      </c>
      <c r="M16" s="24">
        <v>1122</v>
      </c>
      <c r="N16" s="24">
        <v>38</v>
      </c>
      <c r="O16" s="24">
        <v>44</v>
      </c>
      <c r="P16" s="1081">
        <v>76</v>
      </c>
      <c r="Q16" s="1081">
        <v>900</v>
      </c>
    </row>
    <row r="17" spans="1:17" s="40" customFormat="1" ht="24" customHeight="1">
      <c r="A17" s="23">
        <v>2023</v>
      </c>
      <c r="B17" s="1085">
        <v>12115</v>
      </c>
      <c r="C17" s="1086">
        <v>17608</v>
      </c>
      <c r="D17" s="1086">
        <v>7599</v>
      </c>
      <c r="E17" s="1086">
        <v>10009</v>
      </c>
      <c r="F17" s="1086">
        <v>11381</v>
      </c>
      <c r="G17" s="1086">
        <v>15356</v>
      </c>
      <c r="H17" s="1086">
        <v>6652</v>
      </c>
      <c r="I17" s="1086">
        <v>8704</v>
      </c>
      <c r="J17" s="1087">
        <v>734</v>
      </c>
      <c r="K17" s="1087">
        <v>1339</v>
      </c>
      <c r="L17" s="1087">
        <v>700</v>
      </c>
      <c r="M17" s="1087">
        <v>1297</v>
      </c>
      <c r="N17" s="1087">
        <v>34</v>
      </c>
      <c r="O17" s="1087">
        <v>42</v>
      </c>
      <c r="P17" s="1086">
        <v>76</v>
      </c>
      <c r="Q17" s="1086">
        <v>913</v>
      </c>
    </row>
    <row r="18" spans="1:17" s="40" customFormat="1" ht="22.5" customHeight="1" thickBot="1">
      <c r="A18" s="353">
        <v>2024</v>
      </c>
      <c r="B18" s="1082">
        <v>13297</v>
      </c>
      <c r="C18" s="1083">
        <f>SUM(D18:E18)</f>
        <v>17877</v>
      </c>
      <c r="D18" s="1020">
        <v>7721</v>
      </c>
      <c r="E18" s="1020">
        <v>10156</v>
      </c>
      <c r="F18" s="1020">
        <v>13297</v>
      </c>
      <c r="G18" s="1083">
        <v>16881</v>
      </c>
      <c r="H18" s="1020">
        <v>7328</v>
      </c>
      <c r="I18" s="1020">
        <v>9553</v>
      </c>
      <c r="J18" s="1084">
        <f>L18+N18</f>
        <v>800</v>
      </c>
      <c r="K18" s="1084">
        <f>M18+O18</f>
        <v>1450</v>
      </c>
      <c r="L18" s="1021">
        <v>766</v>
      </c>
      <c r="M18" s="1021">
        <v>1412</v>
      </c>
      <c r="N18" s="1021">
        <v>34</v>
      </c>
      <c r="O18" s="1021">
        <v>38</v>
      </c>
      <c r="P18" s="1020">
        <v>74</v>
      </c>
      <c r="Q18" s="1020">
        <v>996</v>
      </c>
    </row>
    <row r="19" spans="1:17" s="1" customFormat="1" ht="12.75" customHeight="1">
      <c r="A19" s="1" t="s">
        <v>1757</v>
      </c>
      <c r="L19" s="498"/>
      <c r="M19" s="498"/>
      <c r="N19" s="498"/>
      <c r="P19" s="5"/>
    </row>
    <row r="20" spans="1:17" s="1" customFormat="1" ht="12.75" customHeight="1">
      <c r="A20" s="1" t="s">
        <v>1758</v>
      </c>
      <c r="J20" s="772"/>
      <c r="K20" s="772"/>
      <c r="L20" s="498"/>
      <c r="M20" s="498"/>
      <c r="N20" s="498"/>
      <c r="P20" s="5"/>
    </row>
    <row r="21" spans="1:17" s="10" customFormat="1" ht="11.25" customHeight="1">
      <c r="A21" s="3" t="s">
        <v>1723</v>
      </c>
      <c r="O21" s="12"/>
      <c r="P21" s="3"/>
    </row>
    <row r="24" spans="1:17">
      <c r="B24" s="771"/>
    </row>
    <row r="25" spans="1:17">
      <c r="B25" s="771"/>
      <c r="C25" s="771"/>
    </row>
    <row r="26" spans="1:17">
      <c r="C26" s="771"/>
    </row>
    <row r="29" spans="1:17">
      <c r="B29" s="771"/>
    </row>
  </sheetData>
  <sheetProtection selectLockedCells="1"/>
  <mergeCells count="21">
    <mergeCell ref="J9:K9"/>
    <mergeCell ref="L9:M9"/>
    <mergeCell ref="N9:O9"/>
    <mergeCell ref="J10:K10"/>
    <mergeCell ref="L10:M10"/>
    <mergeCell ref="N10:O10"/>
    <mergeCell ref="A1:J1"/>
    <mergeCell ref="A3:Q3"/>
    <mergeCell ref="A4:Q4"/>
    <mergeCell ref="J7:O7"/>
    <mergeCell ref="J8:O8"/>
    <mergeCell ref="P8:Q8"/>
    <mergeCell ref="P7:Q7"/>
    <mergeCell ref="C9:E9"/>
    <mergeCell ref="B8:E8"/>
    <mergeCell ref="B7:E7"/>
    <mergeCell ref="G9:I9"/>
    <mergeCell ref="G10:I10"/>
    <mergeCell ref="C10:E10"/>
    <mergeCell ref="F8:I8"/>
    <mergeCell ref="F7:I7"/>
  </mergeCells>
  <phoneticPr fontId="3" type="noConversion"/>
  <printOptions gridLinesSet="0"/>
  <pageMargins left="0.39370078740157483" right="0.39370078740157483" top="0.55118110236220474" bottom="0.55118110236220474" header="0.51181102362204722" footer="0.51181102362204722"/>
  <pageSetup paperSize="9" scale="53" pageOrder="overThenDown" orientation="portrait" blackAndWhite="1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4F81BD"/>
  </sheetPr>
  <dimension ref="A1:N44"/>
  <sheetViews>
    <sheetView view="pageBreakPreview" topLeftCell="A5" zoomScaleNormal="100" zoomScaleSheetLayoutView="100" workbookViewId="0">
      <selection activeCell="Q22" sqref="Q22"/>
    </sheetView>
  </sheetViews>
  <sheetFormatPr defaultRowHeight="16.5"/>
  <cols>
    <col min="1" max="1" width="9" style="518"/>
    <col min="2" max="10" width="10.75" style="518" customWidth="1"/>
    <col min="11" max="13" width="9" style="518"/>
    <col min="14" max="14" width="10.875" style="518" customWidth="1"/>
    <col min="15" max="16384" width="9" style="518"/>
  </cols>
  <sheetData>
    <row r="1" spans="1:14">
      <c r="A1" s="16" t="s">
        <v>1502</v>
      </c>
      <c r="I1" s="16" t="s">
        <v>844</v>
      </c>
    </row>
    <row r="2" spans="1:14" ht="25.5">
      <c r="A2" s="1335" t="s">
        <v>1154</v>
      </c>
      <c r="B2" s="1335"/>
      <c r="C2" s="1335"/>
      <c r="D2" s="1335"/>
      <c r="E2" s="1335"/>
      <c r="F2" s="1335"/>
      <c r="G2" s="1335"/>
      <c r="H2" s="1335"/>
      <c r="I2" s="1335"/>
      <c r="J2" s="1335"/>
    </row>
    <row r="3" spans="1:14" ht="25.5">
      <c r="A3" s="1398" t="s">
        <v>849</v>
      </c>
      <c r="B3" s="1398"/>
      <c r="C3" s="1398"/>
      <c r="D3" s="1398"/>
      <c r="E3" s="1398"/>
      <c r="F3" s="1398"/>
      <c r="G3" s="1398"/>
      <c r="H3" s="1398"/>
      <c r="I3" s="1398"/>
      <c r="J3" s="1398"/>
    </row>
    <row r="4" spans="1:14" ht="10.5" customHeight="1">
      <c r="A4" s="780"/>
      <c r="B4" s="780"/>
      <c r="C4" s="780"/>
      <c r="D4" s="780"/>
      <c r="E4" s="780"/>
      <c r="F4" s="780"/>
      <c r="G4" s="780"/>
      <c r="H4" s="780"/>
      <c r="I4" s="780"/>
      <c r="J4" s="780"/>
    </row>
    <row r="5" spans="1:14" s="8" customFormat="1" ht="15" customHeight="1" thickBot="1">
      <c r="A5" s="49" t="s">
        <v>1489</v>
      </c>
      <c r="B5" s="610"/>
      <c r="C5" s="390"/>
      <c r="D5" s="390"/>
      <c r="E5" s="390"/>
      <c r="F5" s="390"/>
      <c r="G5" s="390"/>
      <c r="H5" s="390"/>
      <c r="I5" s="390"/>
      <c r="J5" s="611" t="s">
        <v>1151</v>
      </c>
    </row>
    <row r="6" spans="1:14" s="8" customFormat="1" ht="15" customHeight="1">
      <c r="A6" s="595" t="s">
        <v>3</v>
      </c>
      <c r="B6" s="1326" t="s">
        <v>691</v>
      </c>
      <c r="C6" s="1493"/>
      <c r="D6" s="1493"/>
      <c r="E6" s="1493"/>
      <c r="F6" s="1496" t="s">
        <v>1155</v>
      </c>
      <c r="G6" s="1496"/>
      <c r="H6" s="1496"/>
      <c r="I6" s="1496"/>
      <c r="J6" s="1496"/>
    </row>
    <row r="7" spans="1:14" s="8" customFormat="1" ht="15" customHeight="1">
      <c r="A7" s="602"/>
      <c r="B7" s="1494"/>
      <c r="C7" s="1495"/>
      <c r="D7" s="1495"/>
      <c r="E7" s="1495"/>
      <c r="F7" s="1497"/>
      <c r="G7" s="1497"/>
      <c r="H7" s="1497"/>
      <c r="I7" s="1497"/>
      <c r="J7" s="1497"/>
    </row>
    <row r="8" spans="1:14" s="7" customFormat="1" ht="15" customHeight="1">
      <c r="A8" s="602"/>
      <c r="B8" s="1491" t="s">
        <v>692</v>
      </c>
      <c r="C8" s="1491"/>
      <c r="D8" s="1491"/>
      <c r="E8" s="1490" t="s">
        <v>693</v>
      </c>
      <c r="F8" s="1490"/>
      <c r="G8" s="1490"/>
      <c r="H8" s="1333" t="s">
        <v>694</v>
      </c>
      <c r="I8" s="1490"/>
      <c r="J8" s="1332"/>
    </row>
    <row r="9" spans="1:14" s="7" customFormat="1" ht="15" customHeight="1">
      <c r="A9" s="602"/>
      <c r="B9" s="1586" t="s">
        <v>695</v>
      </c>
      <c r="C9" s="1586"/>
      <c r="D9" s="1586"/>
      <c r="E9" s="1586" t="s">
        <v>696</v>
      </c>
      <c r="F9" s="1586"/>
      <c r="G9" s="1586"/>
      <c r="H9" s="1322" t="s">
        <v>697</v>
      </c>
      <c r="I9" s="1586"/>
      <c r="J9" s="1321"/>
    </row>
    <row r="10" spans="1:14" s="7" customFormat="1" ht="15" customHeight="1">
      <c r="A10" s="601"/>
      <c r="B10" s="598" t="s">
        <v>699</v>
      </c>
      <c r="C10" s="598" t="s">
        <v>1490</v>
      </c>
      <c r="D10" s="598" t="s">
        <v>569</v>
      </c>
      <c r="E10" s="598" t="s">
        <v>698</v>
      </c>
      <c r="F10" s="598" t="s">
        <v>1491</v>
      </c>
      <c r="G10" s="598" t="s">
        <v>700</v>
      </c>
      <c r="H10" s="601" t="s">
        <v>699</v>
      </c>
      <c r="I10" s="598" t="s">
        <v>1492</v>
      </c>
      <c r="J10" s="612" t="s">
        <v>700</v>
      </c>
    </row>
    <row r="11" spans="1:14" s="7" customFormat="1" ht="15" customHeight="1">
      <c r="A11" s="516" t="s">
        <v>667</v>
      </c>
      <c r="B11" s="484" t="s">
        <v>701</v>
      </c>
      <c r="C11" s="484" t="s">
        <v>22</v>
      </c>
      <c r="D11" s="484" t="s">
        <v>23</v>
      </c>
      <c r="E11" s="484" t="s">
        <v>306</v>
      </c>
      <c r="F11" s="484" t="s">
        <v>22</v>
      </c>
      <c r="G11" s="484" t="s">
        <v>23</v>
      </c>
      <c r="H11" s="585" t="s">
        <v>306</v>
      </c>
      <c r="I11" s="484" t="s">
        <v>22</v>
      </c>
      <c r="J11" s="584" t="s">
        <v>702</v>
      </c>
    </row>
    <row r="12" spans="1:14">
      <c r="A12" s="15">
        <v>2019</v>
      </c>
      <c r="B12" s="613">
        <v>47645</v>
      </c>
      <c r="C12" s="614">
        <v>20148</v>
      </c>
      <c r="D12" s="614">
        <v>27497</v>
      </c>
      <c r="E12" s="614">
        <v>28488</v>
      </c>
      <c r="F12" s="614">
        <v>10372</v>
      </c>
      <c r="G12" s="614">
        <v>18116</v>
      </c>
      <c r="H12" s="615">
        <v>59.792213243782143</v>
      </c>
      <c r="I12" s="615">
        <v>51.47905499305142</v>
      </c>
      <c r="J12" s="615">
        <v>65.883550932829039</v>
      </c>
    </row>
    <row r="13" spans="1:14">
      <c r="A13" s="15">
        <v>2020</v>
      </c>
      <c r="B13" s="613">
        <v>50567</v>
      </c>
      <c r="C13" s="614">
        <v>21578</v>
      </c>
      <c r="D13" s="614">
        <v>28989</v>
      </c>
      <c r="E13" s="614">
        <v>30339</v>
      </c>
      <c r="F13" s="614">
        <v>11272</v>
      </c>
      <c r="G13" s="614">
        <v>19067</v>
      </c>
      <c r="H13" s="615">
        <v>59.997626910831173</v>
      </c>
      <c r="I13" s="615">
        <v>52.238390953749189</v>
      </c>
      <c r="J13" s="615">
        <v>65.773224326468664</v>
      </c>
    </row>
    <row r="14" spans="1:14">
      <c r="A14" s="15">
        <v>2021</v>
      </c>
      <c r="B14" s="613">
        <v>52876</v>
      </c>
      <c r="C14" s="614">
        <v>22637</v>
      </c>
      <c r="D14" s="614">
        <v>30239</v>
      </c>
      <c r="E14" s="614">
        <v>32070</v>
      </c>
      <c r="F14" s="614">
        <v>12064</v>
      </c>
      <c r="G14" s="614">
        <v>20006</v>
      </c>
      <c r="H14" s="615">
        <v>60.651335199334291</v>
      </c>
      <c r="I14" s="615">
        <v>53.293280911781594</v>
      </c>
      <c r="J14" s="615">
        <v>66.159595224709804</v>
      </c>
    </row>
    <row r="15" spans="1:14">
      <c r="A15" s="15">
        <v>2022</v>
      </c>
      <c r="B15" s="613">
        <v>55802</v>
      </c>
      <c r="C15" s="614">
        <v>24090</v>
      </c>
      <c r="D15" s="614">
        <v>31712</v>
      </c>
      <c r="E15" s="614">
        <v>33689</v>
      </c>
      <c r="F15" s="614">
        <v>12848</v>
      </c>
      <c r="G15" s="614">
        <v>20841</v>
      </c>
      <c r="H15" s="615">
        <v>60.372388086448517</v>
      </c>
      <c r="I15" s="615">
        <v>53.333333333333336</v>
      </c>
      <c r="J15" s="615">
        <v>65.719601412714439</v>
      </c>
      <c r="M15" s="518" t="s">
        <v>2</v>
      </c>
      <c r="N15" s="518" t="s">
        <v>2</v>
      </c>
    </row>
    <row r="16" spans="1:14">
      <c r="A16" s="15">
        <v>2023</v>
      </c>
      <c r="B16" s="613">
        <v>58611</v>
      </c>
      <c r="C16" s="614">
        <v>25441</v>
      </c>
      <c r="D16" s="614">
        <v>33170</v>
      </c>
      <c r="E16" s="614">
        <v>35176</v>
      </c>
      <c r="F16" s="614">
        <v>13552</v>
      </c>
      <c r="G16" s="614">
        <v>21624</v>
      </c>
      <c r="H16" s="615">
        <v>60</v>
      </c>
      <c r="I16" s="615">
        <v>53.3</v>
      </c>
      <c r="J16" s="615">
        <v>65.2</v>
      </c>
      <c r="M16" s="518" t="s">
        <v>2</v>
      </c>
      <c r="N16" s="518" t="s">
        <v>2</v>
      </c>
    </row>
    <row r="17" spans="1:14" s="520" customFormat="1">
      <c r="A17" s="32">
        <v>2024</v>
      </c>
      <c r="B17" s="1129">
        <v>61196</v>
      </c>
      <c r="C17" s="1130">
        <v>26617</v>
      </c>
      <c r="D17" s="1130">
        <v>34579</v>
      </c>
      <c r="E17" s="1130">
        <v>36220</v>
      </c>
      <c r="F17" s="1130">
        <v>14026</v>
      </c>
      <c r="G17" s="1130">
        <v>22194</v>
      </c>
      <c r="H17" s="879">
        <v>59.186874959147659</v>
      </c>
      <c r="I17" s="1131">
        <v>52.695645640004507</v>
      </c>
      <c r="J17" s="1131">
        <v>64.183463952109662</v>
      </c>
      <c r="M17" s="520" t="s">
        <v>857</v>
      </c>
      <c r="N17" s="520" t="s">
        <v>857</v>
      </c>
    </row>
    <row r="18" spans="1:14">
      <c r="A18" s="14" t="s">
        <v>532</v>
      </c>
      <c r="B18" s="1132">
        <v>2639</v>
      </c>
      <c r="C18" s="1133">
        <v>1178</v>
      </c>
      <c r="D18" s="1133">
        <v>1461</v>
      </c>
      <c r="E18" s="1134">
        <v>1830</v>
      </c>
      <c r="F18" s="1133">
        <v>738</v>
      </c>
      <c r="G18" s="1133">
        <v>1092</v>
      </c>
      <c r="H18" s="1182">
        <v>69.344448654793482</v>
      </c>
      <c r="I18" s="1183">
        <v>62.648556876061122</v>
      </c>
      <c r="J18" s="1183">
        <v>74.743326488706359</v>
      </c>
    </row>
    <row r="19" spans="1:14">
      <c r="A19" s="14" t="s">
        <v>578</v>
      </c>
      <c r="B19" s="1132">
        <v>3414</v>
      </c>
      <c r="C19" s="1133">
        <v>1477</v>
      </c>
      <c r="D19" s="1133">
        <v>1937</v>
      </c>
      <c r="E19" s="1134">
        <v>2001</v>
      </c>
      <c r="F19" s="1133">
        <v>742</v>
      </c>
      <c r="G19" s="1133">
        <v>1259</v>
      </c>
      <c r="H19" s="1182">
        <v>58.611599297012305</v>
      </c>
      <c r="I19" s="1183">
        <v>50.236966824644547</v>
      </c>
      <c r="J19" s="1183">
        <v>64.997418688693855</v>
      </c>
    </row>
    <row r="20" spans="1:14">
      <c r="A20" s="14" t="s">
        <v>534</v>
      </c>
      <c r="B20" s="1132">
        <v>656</v>
      </c>
      <c r="C20" s="1133">
        <v>330</v>
      </c>
      <c r="D20" s="1133">
        <v>326</v>
      </c>
      <c r="E20" s="1134">
        <v>404</v>
      </c>
      <c r="F20" s="1133">
        <v>179</v>
      </c>
      <c r="G20" s="1133">
        <v>225</v>
      </c>
      <c r="H20" s="1182">
        <v>61.585365853658537</v>
      </c>
      <c r="I20" s="1183">
        <v>54.242424242424249</v>
      </c>
      <c r="J20" s="1183">
        <v>69.018404907975466</v>
      </c>
    </row>
    <row r="21" spans="1:14">
      <c r="A21" s="14" t="s">
        <v>1258</v>
      </c>
      <c r="B21" s="1132">
        <v>972</v>
      </c>
      <c r="C21" s="1133">
        <v>454</v>
      </c>
      <c r="D21" s="1133">
        <v>518</v>
      </c>
      <c r="E21" s="1134">
        <v>569</v>
      </c>
      <c r="F21" s="1133">
        <v>231</v>
      </c>
      <c r="G21" s="1133">
        <v>338</v>
      </c>
      <c r="H21" s="1182">
        <v>58.539094650205762</v>
      </c>
      <c r="I21" s="1183">
        <v>50.881057268722465</v>
      </c>
      <c r="J21" s="1183">
        <v>65.250965250965251</v>
      </c>
    </row>
    <row r="22" spans="1:14">
      <c r="A22" s="14" t="s">
        <v>536</v>
      </c>
      <c r="B22" s="1132">
        <v>529</v>
      </c>
      <c r="C22" s="1133">
        <v>256</v>
      </c>
      <c r="D22" s="1133">
        <v>273</v>
      </c>
      <c r="E22" s="1134">
        <v>320</v>
      </c>
      <c r="F22" s="1133">
        <v>131</v>
      </c>
      <c r="G22" s="1133">
        <v>189</v>
      </c>
      <c r="H22" s="1182">
        <v>60.491493383742913</v>
      </c>
      <c r="I22" s="1183">
        <v>51.171875</v>
      </c>
      <c r="J22" s="1183">
        <v>69.230769230769226</v>
      </c>
    </row>
    <row r="23" spans="1:14">
      <c r="A23" s="14" t="s">
        <v>1259</v>
      </c>
      <c r="B23" s="1132">
        <v>1652</v>
      </c>
      <c r="C23" s="1133">
        <v>773</v>
      </c>
      <c r="D23" s="1133">
        <v>879</v>
      </c>
      <c r="E23" s="1134">
        <v>1065</v>
      </c>
      <c r="F23" s="1133">
        <v>452</v>
      </c>
      <c r="G23" s="1133">
        <v>613</v>
      </c>
      <c r="H23" s="1182">
        <v>64.467312348668287</v>
      </c>
      <c r="I23" s="1183">
        <v>58.473479948253562</v>
      </c>
      <c r="J23" s="1183">
        <v>69.738339021615474</v>
      </c>
    </row>
    <row r="24" spans="1:14">
      <c r="A24" s="14" t="s">
        <v>1260</v>
      </c>
      <c r="B24" s="1132">
        <v>1112</v>
      </c>
      <c r="C24" s="1133">
        <v>533</v>
      </c>
      <c r="D24" s="1133">
        <v>579</v>
      </c>
      <c r="E24" s="1134">
        <v>756</v>
      </c>
      <c r="F24" s="1133">
        <v>324</v>
      </c>
      <c r="G24" s="1133">
        <v>432</v>
      </c>
      <c r="H24" s="1182">
        <v>67.985611510791372</v>
      </c>
      <c r="I24" s="1183">
        <v>60.787992495309574</v>
      </c>
      <c r="J24" s="1183">
        <v>74.611398963730565</v>
      </c>
    </row>
    <row r="25" spans="1:14">
      <c r="A25" s="14" t="s">
        <v>539</v>
      </c>
      <c r="B25" s="1132">
        <v>512</v>
      </c>
      <c r="C25" s="1133">
        <v>276</v>
      </c>
      <c r="D25" s="1133">
        <v>236</v>
      </c>
      <c r="E25" s="1134">
        <v>360</v>
      </c>
      <c r="F25" s="1133">
        <v>184</v>
      </c>
      <c r="G25" s="1133">
        <v>176</v>
      </c>
      <c r="H25" s="1182">
        <v>70.3125</v>
      </c>
      <c r="I25" s="1183">
        <v>66.666666666666657</v>
      </c>
      <c r="J25" s="1183">
        <v>74.576271186440678</v>
      </c>
    </row>
    <row r="26" spans="1:14">
      <c r="A26" s="14" t="s">
        <v>1261</v>
      </c>
      <c r="B26" s="1132">
        <v>3487</v>
      </c>
      <c r="C26" s="1133">
        <v>1566</v>
      </c>
      <c r="D26" s="1133">
        <v>1921</v>
      </c>
      <c r="E26" s="1134">
        <v>1958</v>
      </c>
      <c r="F26" s="1133">
        <v>770</v>
      </c>
      <c r="G26" s="1133">
        <v>1188</v>
      </c>
      <c r="H26" s="1182">
        <v>56.151419558359613</v>
      </c>
      <c r="I26" s="1183">
        <v>49.169859514687104</v>
      </c>
      <c r="J26" s="1183">
        <v>61.842790213430511</v>
      </c>
    </row>
    <row r="27" spans="1:14">
      <c r="A27" s="14" t="s">
        <v>1262</v>
      </c>
      <c r="B27" s="1132">
        <v>1418</v>
      </c>
      <c r="C27" s="1133">
        <v>675</v>
      </c>
      <c r="D27" s="1133">
        <v>743</v>
      </c>
      <c r="E27" s="1134">
        <v>866</v>
      </c>
      <c r="F27" s="1133">
        <v>366</v>
      </c>
      <c r="G27" s="1133">
        <v>500</v>
      </c>
      <c r="H27" s="1182">
        <v>61.071932299012701</v>
      </c>
      <c r="I27" s="1183">
        <v>54.222222222222229</v>
      </c>
      <c r="J27" s="1183">
        <v>67.294751009421262</v>
      </c>
    </row>
    <row r="28" spans="1:14">
      <c r="A28" s="14" t="s">
        <v>542</v>
      </c>
      <c r="B28" s="1132">
        <v>905</v>
      </c>
      <c r="C28" s="1133">
        <v>395</v>
      </c>
      <c r="D28" s="1133">
        <v>510</v>
      </c>
      <c r="E28" s="1134">
        <v>560</v>
      </c>
      <c r="F28" s="1133">
        <v>241</v>
      </c>
      <c r="G28" s="1133">
        <v>319</v>
      </c>
      <c r="H28" s="1182">
        <v>61.878453038674031</v>
      </c>
      <c r="I28" s="1183">
        <v>61.012658227848107</v>
      </c>
      <c r="J28" s="1183">
        <v>62.549019607843135</v>
      </c>
    </row>
    <row r="29" spans="1:14">
      <c r="A29" s="14" t="s">
        <v>543</v>
      </c>
      <c r="B29" s="1132">
        <v>828</v>
      </c>
      <c r="C29" s="1133">
        <v>341</v>
      </c>
      <c r="D29" s="1133">
        <v>487</v>
      </c>
      <c r="E29" s="1134">
        <v>583</v>
      </c>
      <c r="F29" s="1133">
        <v>228</v>
      </c>
      <c r="G29" s="1133">
        <v>355</v>
      </c>
      <c r="H29" s="1182">
        <v>70.410628019323667</v>
      </c>
      <c r="I29" s="1183">
        <v>66.862170087976537</v>
      </c>
      <c r="J29" s="1183">
        <v>72.895277207392198</v>
      </c>
    </row>
    <row r="30" spans="1:14">
      <c r="A30" s="14" t="s">
        <v>1256</v>
      </c>
      <c r="B30" s="1132">
        <v>1083</v>
      </c>
      <c r="C30" s="1133">
        <v>444</v>
      </c>
      <c r="D30" s="1133">
        <v>639</v>
      </c>
      <c r="E30" s="1134">
        <v>633</v>
      </c>
      <c r="F30" s="1133">
        <v>230</v>
      </c>
      <c r="G30" s="1133">
        <v>403</v>
      </c>
      <c r="H30" s="1182">
        <v>58.448753462603875</v>
      </c>
      <c r="I30" s="1183">
        <v>51.801801801801808</v>
      </c>
      <c r="J30" s="1183">
        <v>63.06729264475743</v>
      </c>
    </row>
    <row r="31" spans="1:14">
      <c r="A31" s="14" t="s">
        <v>1263</v>
      </c>
      <c r="B31" s="1132">
        <v>1750</v>
      </c>
      <c r="C31" s="1133">
        <v>721</v>
      </c>
      <c r="D31" s="1133">
        <v>1029</v>
      </c>
      <c r="E31" s="1134">
        <v>1152</v>
      </c>
      <c r="F31" s="1133">
        <v>439</v>
      </c>
      <c r="G31" s="1133">
        <v>713</v>
      </c>
      <c r="H31" s="1182">
        <v>65.828571428571422</v>
      </c>
      <c r="I31" s="1183">
        <v>60.887656033287094</v>
      </c>
      <c r="J31" s="1183">
        <v>69.290573372206026</v>
      </c>
    </row>
    <row r="32" spans="1:14">
      <c r="A32" s="14" t="s">
        <v>583</v>
      </c>
      <c r="B32" s="1132">
        <v>1929</v>
      </c>
      <c r="C32" s="1133">
        <v>812</v>
      </c>
      <c r="D32" s="1133">
        <v>1117</v>
      </c>
      <c r="E32" s="1134">
        <v>1048</v>
      </c>
      <c r="F32" s="1133">
        <v>377</v>
      </c>
      <c r="G32" s="1133">
        <v>671</v>
      </c>
      <c r="H32" s="1182">
        <v>54.3286677034733</v>
      </c>
      <c r="I32" s="1183">
        <v>46.428571428571431</v>
      </c>
      <c r="J32" s="1183">
        <v>60.071620411817371</v>
      </c>
    </row>
    <row r="33" spans="1:10">
      <c r="A33" s="14" t="s">
        <v>547</v>
      </c>
      <c r="B33" s="1132">
        <v>2966</v>
      </c>
      <c r="C33" s="1133">
        <v>1261</v>
      </c>
      <c r="D33" s="1133">
        <v>1705</v>
      </c>
      <c r="E33" s="1134">
        <v>2020</v>
      </c>
      <c r="F33" s="1133">
        <v>805</v>
      </c>
      <c r="G33" s="1133">
        <v>1215</v>
      </c>
      <c r="H33" s="1182">
        <v>68.105192178017532</v>
      </c>
      <c r="I33" s="1183">
        <v>63.838223632038058</v>
      </c>
      <c r="J33" s="1183">
        <v>71.260997067448685</v>
      </c>
    </row>
    <row r="34" spans="1:10">
      <c r="A34" s="14" t="s">
        <v>548</v>
      </c>
      <c r="B34" s="1132">
        <v>2598</v>
      </c>
      <c r="C34" s="1133">
        <v>1044</v>
      </c>
      <c r="D34" s="1133">
        <v>1554</v>
      </c>
      <c r="E34" s="1134">
        <v>1471</v>
      </c>
      <c r="F34" s="1133">
        <v>516</v>
      </c>
      <c r="G34" s="1133">
        <v>955</v>
      </c>
      <c r="H34" s="1182">
        <v>56.620477290223249</v>
      </c>
      <c r="I34" s="1183">
        <v>49.425287356321839</v>
      </c>
      <c r="J34" s="1183">
        <v>61.454311454311451</v>
      </c>
    </row>
    <row r="35" spans="1:10">
      <c r="A35" s="14" t="s">
        <v>549</v>
      </c>
      <c r="B35" s="1132">
        <v>4269</v>
      </c>
      <c r="C35" s="1133">
        <v>1739</v>
      </c>
      <c r="D35" s="1133">
        <v>2530</v>
      </c>
      <c r="E35" s="1134">
        <v>2607</v>
      </c>
      <c r="F35" s="1133">
        <v>921</v>
      </c>
      <c r="G35" s="1133">
        <v>1686</v>
      </c>
      <c r="H35" s="1182">
        <v>61.068165846802522</v>
      </c>
      <c r="I35" s="1183">
        <v>52.96147211040828</v>
      </c>
      <c r="J35" s="1183">
        <v>66.640316205533594</v>
      </c>
    </row>
    <row r="36" spans="1:10">
      <c r="A36" s="14" t="s">
        <v>1264</v>
      </c>
      <c r="B36" s="1132">
        <v>1049</v>
      </c>
      <c r="C36" s="1133">
        <v>453</v>
      </c>
      <c r="D36" s="1133">
        <v>596</v>
      </c>
      <c r="E36" s="1134">
        <v>626</v>
      </c>
      <c r="F36" s="1133">
        <v>254</v>
      </c>
      <c r="G36" s="1133">
        <v>372</v>
      </c>
      <c r="H36" s="1182">
        <v>59.675881792183027</v>
      </c>
      <c r="I36" s="1183">
        <v>56.070640176600442</v>
      </c>
      <c r="J36" s="1183">
        <v>62.416107382550337</v>
      </c>
    </row>
    <row r="37" spans="1:10">
      <c r="A37" s="14" t="s">
        <v>551</v>
      </c>
      <c r="B37" s="1132">
        <v>2890</v>
      </c>
      <c r="C37" s="1133">
        <v>1218</v>
      </c>
      <c r="D37" s="1133">
        <v>1672</v>
      </c>
      <c r="E37" s="1134">
        <v>1963</v>
      </c>
      <c r="F37" s="1133">
        <v>776</v>
      </c>
      <c r="G37" s="1133">
        <v>1187</v>
      </c>
      <c r="H37" s="1182">
        <v>67.923875432525946</v>
      </c>
      <c r="I37" s="1183">
        <v>63.711001642036123</v>
      </c>
      <c r="J37" s="1183">
        <v>70.992822966507177</v>
      </c>
    </row>
    <row r="38" spans="1:10">
      <c r="A38" s="14" t="s">
        <v>552</v>
      </c>
      <c r="B38" s="1132">
        <v>1064</v>
      </c>
      <c r="C38" s="1133">
        <v>464</v>
      </c>
      <c r="D38" s="1133">
        <v>600</v>
      </c>
      <c r="E38" s="1134">
        <v>632</v>
      </c>
      <c r="F38" s="1133">
        <v>257</v>
      </c>
      <c r="G38" s="1133">
        <v>375</v>
      </c>
      <c r="H38" s="1182">
        <v>59.398496240601503</v>
      </c>
      <c r="I38" s="1183">
        <v>55.387931034482762</v>
      </c>
      <c r="J38" s="1183">
        <v>62.5</v>
      </c>
    </row>
    <row r="39" spans="1:10">
      <c r="A39" s="14" t="s">
        <v>1257</v>
      </c>
      <c r="B39" s="1132">
        <v>6029</v>
      </c>
      <c r="C39" s="1133">
        <v>2627</v>
      </c>
      <c r="D39" s="1133">
        <v>3402</v>
      </c>
      <c r="E39" s="1134">
        <v>3245</v>
      </c>
      <c r="F39" s="1133">
        <v>1262</v>
      </c>
      <c r="G39" s="1133">
        <v>1983</v>
      </c>
      <c r="H39" s="1182">
        <v>53.823187925029025</v>
      </c>
      <c r="I39" s="1183">
        <v>48.03958888465931</v>
      </c>
      <c r="J39" s="1183">
        <v>58.289241622574963</v>
      </c>
    </row>
    <row r="40" spans="1:10">
      <c r="A40" s="14" t="s">
        <v>554</v>
      </c>
      <c r="B40" s="1132">
        <v>8137</v>
      </c>
      <c r="C40" s="1133">
        <v>3463</v>
      </c>
      <c r="D40" s="1133">
        <v>4674</v>
      </c>
      <c r="E40" s="1134">
        <v>4570</v>
      </c>
      <c r="F40" s="1133">
        <v>1685</v>
      </c>
      <c r="G40" s="1133">
        <v>2885</v>
      </c>
      <c r="H40" s="1182">
        <v>56.163205112449312</v>
      </c>
      <c r="I40" s="1183">
        <v>48.657233612474734</v>
      </c>
      <c r="J40" s="1183">
        <v>61.724433033804026</v>
      </c>
    </row>
    <row r="41" spans="1:10">
      <c r="A41" s="14" t="s">
        <v>1265</v>
      </c>
      <c r="B41" s="1132">
        <v>4691</v>
      </c>
      <c r="C41" s="1133">
        <v>2119</v>
      </c>
      <c r="D41" s="1133">
        <v>2572</v>
      </c>
      <c r="E41" s="1134">
        <v>2193</v>
      </c>
      <c r="F41" s="1133">
        <v>849</v>
      </c>
      <c r="G41" s="1133">
        <v>1344</v>
      </c>
      <c r="H41" s="1182">
        <v>46.749094009806015</v>
      </c>
      <c r="I41" s="1183">
        <v>40.066068900424732</v>
      </c>
      <c r="J41" s="1183">
        <v>52.255054432348366</v>
      </c>
    </row>
    <row r="42" spans="1:10" ht="17.25" thickBot="1">
      <c r="A42" s="500" t="s">
        <v>585</v>
      </c>
      <c r="B42" s="1135">
        <v>4617</v>
      </c>
      <c r="C42" s="1136">
        <v>1998</v>
      </c>
      <c r="D42" s="1136">
        <v>2619</v>
      </c>
      <c r="E42" s="1137">
        <v>2788</v>
      </c>
      <c r="F42" s="1136">
        <v>1069</v>
      </c>
      <c r="G42" s="1136">
        <v>1719</v>
      </c>
      <c r="H42" s="1184">
        <v>60.38553173056097</v>
      </c>
      <c r="I42" s="1185">
        <v>53.503503503503502</v>
      </c>
      <c r="J42" s="1185">
        <v>65.635738831615114</v>
      </c>
    </row>
    <row r="43" spans="1:10">
      <c r="A43" s="1039" t="s">
        <v>1724</v>
      </c>
      <c r="B43" s="578"/>
      <c r="C43" s="578"/>
      <c r="D43" s="578"/>
      <c r="E43" s="578"/>
      <c r="F43" s="578"/>
      <c r="G43" s="578"/>
      <c r="H43" s="578"/>
      <c r="I43" s="578"/>
      <c r="J43" s="578"/>
    </row>
    <row r="44" spans="1:10" s="520" customFormat="1">
      <c r="A44" s="298"/>
      <c r="B44" s="473"/>
      <c r="C44" s="617"/>
      <c r="D44" s="618"/>
    </row>
  </sheetData>
  <mergeCells count="10">
    <mergeCell ref="B9:D9"/>
    <mergeCell ref="E9:G9"/>
    <mergeCell ref="H9:J9"/>
    <mergeCell ref="A2:J2"/>
    <mergeCell ref="A3:J3"/>
    <mergeCell ref="B6:E7"/>
    <mergeCell ref="F6:J7"/>
    <mergeCell ref="B8:D8"/>
    <mergeCell ref="E8:G8"/>
    <mergeCell ref="H8:J8"/>
  </mergeCells>
  <phoneticPr fontId="3" type="noConversion"/>
  <pageMargins left="0.7" right="0.7" top="0.75" bottom="0.75" header="0.3" footer="0.3"/>
  <pageSetup paperSize="9" scale="76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4F81BD"/>
    <outlinePr summaryBelow="0" summaryRight="0"/>
  </sheetPr>
  <dimension ref="A1:AX24"/>
  <sheetViews>
    <sheetView view="pageBreakPreview" zoomScaleNormal="100" zoomScaleSheetLayoutView="100" workbookViewId="0">
      <selection activeCell="L31" sqref="L31"/>
    </sheetView>
  </sheetViews>
  <sheetFormatPr defaultColWidth="10" defaultRowHeight="13.5"/>
  <cols>
    <col min="1" max="1" width="8.5" style="1299" customWidth="1"/>
    <col min="2" max="45" width="8.125" style="1089" customWidth="1"/>
    <col min="46" max="16384" width="10" style="1089"/>
  </cols>
  <sheetData>
    <row r="1" spans="1:50">
      <c r="A1" s="1600" t="s">
        <v>1335</v>
      </c>
      <c r="B1" s="1600"/>
      <c r="C1" s="1600"/>
      <c r="D1" s="1600"/>
      <c r="E1" s="1600"/>
      <c r="F1" s="1600"/>
      <c r="G1" s="1600"/>
      <c r="H1" s="1600"/>
      <c r="I1" s="1600"/>
      <c r="W1" s="20" t="s">
        <v>844</v>
      </c>
      <c r="Z1" s="1089" t="s">
        <v>1593</v>
      </c>
      <c r="AQ1" s="1089" t="s">
        <v>1590</v>
      </c>
    </row>
    <row r="2" spans="1:50" ht="25.5">
      <c r="A2" s="1601" t="s">
        <v>1156</v>
      </c>
      <c r="B2" s="1601"/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1"/>
      <c r="N2" s="1601"/>
      <c r="O2" s="1601"/>
      <c r="P2" s="1601"/>
      <c r="Q2" s="1601"/>
      <c r="R2" s="1601"/>
      <c r="S2" s="1601"/>
      <c r="T2" s="1601"/>
      <c r="U2" s="1601"/>
      <c r="V2" s="1601"/>
      <c r="W2" s="1601"/>
      <c r="X2" s="1601"/>
      <c r="Y2" s="1601"/>
      <c r="Z2" s="1601" t="s">
        <v>1594</v>
      </c>
      <c r="AA2" s="1601"/>
      <c r="AB2" s="1601"/>
      <c r="AC2" s="1601"/>
      <c r="AD2" s="1601"/>
      <c r="AE2" s="1601"/>
      <c r="AF2" s="1601"/>
      <c r="AG2" s="1601"/>
      <c r="AH2" s="1601"/>
      <c r="AI2" s="1601"/>
      <c r="AJ2" s="1601"/>
      <c r="AK2" s="1601"/>
      <c r="AL2" s="1601"/>
      <c r="AM2" s="1601"/>
      <c r="AN2" s="1601"/>
      <c r="AO2" s="1601"/>
      <c r="AP2" s="1601"/>
      <c r="AQ2" s="1601"/>
      <c r="AR2" s="1601"/>
      <c r="AS2" s="1601"/>
      <c r="AT2" s="1266"/>
      <c r="AU2" s="1266"/>
      <c r="AV2" s="1266"/>
      <c r="AW2" s="1266"/>
      <c r="AX2" s="1266"/>
    </row>
    <row r="3" spans="1:50" ht="25.5">
      <c r="A3" s="1602" t="s">
        <v>1172</v>
      </c>
      <c r="B3" s="1602"/>
      <c r="C3" s="1602"/>
      <c r="D3" s="1602"/>
      <c r="E3" s="1602"/>
      <c r="F3" s="1602"/>
      <c r="G3" s="1602"/>
      <c r="H3" s="1602"/>
      <c r="I3" s="1602"/>
      <c r="J3" s="1602"/>
      <c r="K3" s="1602"/>
      <c r="L3" s="1602"/>
      <c r="M3" s="1602"/>
      <c r="N3" s="1602"/>
      <c r="O3" s="1602"/>
      <c r="P3" s="1602"/>
      <c r="Q3" s="1602"/>
      <c r="R3" s="1602"/>
      <c r="S3" s="1602"/>
      <c r="T3" s="1602"/>
      <c r="U3" s="1602"/>
      <c r="V3" s="1602"/>
      <c r="W3" s="1602"/>
      <c r="X3" s="1602"/>
      <c r="Y3" s="1602"/>
      <c r="Z3" s="1602" t="s">
        <v>1595</v>
      </c>
      <c r="AA3" s="1602"/>
      <c r="AB3" s="1602"/>
      <c r="AC3" s="1602"/>
      <c r="AD3" s="1602"/>
      <c r="AE3" s="1602"/>
      <c r="AF3" s="1602"/>
      <c r="AG3" s="1602"/>
      <c r="AH3" s="1602"/>
      <c r="AI3" s="1602"/>
      <c r="AJ3" s="1602"/>
      <c r="AK3" s="1602"/>
      <c r="AL3" s="1602"/>
      <c r="AM3" s="1602"/>
      <c r="AN3" s="1602"/>
      <c r="AO3" s="1602"/>
      <c r="AP3" s="1602"/>
      <c r="AQ3" s="1602"/>
      <c r="AR3" s="1602"/>
      <c r="AS3" s="1602"/>
      <c r="AT3" s="1267"/>
      <c r="AU3" s="1267"/>
      <c r="AV3" s="1267"/>
      <c r="AW3" s="1267"/>
      <c r="AX3" s="1267"/>
    </row>
    <row r="4" spans="1:50" ht="9.9499999999999993" customHeight="1">
      <c r="A4" s="1218"/>
      <c r="B4" s="1218"/>
      <c r="C4" s="1218"/>
      <c r="D4" s="1218"/>
      <c r="E4" s="1218"/>
      <c r="F4" s="1218"/>
      <c r="G4" s="1218"/>
      <c r="H4" s="1218"/>
      <c r="I4" s="1218"/>
      <c r="J4" s="1218"/>
      <c r="K4" s="1218"/>
      <c r="L4" s="1218"/>
      <c r="M4" s="1218"/>
      <c r="N4" s="1218"/>
      <c r="O4" s="1218"/>
      <c r="P4" s="1218"/>
      <c r="Q4" s="1218"/>
      <c r="R4" s="1218"/>
      <c r="S4" s="1218"/>
      <c r="T4" s="1218"/>
      <c r="U4" s="1218"/>
      <c r="V4" s="1218"/>
      <c r="W4" s="1218"/>
      <c r="X4" s="1218"/>
      <c r="Y4" s="1218"/>
      <c r="Z4" s="1218"/>
      <c r="AA4" s="1218"/>
      <c r="AB4" s="1218"/>
      <c r="AC4" s="1218"/>
      <c r="AD4" s="1218"/>
      <c r="AE4" s="1218"/>
      <c r="AF4" s="1218"/>
      <c r="AG4" s="1218"/>
      <c r="AH4" s="1218"/>
      <c r="AI4" s="1218"/>
      <c r="AJ4" s="1218"/>
      <c r="AK4" s="1218"/>
      <c r="AL4" s="1218"/>
      <c r="AM4" s="1218"/>
      <c r="AN4" s="1218"/>
      <c r="AO4" s="1218"/>
      <c r="AP4" s="1218"/>
      <c r="AQ4" s="1218"/>
      <c r="AR4" s="1218"/>
      <c r="AS4" s="1218"/>
      <c r="AT4" s="1267"/>
      <c r="AU4" s="1267"/>
      <c r="AV4" s="1267"/>
      <c r="AW4" s="1267"/>
      <c r="AX4" s="1267"/>
    </row>
    <row r="5" spans="1:50" s="1271" customFormat="1" ht="15" customHeight="1" thickBot="1">
      <c r="A5" s="1268" t="s">
        <v>25</v>
      </c>
      <c r="B5" s="1269"/>
      <c r="C5" s="1270"/>
      <c r="D5" s="1270"/>
      <c r="E5" s="1270"/>
      <c r="J5" s="1270" t="s">
        <v>2</v>
      </c>
      <c r="K5" s="1270"/>
      <c r="L5" s="1270"/>
      <c r="M5" s="1270"/>
      <c r="Z5" s="1268" t="s">
        <v>25</v>
      </c>
      <c r="AG5" s="1272"/>
      <c r="AL5" s="1270"/>
      <c r="AM5" s="1270"/>
      <c r="AN5" s="1270"/>
      <c r="AO5" s="1272"/>
      <c r="AP5" s="1273"/>
      <c r="AQ5" s="1273"/>
      <c r="AR5" s="1273"/>
      <c r="AS5" s="1274" t="s">
        <v>1114</v>
      </c>
    </row>
    <row r="6" spans="1:50" s="1276" customFormat="1" ht="15" customHeight="1">
      <c r="A6" s="1275" t="s">
        <v>1850</v>
      </c>
      <c r="B6" s="1603" t="s">
        <v>1851</v>
      </c>
      <c r="C6" s="1604"/>
      <c r="D6" s="1604"/>
      <c r="E6" s="1604"/>
      <c r="F6" s="1607" t="s">
        <v>1852</v>
      </c>
      <c r="G6" s="1608"/>
      <c r="H6" s="1608"/>
      <c r="I6" s="1608"/>
      <c r="J6" s="1608"/>
      <c r="K6" s="1608"/>
      <c r="L6" s="1608"/>
      <c r="M6" s="1608"/>
      <c r="N6" s="1608"/>
      <c r="O6" s="1608"/>
      <c r="P6" s="1608"/>
      <c r="Q6" s="1608"/>
      <c r="R6" s="1608" t="s">
        <v>1167</v>
      </c>
      <c r="S6" s="1608"/>
      <c r="T6" s="1608"/>
      <c r="U6" s="1608"/>
      <c r="V6" s="1608"/>
      <c r="W6" s="1608"/>
      <c r="X6" s="1608"/>
      <c r="Y6" s="1609"/>
      <c r="Z6" s="1605" t="s">
        <v>1370</v>
      </c>
      <c r="AA6" s="1606"/>
      <c r="AB6" s="1606"/>
      <c r="AC6" s="1606"/>
      <c r="AD6" s="1606"/>
      <c r="AE6" s="1606"/>
      <c r="AF6" s="1606"/>
      <c r="AG6" s="1606"/>
      <c r="AH6" s="1606"/>
      <c r="AI6" s="1606"/>
      <c r="AJ6" s="1606" t="s">
        <v>1345</v>
      </c>
      <c r="AK6" s="1606"/>
      <c r="AL6" s="1606"/>
      <c r="AM6" s="1606"/>
      <c r="AN6" s="1606"/>
      <c r="AO6" s="1606"/>
      <c r="AP6" s="1606"/>
      <c r="AQ6" s="1606"/>
      <c r="AR6" s="1606"/>
      <c r="AS6" s="1606"/>
    </row>
    <row r="7" spans="1:50" s="1276" customFormat="1" ht="15" customHeight="1">
      <c r="A7" s="1277"/>
      <c r="B7" s="1611" t="s">
        <v>424</v>
      </c>
      <c r="C7" s="1612"/>
      <c r="D7" s="1612"/>
      <c r="E7" s="1613"/>
      <c r="F7" s="1595" t="s">
        <v>1160</v>
      </c>
      <c r="G7" s="1596"/>
      <c r="H7" s="1596"/>
      <c r="I7" s="1597"/>
      <c r="J7" s="1593" t="s">
        <v>1772</v>
      </c>
      <c r="K7" s="1594"/>
      <c r="L7" s="1594"/>
      <c r="M7" s="1594"/>
      <c r="N7" s="1595" t="s">
        <v>1773</v>
      </c>
      <c r="O7" s="1596"/>
      <c r="P7" s="1596"/>
      <c r="Q7" s="1597"/>
      <c r="R7" s="1595" t="s">
        <v>868</v>
      </c>
      <c r="S7" s="1596"/>
      <c r="T7" s="1596"/>
      <c r="U7" s="1597"/>
      <c r="V7" s="1595" t="s">
        <v>1774</v>
      </c>
      <c r="W7" s="1596"/>
      <c r="X7" s="1596"/>
      <c r="Y7" s="1597"/>
      <c r="Z7" s="1595" t="s">
        <v>1160</v>
      </c>
      <c r="AA7" s="1596"/>
      <c r="AB7" s="1596"/>
      <c r="AC7" s="1597"/>
      <c r="AD7" s="1278" t="s">
        <v>1853</v>
      </c>
      <c r="AE7" s="1278"/>
      <c r="AF7" s="1278"/>
      <c r="AG7" s="1278"/>
      <c r="AH7" s="1279" t="s">
        <v>1854</v>
      </c>
      <c r="AI7" s="1278"/>
      <c r="AJ7" s="1278"/>
      <c r="AK7" s="1280"/>
      <c r="AL7" s="1598" t="s">
        <v>1855</v>
      </c>
      <c r="AM7" s="1594"/>
      <c r="AN7" s="1594"/>
      <c r="AO7" s="1599"/>
      <c r="AP7" s="1593" t="s">
        <v>1216</v>
      </c>
      <c r="AQ7" s="1594"/>
      <c r="AR7" s="1594"/>
      <c r="AS7" s="1594"/>
    </row>
    <row r="8" spans="1:50" s="1283" customFormat="1" ht="15" customHeight="1">
      <c r="A8" s="1277"/>
      <c r="B8" s="1281"/>
      <c r="C8" s="1282"/>
      <c r="D8" s="1282"/>
      <c r="E8" s="1277"/>
      <c r="F8" s="1587" t="s">
        <v>1159</v>
      </c>
      <c r="G8" s="1588"/>
      <c r="H8" s="1588"/>
      <c r="I8" s="1589"/>
      <c r="J8" s="1590" t="s">
        <v>1158</v>
      </c>
      <c r="K8" s="1591"/>
      <c r="L8" s="1591"/>
      <c r="M8" s="1592"/>
      <c r="N8" s="1587" t="s">
        <v>1161</v>
      </c>
      <c r="O8" s="1588"/>
      <c r="P8" s="1588"/>
      <c r="Q8" s="1589"/>
      <c r="R8" s="1587" t="s">
        <v>1162</v>
      </c>
      <c r="S8" s="1588"/>
      <c r="T8" s="1588"/>
      <c r="U8" s="1589"/>
      <c r="V8" s="1587" t="s">
        <v>1163</v>
      </c>
      <c r="W8" s="1588"/>
      <c r="X8" s="1588"/>
      <c r="Y8" s="1589"/>
      <c r="Z8" s="1587" t="s">
        <v>1159</v>
      </c>
      <c r="AA8" s="1588"/>
      <c r="AB8" s="1588"/>
      <c r="AC8" s="1589"/>
      <c r="AD8" s="1587" t="s">
        <v>1164</v>
      </c>
      <c r="AE8" s="1588"/>
      <c r="AF8" s="1588"/>
      <c r="AG8" s="1589"/>
      <c r="AH8" s="1587" t="s">
        <v>1165</v>
      </c>
      <c r="AI8" s="1588"/>
      <c r="AJ8" s="1588"/>
      <c r="AK8" s="1589"/>
      <c r="AL8" s="1590" t="s">
        <v>1166</v>
      </c>
      <c r="AM8" s="1591"/>
      <c r="AN8" s="1591"/>
      <c r="AO8" s="1592"/>
      <c r="AP8" s="1590" t="s">
        <v>1168</v>
      </c>
      <c r="AQ8" s="1591"/>
      <c r="AR8" s="1591"/>
      <c r="AS8" s="1591"/>
    </row>
    <row r="9" spans="1:50" s="1287" customFormat="1" ht="15" customHeight="1">
      <c r="A9" s="1284"/>
      <c r="B9" s="1285" t="s">
        <v>19</v>
      </c>
      <c r="C9" s="1285" t="s">
        <v>31</v>
      </c>
      <c r="D9" s="1285" t="s">
        <v>32</v>
      </c>
      <c r="E9" s="1285" t="s">
        <v>27</v>
      </c>
      <c r="F9" s="1285" t="s">
        <v>19</v>
      </c>
      <c r="G9" s="1285" t="s">
        <v>31</v>
      </c>
      <c r="H9" s="1285" t="s">
        <v>32</v>
      </c>
      <c r="I9" s="1285" t="s">
        <v>27</v>
      </c>
      <c r="J9" s="1285" t="s">
        <v>19</v>
      </c>
      <c r="K9" s="1285" t="s">
        <v>31</v>
      </c>
      <c r="L9" s="1285" t="s">
        <v>32</v>
      </c>
      <c r="M9" s="1285" t="s">
        <v>27</v>
      </c>
      <c r="N9" s="1285" t="s">
        <v>19</v>
      </c>
      <c r="O9" s="1285" t="s">
        <v>31</v>
      </c>
      <c r="P9" s="1285" t="s">
        <v>32</v>
      </c>
      <c r="Q9" s="1285" t="s">
        <v>27</v>
      </c>
      <c r="R9" s="1285" t="s">
        <v>19</v>
      </c>
      <c r="S9" s="1285" t="s">
        <v>31</v>
      </c>
      <c r="T9" s="1285" t="s">
        <v>32</v>
      </c>
      <c r="U9" s="1285" t="s">
        <v>27</v>
      </c>
      <c r="V9" s="1285" t="s">
        <v>19</v>
      </c>
      <c r="W9" s="1285" t="s">
        <v>31</v>
      </c>
      <c r="X9" s="1285" t="s">
        <v>32</v>
      </c>
      <c r="Y9" s="1285" t="s">
        <v>27</v>
      </c>
      <c r="Z9" s="1285" t="s">
        <v>19</v>
      </c>
      <c r="AA9" s="1285" t="s">
        <v>31</v>
      </c>
      <c r="AB9" s="1285" t="s">
        <v>32</v>
      </c>
      <c r="AC9" s="1285" t="s">
        <v>27</v>
      </c>
      <c r="AD9" s="1285" t="s">
        <v>19</v>
      </c>
      <c r="AE9" s="1285" t="s">
        <v>31</v>
      </c>
      <c r="AF9" s="1285" t="s">
        <v>32</v>
      </c>
      <c r="AG9" s="1285" t="s">
        <v>27</v>
      </c>
      <c r="AH9" s="1285" t="s">
        <v>19</v>
      </c>
      <c r="AI9" s="1285" t="s">
        <v>31</v>
      </c>
      <c r="AJ9" s="1285" t="s">
        <v>32</v>
      </c>
      <c r="AK9" s="1285" t="s">
        <v>27</v>
      </c>
      <c r="AL9" s="1285" t="s">
        <v>19</v>
      </c>
      <c r="AM9" s="1285" t="s">
        <v>31</v>
      </c>
      <c r="AN9" s="1285" t="s">
        <v>32</v>
      </c>
      <c r="AO9" s="1285" t="s">
        <v>27</v>
      </c>
      <c r="AP9" s="1285" t="s">
        <v>19</v>
      </c>
      <c r="AQ9" s="1285" t="s">
        <v>31</v>
      </c>
      <c r="AR9" s="1285" t="s">
        <v>32</v>
      </c>
      <c r="AS9" s="1286" t="s">
        <v>27</v>
      </c>
    </row>
    <row r="10" spans="1:50" s="1287" customFormat="1" ht="15" customHeight="1">
      <c r="A10" s="1284"/>
      <c r="B10" s="1288"/>
      <c r="C10" s="1288"/>
      <c r="D10" s="1288"/>
      <c r="E10" s="1288" t="s">
        <v>425</v>
      </c>
      <c r="F10" s="1288"/>
      <c r="G10" s="1288"/>
      <c r="H10" s="1288"/>
      <c r="I10" s="1288" t="s">
        <v>425</v>
      </c>
      <c r="J10" s="1288"/>
      <c r="K10" s="1288"/>
      <c r="L10" s="1288"/>
      <c r="M10" s="1288" t="s">
        <v>425</v>
      </c>
      <c r="N10" s="1288"/>
      <c r="O10" s="1288"/>
      <c r="P10" s="1288"/>
      <c r="Q10" s="1288" t="s">
        <v>425</v>
      </c>
      <c r="R10" s="1288"/>
      <c r="S10" s="1288"/>
      <c r="T10" s="1288"/>
      <c r="U10" s="1288" t="s">
        <v>425</v>
      </c>
      <c r="V10" s="1288"/>
      <c r="W10" s="1288"/>
      <c r="X10" s="1288"/>
      <c r="Y10" s="1288" t="s">
        <v>425</v>
      </c>
      <c r="Z10" s="1288"/>
      <c r="AA10" s="1288"/>
      <c r="AB10" s="1288"/>
      <c r="AC10" s="1288" t="s">
        <v>425</v>
      </c>
      <c r="AD10" s="1288"/>
      <c r="AE10" s="1288"/>
      <c r="AF10" s="1288"/>
      <c r="AG10" s="1288" t="s">
        <v>425</v>
      </c>
      <c r="AH10" s="1288"/>
      <c r="AI10" s="1288"/>
      <c r="AJ10" s="1288"/>
      <c r="AK10" s="1288" t="s">
        <v>425</v>
      </c>
      <c r="AL10" s="1288"/>
      <c r="AM10" s="1288"/>
      <c r="AN10" s="1288"/>
      <c r="AO10" s="1288" t="s">
        <v>425</v>
      </c>
      <c r="AP10" s="1288"/>
      <c r="AQ10" s="1288"/>
      <c r="AR10" s="1288"/>
      <c r="AS10" s="1289" t="s">
        <v>425</v>
      </c>
    </row>
    <row r="11" spans="1:50" s="1292" customFormat="1" ht="15" customHeight="1">
      <c r="A11" s="1284"/>
      <c r="B11" s="1290"/>
      <c r="C11" s="1290"/>
      <c r="D11" s="1290"/>
      <c r="E11" s="1290" t="s">
        <v>426</v>
      </c>
      <c r="F11" s="1290"/>
      <c r="G11" s="1290"/>
      <c r="H11" s="1290"/>
      <c r="I11" s="1290" t="s">
        <v>426</v>
      </c>
      <c r="J11" s="1290"/>
      <c r="K11" s="1290"/>
      <c r="L11" s="1290"/>
      <c r="M11" s="1290" t="s">
        <v>426</v>
      </c>
      <c r="N11" s="1290"/>
      <c r="O11" s="1290"/>
      <c r="P11" s="1290"/>
      <c r="Q11" s="1290" t="s">
        <v>426</v>
      </c>
      <c r="R11" s="1290"/>
      <c r="S11" s="1290"/>
      <c r="T11" s="1290"/>
      <c r="U11" s="1290" t="s">
        <v>426</v>
      </c>
      <c r="V11" s="1290"/>
      <c r="W11" s="1290"/>
      <c r="X11" s="1290"/>
      <c r="Y11" s="1290" t="s">
        <v>426</v>
      </c>
      <c r="Z11" s="1290"/>
      <c r="AA11" s="1290"/>
      <c r="AB11" s="1290"/>
      <c r="AC11" s="1290" t="s">
        <v>426</v>
      </c>
      <c r="AD11" s="1290"/>
      <c r="AE11" s="1290"/>
      <c r="AF11" s="1290"/>
      <c r="AG11" s="1290" t="s">
        <v>426</v>
      </c>
      <c r="AH11" s="1290"/>
      <c r="AI11" s="1290"/>
      <c r="AJ11" s="1290"/>
      <c r="AK11" s="1290" t="s">
        <v>426</v>
      </c>
      <c r="AL11" s="1290"/>
      <c r="AM11" s="1290"/>
      <c r="AN11" s="1290"/>
      <c r="AO11" s="1290" t="s">
        <v>426</v>
      </c>
      <c r="AP11" s="1290"/>
      <c r="AQ11" s="1290"/>
      <c r="AR11" s="1290"/>
      <c r="AS11" s="1291" t="s">
        <v>426</v>
      </c>
    </row>
    <row r="12" spans="1:50" s="1292" customFormat="1" ht="15" customHeight="1">
      <c r="A12" s="1284"/>
      <c r="B12" s="1290" t="s">
        <v>427</v>
      </c>
      <c r="C12" s="1290"/>
      <c r="D12" s="1290"/>
      <c r="E12" s="1290" t="s">
        <v>428</v>
      </c>
      <c r="F12" s="1290" t="s">
        <v>398</v>
      </c>
      <c r="G12" s="1290"/>
      <c r="H12" s="1290"/>
      <c r="I12" s="1290" t="s">
        <v>428</v>
      </c>
      <c r="J12" s="1290" t="s">
        <v>398</v>
      </c>
      <c r="K12" s="1290"/>
      <c r="L12" s="1290"/>
      <c r="M12" s="1290" t="s">
        <v>428</v>
      </c>
      <c r="N12" s="1290" t="s">
        <v>398</v>
      </c>
      <c r="O12" s="1290"/>
      <c r="P12" s="1290"/>
      <c r="Q12" s="1290" t="s">
        <v>428</v>
      </c>
      <c r="R12" s="1290" t="s">
        <v>398</v>
      </c>
      <c r="S12" s="1290"/>
      <c r="T12" s="1290"/>
      <c r="U12" s="1290" t="s">
        <v>428</v>
      </c>
      <c r="V12" s="1290" t="s">
        <v>398</v>
      </c>
      <c r="W12" s="1290"/>
      <c r="X12" s="1290"/>
      <c r="Y12" s="1290" t="s">
        <v>428</v>
      </c>
      <c r="Z12" s="1290" t="s">
        <v>398</v>
      </c>
      <c r="AA12" s="1290"/>
      <c r="AB12" s="1290"/>
      <c r="AC12" s="1290" t="s">
        <v>428</v>
      </c>
      <c r="AD12" s="1290" t="s">
        <v>398</v>
      </c>
      <c r="AE12" s="1290"/>
      <c r="AF12" s="1290"/>
      <c r="AG12" s="1290" t="s">
        <v>428</v>
      </c>
      <c r="AH12" s="1290" t="s">
        <v>398</v>
      </c>
      <c r="AI12" s="1290"/>
      <c r="AJ12" s="1290"/>
      <c r="AK12" s="1290" t="s">
        <v>428</v>
      </c>
      <c r="AL12" s="1290" t="s">
        <v>398</v>
      </c>
      <c r="AM12" s="1290"/>
      <c r="AN12" s="1290"/>
      <c r="AO12" s="1290" t="s">
        <v>428</v>
      </c>
      <c r="AP12" s="1290" t="s">
        <v>398</v>
      </c>
      <c r="AQ12" s="1290"/>
      <c r="AR12" s="1290"/>
      <c r="AS12" s="1291" t="s">
        <v>428</v>
      </c>
    </row>
    <row r="13" spans="1:50" s="1296" customFormat="1" ht="15" customHeight="1">
      <c r="A13" s="1293"/>
      <c r="B13" s="1294" t="s">
        <v>429</v>
      </c>
      <c r="C13" s="1294" t="s">
        <v>1157</v>
      </c>
      <c r="D13" s="1294" t="s">
        <v>430</v>
      </c>
      <c r="E13" s="1294" t="s">
        <v>33</v>
      </c>
      <c r="F13" s="1294" t="s">
        <v>407</v>
      </c>
      <c r="G13" s="1294" t="s">
        <v>1157</v>
      </c>
      <c r="H13" s="1294" t="s">
        <v>430</v>
      </c>
      <c r="I13" s="1294" t="s">
        <v>33</v>
      </c>
      <c r="J13" s="1294" t="s">
        <v>407</v>
      </c>
      <c r="K13" s="1294" t="s">
        <v>1157</v>
      </c>
      <c r="L13" s="1294" t="s">
        <v>430</v>
      </c>
      <c r="M13" s="1294" t="s">
        <v>33</v>
      </c>
      <c r="N13" s="1294" t="s">
        <v>407</v>
      </c>
      <c r="O13" s="1294" t="s">
        <v>1157</v>
      </c>
      <c r="P13" s="1294" t="s">
        <v>430</v>
      </c>
      <c r="Q13" s="1294" t="s">
        <v>33</v>
      </c>
      <c r="R13" s="1294" t="s">
        <v>407</v>
      </c>
      <c r="S13" s="1294" t="s">
        <v>1157</v>
      </c>
      <c r="T13" s="1294" t="s">
        <v>430</v>
      </c>
      <c r="U13" s="1294" t="s">
        <v>33</v>
      </c>
      <c r="V13" s="1294" t="s">
        <v>407</v>
      </c>
      <c r="W13" s="1294" t="s">
        <v>1157</v>
      </c>
      <c r="X13" s="1294" t="s">
        <v>430</v>
      </c>
      <c r="Y13" s="1294" t="s">
        <v>33</v>
      </c>
      <c r="Z13" s="1294" t="s">
        <v>407</v>
      </c>
      <c r="AA13" s="1294" t="s">
        <v>1157</v>
      </c>
      <c r="AB13" s="1294" t="s">
        <v>430</v>
      </c>
      <c r="AC13" s="1294" t="s">
        <v>33</v>
      </c>
      <c r="AD13" s="1294" t="s">
        <v>407</v>
      </c>
      <c r="AE13" s="1294" t="s">
        <v>1157</v>
      </c>
      <c r="AF13" s="1294" t="s">
        <v>430</v>
      </c>
      <c r="AG13" s="1294" t="s">
        <v>33</v>
      </c>
      <c r="AH13" s="1294" t="s">
        <v>407</v>
      </c>
      <c r="AI13" s="1294" t="s">
        <v>1157</v>
      </c>
      <c r="AJ13" s="1294" t="s">
        <v>430</v>
      </c>
      <c r="AK13" s="1294" t="s">
        <v>33</v>
      </c>
      <c r="AL13" s="1294" t="s">
        <v>407</v>
      </c>
      <c r="AM13" s="1294" t="s">
        <v>1157</v>
      </c>
      <c r="AN13" s="1294" t="s">
        <v>430</v>
      </c>
      <c r="AO13" s="1294" t="s">
        <v>33</v>
      </c>
      <c r="AP13" s="1294" t="s">
        <v>407</v>
      </c>
      <c r="AQ13" s="1294" t="s">
        <v>1157</v>
      </c>
      <c r="AR13" s="1294" t="s">
        <v>430</v>
      </c>
      <c r="AS13" s="1295" t="s">
        <v>33</v>
      </c>
    </row>
    <row r="14" spans="1:50" ht="21" customHeight="1">
      <c r="A14" s="23">
        <v>2019</v>
      </c>
      <c r="B14" s="1088">
        <f>F14+Z14</f>
        <v>9</v>
      </c>
      <c r="C14" s="1088">
        <f>G14+AA14</f>
        <v>133</v>
      </c>
      <c r="D14" s="1088">
        <f>H14+AB14</f>
        <v>133</v>
      </c>
      <c r="E14" s="1088">
        <f>I14+AC14</f>
        <v>61</v>
      </c>
      <c r="F14" s="1306">
        <f>J14+N14+R14+V14</f>
        <v>3</v>
      </c>
      <c r="G14" s="1088">
        <f>K14+O14+S14+W14</f>
        <v>85</v>
      </c>
      <c r="H14" s="1088">
        <f>L14+P14+T14+X14</f>
        <v>77</v>
      </c>
      <c r="I14" s="1307">
        <f>M14+Q14+U14+Y14</f>
        <v>39</v>
      </c>
      <c r="J14" s="1088">
        <v>1</v>
      </c>
      <c r="K14" s="1088">
        <v>73</v>
      </c>
      <c r="L14" s="1088">
        <v>69</v>
      </c>
      <c r="M14" s="1088">
        <v>19</v>
      </c>
      <c r="N14" s="1088">
        <v>1</v>
      </c>
      <c r="O14" s="1088">
        <v>8</v>
      </c>
      <c r="P14" s="1088">
        <v>4</v>
      </c>
      <c r="Q14" s="1088">
        <v>10</v>
      </c>
      <c r="R14" s="1088">
        <v>1</v>
      </c>
      <c r="S14" s="1088">
        <v>4</v>
      </c>
      <c r="T14" s="1088">
        <v>4</v>
      </c>
      <c r="U14" s="1088">
        <v>10</v>
      </c>
      <c r="V14" s="35">
        <v>0</v>
      </c>
      <c r="W14" s="35">
        <v>0</v>
      </c>
      <c r="X14" s="35">
        <v>0</v>
      </c>
      <c r="Y14" s="35">
        <v>0</v>
      </c>
      <c r="Z14" s="1088">
        <v>6</v>
      </c>
      <c r="AA14" s="1088">
        <v>48</v>
      </c>
      <c r="AB14" s="1088">
        <v>56</v>
      </c>
      <c r="AC14" s="1088">
        <v>22</v>
      </c>
      <c r="AD14" s="1088">
        <v>3</v>
      </c>
      <c r="AE14" s="1088">
        <v>24</v>
      </c>
      <c r="AF14" s="1088">
        <v>28</v>
      </c>
      <c r="AG14" s="1088">
        <v>11</v>
      </c>
      <c r="AH14" s="1088">
        <v>1</v>
      </c>
      <c r="AI14" s="1088">
        <v>15</v>
      </c>
      <c r="AJ14" s="1088">
        <v>20</v>
      </c>
      <c r="AK14" s="1088">
        <v>6</v>
      </c>
      <c r="AL14" s="1088">
        <v>2</v>
      </c>
      <c r="AM14" s="1088">
        <v>9</v>
      </c>
      <c r="AN14" s="1088">
        <v>8</v>
      </c>
      <c r="AO14" s="1088">
        <v>5</v>
      </c>
      <c r="AP14" s="1088">
        <v>0</v>
      </c>
      <c r="AQ14" s="1088">
        <v>0</v>
      </c>
      <c r="AR14" s="1088">
        <v>0</v>
      </c>
      <c r="AS14" s="1088">
        <v>0</v>
      </c>
    </row>
    <row r="15" spans="1:50" ht="23.1" customHeight="1" collapsed="1">
      <c r="A15" s="23">
        <v>2020</v>
      </c>
      <c r="B15" s="1088">
        <f t="shared" ref="B15:E19" si="0">F15+Z15</f>
        <v>5</v>
      </c>
      <c r="C15" s="1088">
        <f t="shared" si="0"/>
        <v>90</v>
      </c>
      <c r="D15" s="1088">
        <f t="shared" si="0"/>
        <v>93</v>
      </c>
      <c r="E15" s="1088">
        <f t="shared" si="0"/>
        <v>39</v>
      </c>
      <c r="F15" s="1306">
        <f t="shared" ref="F15:I19" si="1">J15+N15+R15+V15</f>
        <v>3</v>
      </c>
      <c r="G15" s="1088">
        <f t="shared" si="1"/>
        <v>60</v>
      </c>
      <c r="H15" s="1088">
        <f t="shared" si="1"/>
        <v>64</v>
      </c>
      <c r="I15" s="1307">
        <f t="shared" si="1"/>
        <v>25</v>
      </c>
      <c r="J15" s="1088">
        <v>1</v>
      </c>
      <c r="K15" s="1088">
        <v>47</v>
      </c>
      <c r="L15" s="1088">
        <v>56</v>
      </c>
      <c r="M15" s="1088">
        <v>10</v>
      </c>
      <c r="N15" s="1088">
        <v>1</v>
      </c>
      <c r="O15" s="1088">
        <v>6</v>
      </c>
      <c r="P15" s="1088">
        <v>6</v>
      </c>
      <c r="Q15" s="1088">
        <v>10</v>
      </c>
      <c r="R15" s="1088">
        <v>1</v>
      </c>
      <c r="S15" s="1088">
        <v>7</v>
      </c>
      <c r="T15" s="1088">
        <v>2</v>
      </c>
      <c r="U15" s="1088">
        <v>5</v>
      </c>
      <c r="V15" s="35">
        <v>0</v>
      </c>
      <c r="W15" s="35">
        <v>0</v>
      </c>
      <c r="X15" s="35">
        <v>0</v>
      </c>
      <c r="Y15" s="35">
        <v>0</v>
      </c>
      <c r="Z15" s="1088">
        <v>2</v>
      </c>
      <c r="AA15" s="1088">
        <v>30</v>
      </c>
      <c r="AB15" s="1088">
        <v>29</v>
      </c>
      <c r="AC15" s="1088">
        <v>14</v>
      </c>
      <c r="AD15" s="1088">
        <v>0</v>
      </c>
      <c r="AE15" s="1088">
        <v>0</v>
      </c>
      <c r="AF15" s="1088">
        <v>0</v>
      </c>
      <c r="AG15" s="1088">
        <v>0</v>
      </c>
      <c r="AH15" s="1088">
        <v>1</v>
      </c>
      <c r="AI15" s="1088">
        <v>19</v>
      </c>
      <c r="AJ15" s="1088">
        <v>17</v>
      </c>
      <c r="AK15" s="1088">
        <v>7</v>
      </c>
      <c r="AL15" s="1088">
        <v>1</v>
      </c>
      <c r="AM15" s="1088">
        <v>11</v>
      </c>
      <c r="AN15" s="1088">
        <v>12</v>
      </c>
      <c r="AO15" s="1088">
        <v>7</v>
      </c>
      <c r="AP15" s="1088">
        <v>0</v>
      </c>
      <c r="AQ15" s="1088">
        <v>0</v>
      </c>
      <c r="AR15" s="1088">
        <v>0</v>
      </c>
      <c r="AS15" s="1088">
        <v>0</v>
      </c>
    </row>
    <row r="16" spans="1:50" s="1091" customFormat="1" ht="22.5" customHeight="1">
      <c r="A16" s="23">
        <v>2021</v>
      </c>
      <c r="B16" s="1088">
        <f t="shared" si="0"/>
        <v>5</v>
      </c>
      <c r="C16" s="1088">
        <f t="shared" si="0"/>
        <v>79</v>
      </c>
      <c r="D16" s="1088">
        <f t="shared" si="0"/>
        <v>77</v>
      </c>
      <c r="E16" s="1088">
        <f t="shared" si="0"/>
        <v>39</v>
      </c>
      <c r="F16" s="1306">
        <f t="shared" si="1"/>
        <v>3</v>
      </c>
      <c r="G16" s="1088">
        <f t="shared" si="1"/>
        <v>48</v>
      </c>
      <c r="H16" s="1088">
        <f t="shared" si="1"/>
        <v>49</v>
      </c>
      <c r="I16" s="1307">
        <f t="shared" si="1"/>
        <v>29</v>
      </c>
      <c r="J16" s="1088">
        <v>1</v>
      </c>
      <c r="K16" s="1088">
        <v>36</v>
      </c>
      <c r="L16" s="1088">
        <v>33</v>
      </c>
      <c r="M16" s="1088">
        <v>13</v>
      </c>
      <c r="N16" s="1088">
        <v>1</v>
      </c>
      <c r="O16" s="1088">
        <v>6</v>
      </c>
      <c r="P16" s="1088">
        <v>8</v>
      </c>
      <c r="Q16" s="1088">
        <v>8</v>
      </c>
      <c r="R16" s="1088">
        <v>1</v>
      </c>
      <c r="S16" s="1088">
        <v>6</v>
      </c>
      <c r="T16" s="1088">
        <v>8</v>
      </c>
      <c r="U16" s="1088">
        <v>8</v>
      </c>
      <c r="V16" s="35">
        <v>0</v>
      </c>
      <c r="W16" s="35">
        <v>0</v>
      </c>
      <c r="X16" s="35">
        <v>0</v>
      </c>
      <c r="Y16" s="35">
        <v>0</v>
      </c>
      <c r="Z16" s="1088">
        <v>2</v>
      </c>
      <c r="AA16" s="1088">
        <v>31</v>
      </c>
      <c r="AB16" s="1088">
        <v>28</v>
      </c>
      <c r="AC16" s="1088">
        <v>10</v>
      </c>
      <c r="AD16" s="1088">
        <v>0</v>
      </c>
      <c r="AE16" s="1088">
        <v>0</v>
      </c>
      <c r="AF16" s="1088">
        <v>0</v>
      </c>
      <c r="AG16" s="1090">
        <v>0</v>
      </c>
      <c r="AH16" s="1088">
        <v>1</v>
      </c>
      <c r="AI16" s="1088">
        <v>19</v>
      </c>
      <c r="AJ16" s="1088">
        <v>20</v>
      </c>
      <c r="AK16" s="1088">
        <v>6</v>
      </c>
      <c r="AL16" s="1088">
        <v>1</v>
      </c>
      <c r="AM16" s="1088">
        <v>12</v>
      </c>
      <c r="AN16" s="1088">
        <v>8</v>
      </c>
      <c r="AO16" s="1088">
        <v>4</v>
      </c>
      <c r="AP16" s="1088">
        <v>0</v>
      </c>
      <c r="AQ16" s="1088">
        <v>0</v>
      </c>
      <c r="AR16" s="1088">
        <v>0</v>
      </c>
      <c r="AS16" s="1088">
        <v>0</v>
      </c>
    </row>
    <row r="17" spans="1:45" s="1091" customFormat="1" ht="22.5" customHeight="1">
      <c r="A17" s="23">
        <v>2022</v>
      </c>
      <c r="B17" s="1088">
        <f t="shared" si="0"/>
        <v>5</v>
      </c>
      <c r="C17" s="1088">
        <f t="shared" si="0"/>
        <v>69</v>
      </c>
      <c r="D17" s="1088">
        <f t="shared" si="0"/>
        <v>67</v>
      </c>
      <c r="E17" s="1088">
        <f t="shared" si="0"/>
        <v>35</v>
      </c>
      <c r="F17" s="1306">
        <f t="shared" si="1"/>
        <v>3</v>
      </c>
      <c r="G17" s="1088">
        <f t="shared" si="1"/>
        <v>40</v>
      </c>
      <c r="H17" s="1088">
        <f t="shared" si="1"/>
        <v>44</v>
      </c>
      <c r="I17" s="1307">
        <f t="shared" si="1"/>
        <v>25</v>
      </c>
      <c r="J17" s="1088">
        <v>1</v>
      </c>
      <c r="K17" s="1088">
        <v>32</v>
      </c>
      <c r="L17" s="1088">
        <v>40</v>
      </c>
      <c r="M17" s="1088">
        <v>5</v>
      </c>
      <c r="N17" s="1088">
        <v>1</v>
      </c>
      <c r="O17" s="1088">
        <v>4</v>
      </c>
      <c r="P17" s="1088">
        <v>2</v>
      </c>
      <c r="Q17" s="1088">
        <v>10</v>
      </c>
      <c r="R17" s="1088">
        <v>1</v>
      </c>
      <c r="S17" s="1088">
        <v>4</v>
      </c>
      <c r="T17" s="1088">
        <v>2</v>
      </c>
      <c r="U17" s="1088">
        <v>10</v>
      </c>
      <c r="V17" s="35">
        <v>0</v>
      </c>
      <c r="W17" s="35">
        <v>0</v>
      </c>
      <c r="X17" s="35">
        <v>0</v>
      </c>
      <c r="Y17" s="35">
        <v>0</v>
      </c>
      <c r="Z17" s="1088">
        <v>2</v>
      </c>
      <c r="AA17" s="1088">
        <v>29</v>
      </c>
      <c r="AB17" s="1088">
        <v>23</v>
      </c>
      <c r="AC17" s="1088">
        <v>10</v>
      </c>
      <c r="AD17" s="1088">
        <v>0</v>
      </c>
      <c r="AE17" s="1088">
        <v>0</v>
      </c>
      <c r="AF17" s="1088">
        <v>0</v>
      </c>
      <c r="AG17" s="1090">
        <v>0</v>
      </c>
      <c r="AH17" s="1088">
        <v>1</v>
      </c>
      <c r="AI17" s="1088">
        <v>16</v>
      </c>
      <c r="AJ17" s="1088">
        <v>14</v>
      </c>
      <c r="AK17" s="1088">
        <v>6</v>
      </c>
      <c r="AL17" s="1088">
        <v>1</v>
      </c>
      <c r="AM17" s="1088">
        <v>16</v>
      </c>
      <c r="AN17" s="1088">
        <v>9</v>
      </c>
      <c r="AO17" s="1088">
        <v>4</v>
      </c>
      <c r="AP17" s="1088">
        <v>0</v>
      </c>
      <c r="AQ17" s="1088">
        <v>0</v>
      </c>
      <c r="AR17" s="1088">
        <v>0</v>
      </c>
      <c r="AS17" s="1088">
        <v>0</v>
      </c>
    </row>
    <row r="18" spans="1:45" s="1091" customFormat="1" ht="22.5" customHeight="1">
      <c r="A18" s="23">
        <v>2023</v>
      </c>
      <c r="B18" s="1088">
        <f t="shared" si="0"/>
        <v>5</v>
      </c>
      <c r="C18" s="1088">
        <f t="shared" si="0"/>
        <v>65</v>
      </c>
      <c r="D18" s="1088">
        <f t="shared" si="0"/>
        <v>46</v>
      </c>
      <c r="E18" s="1088">
        <f t="shared" si="0"/>
        <v>42</v>
      </c>
      <c r="F18" s="1306">
        <f t="shared" si="1"/>
        <v>3</v>
      </c>
      <c r="G18" s="1088">
        <f t="shared" si="1"/>
        <v>38</v>
      </c>
      <c r="H18" s="1088">
        <f t="shared" si="1"/>
        <v>21</v>
      </c>
      <c r="I18" s="1307">
        <f t="shared" si="1"/>
        <v>32</v>
      </c>
      <c r="J18" s="1088">
        <v>1</v>
      </c>
      <c r="K18" s="1088">
        <v>24</v>
      </c>
      <c r="L18" s="1088">
        <v>21</v>
      </c>
      <c r="M18" s="1088">
        <v>8</v>
      </c>
      <c r="N18" s="1088">
        <v>1</v>
      </c>
      <c r="O18" s="1088">
        <v>2</v>
      </c>
      <c r="P18" s="1088">
        <v>0</v>
      </c>
      <c r="Q18" s="1088">
        <v>12</v>
      </c>
      <c r="R18" s="1088">
        <v>1</v>
      </c>
      <c r="S18" s="1088">
        <v>12</v>
      </c>
      <c r="T18" s="1088">
        <v>0</v>
      </c>
      <c r="U18" s="1088">
        <v>12</v>
      </c>
      <c r="V18" s="35">
        <v>0</v>
      </c>
      <c r="W18" s="35">
        <v>0</v>
      </c>
      <c r="X18" s="35">
        <v>0</v>
      </c>
      <c r="Y18" s="35">
        <v>0</v>
      </c>
      <c r="Z18" s="1088">
        <v>2</v>
      </c>
      <c r="AA18" s="1088">
        <v>27</v>
      </c>
      <c r="AB18" s="1088">
        <v>25</v>
      </c>
      <c r="AC18" s="1088">
        <v>10</v>
      </c>
      <c r="AD18" s="1088">
        <v>0</v>
      </c>
      <c r="AE18" s="1088">
        <v>0</v>
      </c>
      <c r="AF18" s="1088">
        <v>0</v>
      </c>
      <c r="AG18" s="1090">
        <v>0</v>
      </c>
      <c r="AH18" s="1088">
        <v>1</v>
      </c>
      <c r="AI18" s="1088">
        <v>12</v>
      </c>
      <c r="AJ18" s="1088">
        <v>14</v>
      </c>
      <c r="AK18" s="1088">
        <v>6</v>
      </c>
      <c r="AL18" s="1088">
        <v>1</v>
      </c>
      <c r="AM18" s="1088">
        <v>15</v>
      </c>
      <c r="AN18" s="1088">
        <v>11</v>
      </c>
      <c r="AO18" s="1088">
        <v>4</v>
      </c>
      <c r="AP18" s="1088">
        <v>0</v>
      </c>
      <c r="AQ18" s="1088">
        <v>0</v>
      </c>
      <c r="AR18" s="1088">
        <v>0</v>
      </c>
      <c r="AS18" s="1088">
        <v>0</v>
      </c>
    </row>
    <row r="19" spans="1:45" s="1093" customFormat="1" ht="21" customHeight="1" thickBot="1">
      <c r="A19" s="361">
        <v>2024</v>
      </c>
      <c r="B19" s="1170">
        <f t="shared" si="0"/>
        <v>5</v>
      </c>
      <c r="C19" s="1170">
        <f t="shared" si="0"/>
        <v>67</v>
      </c>
      <c r="D19" s="1170">
        <f t="shared" si="0"/>
        <v>59</v>
      </c>
      <c r="E19" s="1170">
        <f t="shared" si="0"/>
        <v>32</v>
      </c>
      <c r="F19" s="1308">
        <f>J19+N19+R19+V19</f>
        <v>2</v>
      </c>
      <c r="G19" s="1172">
        <f t="shared" si="1"/>
        <v>28</v>
      </c>
      <c r="H19" s="1172">
        <f t="shared" si="1"/>
        <v>26</v>
      </c>
      <c r="I19" s="1309">
        <f t="shared" si="1"/>
        <v>22</v>
      </c>
      <c r="J19" s="1170">
        <v>1</v>
      </c>
      <c r="K19" s="1170">
        <v>26</v>
      </c>
      <c r="L19" s="1170">
        <v>20</v>
      </c>
      <c r="M19" s="1170">
        <v>14</v>
      </c>
      <c r="N19" s="1170">
        <v>1</v>
      </c>
      <c r="O19" s="1170">
        <v>2</v>
      </c>
      <c r="P19" s="1170">
        <v>6</v>
      </c>
      <c r="Q19" s="1170">
        <v>8</v>
      </c>
      <c r="R19" s="1170">
        <v>0</v>
      </c>
      <c r="S19" s="1170">
        <v>0</v>
      </c>
      <c r="T19" s="1170">
        <v>0</v>
      </c>
      <c r="U19" s="1170">
        <v>0</v>
      </c>
      <c r="V19" s="1170">
        <v>0</v>
      </c>
      <c r="W19" s="1171">
        <v>0</v>
      </c>
      <c r="X19" s="1171">
        <v>0</v>
      </c>
      <c r="Y19" s="1171">
        <v>0</v>
      </c>
      <c r="Z19" s="1172">
        <f>AD19+AH19+AL19+AP19</f>
        <v>3</v>
      </c>
      <c r="AA19" s="1172">
        <f>AE19+AI19+AM19+AQ19</f>
        <v>39</v>
      </c>
      <c r="AB19" s="1172">
        <f>AF19+AJ19+AN19+AR19</f>
        <v>33</v>
      </c>
      <c r="AC19" s="1172">
        <f>AG19+AK19+AO19+AS19</f>
        <v>10</v>
      </c>
      <c r="AD19" s="1172">
        <v>0</v>
      </c>
      <c r="AE19" s="1172">
        <v>0</v>
      </c>
      <c r="AF19" s="1172">
        <v>0</v>
      </c>
      <c r="AG19" s="1172">
        <v>0</v>
      </c>
      <c r="AH19" s="1172">
        <v>1</v>
      </c>
      <c r="AI19" s="1172">
        <v>16</v>
      </c>
      <c r="AJ19" s="1173">
        <v>11</v>
      </c>
      <c r="AK19" s="1173">
        <v>0</v>
      </c>
      <c r="AL19" s="1173">
        <v>1</v>
      </c>
      <c r="AM19" s="1173">
        <v>11</v>
      </c>
      <c r="AN19" s="1173">
        <v>5</v>
      </c>
      <c r="AO19" s="1173">
        <v>6</v>
      </c>
      <c r="AP19" s="1170">
        <v>1</v>
      </c>
      <c r="AQ19" s="1170">
        <v>12</v>
      </c>
      <c r="AR19" s="1170">
        <v>17</v>
      </c>
      <c r="AS19" s="1170">
        <v>4</v>
      </c>
    </row>
    <row r="20" spans="1:45" s="1299" customFormat="1" ht="15.75" customHeight="1">
      <c r="A20" s="1362" t="s">
        <v>1771</v>
      </c>
      <c r="B20" s="1362"/>
      <c r="C20" s="1362"/>
      <c r="D20" s="1362"/>
      <c r="E20" s="1362"/>
      <c r="F20" s="1362"/>
      <c r="G20" s="1362"/>
      <c r="H20" s="1362"/>
      <c r="I20" s="1362"/>
      <c r="J20" s="1297"/>
      <c r="K20" s="1297"/>
      <c r="L20" s="1298"/>
      <c r="M20" s="1298"/>
      <c r="N20" s="1298"/>
      <c r="O20" s="1298"/>
      <c r="P20" s="1298"/>
      <c r="Q20" s="1298"/>
      <c r="V20" s="1298"/>
      <c r="W20" s="1298"/>
      <c r="X20" s="1298"/>
      <c r="Y20" s="1298"/>
      <c r="Z20" s="1298"/>
      <c r="AA20" s="1298"/>
      <c r="AB20" s="1297"/>
      <c r="AC20" s="1297"/>
      <c r="AD20" s="1298"/>
      <c r="AE20" s="1298"/>
      <c r="AF20" s="1298"/>
      <c r="AG20" s="1298"/>
      <c r="AH20" s="1298"/>
      <c r="AI20" s="1298"/>
    </row>
    <row r="21" spans="1:45" s="1299" customFormat="1" ht="15.75" customHeight="1">
      <c r="A21" s="1196" t="s">
        <v>1169</v>
      </c>
      <c r="B21" s="1196"/>
      <c r="C21" s="1196"/>
      <c r="D21" s="1196"/>
      <c r="E21" s="1196"/>
      <c r="F21" s="1196"/>
      <c r="G21" s="1196"/>
      <c r="H21" s="1196"/>
      <c r="I21" s="1196"/>
      <c r="J21" s="1297"/>
      <c r="K21" s="1297"/>
      <c r="L21" s="1298"/>
      <c r="M21" s="1298"/>
      <c r="N21" s="1298"/>
      <c r="O21" s="1298"/>
      <c r="P21" s="1298"/>
      <c r="Q21" s="1298"/>
      <c r="V21" s="1298"/>
      <c r="W21" s="1298"/>
      <c r="X21" s="1298"/>
      <c r="Y21" s="1298"/>
      <c r="Z21" s="1298"/>
      <c r="AA21" s="1298"/>
      <c r="AB21" s="1297"/>
      <c r="AC21" s="1297"/>
      <c r="AD21" s="1298"/>
      <c r="AE21" s="1298"/>
      <c r="AF21" s="1298"/>
      <c r="AG21" s="1298"/>
      <c r="AH21" s="1298"/>
      <c r="AI21" s="1298"/>
    </row>
    <row r="22" spans="1:45" s="1299" customFormat="1" ht="15.75" customHeight="1">
      <c r="A22" s="1196" t="s">
        <v>1170</v>
      </c>
      <c r="B22" s="1196"/>
      <c r="C22" s="1196"/>
      <c r="D22" s="1196"/>
      <c r="E22" s="1196"/>
      <c r="F22" s="1196"/>
      <c r="G22" s="1196"/>
      <c r="H22" s="1196"/>
      <c r="I22" s="1196"/>
      <c r="J22" s="1297"/>
      <c r="K22" s="1297"/>
      <c r="L22" s="1298"/>
      <c r="M22" s="1298"/>
      <c r="N22" s="1298"/>
      <c r="O22" s="1298"/>
      <c r="P22" s="1298"/>
      <c r="Q22" s="1298"/>
      <c r="V22" s="1298"/>
      <c r="W22" s="1298"/>
      <c r="X22" s="1298"/>
      <c r="Y22" s="1298"/>
      <c r="Z22" s="1298"/>
      <c r="AA22" s="1298"/>
      <c r="AB22" s="1297"/>
      <c r="AC22" s="1297"/>
      <c r="AD22" s="1298"/>
      <c r="AE22" s="1298"/>
      <c r="AF22" s="1298"/>
      <c r="AG22" s="1298"/>
      <c r="AH22" s="1298"/>
      <c r="AI22" s="1298"/>
    </row>
    <row r="23" spans="1:45" s="1303" customFormat="1" ht="15" customHeight="1">
      <c r="A23" s="1610" t="s">
        <v>1856</v>
      </c>
      <c r="B23" s="1610"/>
      <c r="C23" s="1610"/>
      <c r="D23" s="1610"/>
      <c r="E23" s="1610"/>
      <c r="F23" s="1610"/>
      <c r="G23" s="1610"/>
      <c r="H23" s="1610"/>
      <c r="I23" s="1610"/>
      <c r="J23" s="1610"/>
      <c r="K23" s="1610"/>
      <c r="L23" s="1610"/>
      <c r="M23" s="1610"/>
      <c r="N23" s="1610"/>
      <c r="O23" s="1610"/>
      <c r="P23" s="1610"/>
      <c r="Q23" s="1300"/>
      <c r="R23" s="1300"/>
      <c r="S23" s="1300"/>
      <c r="T23" s="1300"/>
      <c r="U23" s="1300"/>
      <c r="V23" s="1300"/>
      <c r="W23" s="1300"/>
      <c r="X23" s="1300"/>
      <c r="Y23" s="1300"/>
      <c r="Z23" s="1301"/>
      <c r="AA23" s="1301"/>
      <c r="AB23" s="1301"/>
      <c r="AC23" s="1301"/>
      <c r="AD23" s="1301"/>
      <c r="AE23" s="1301"/>
      <c r="AF23" s="1301"/>
      <c r="AG23" s="1301"/>
      <c r="AH23" s="1301"/>
      <c r="AI23" s="1301"/>
      <c r="AJ23" s="1301"/>
      <c r="AK23" s="1301"/>
      <c r="AL23" s="1301"/>
      <c r="AM23" s="1301"/>
      <c r="AN23" s="1301"/>
      <c r="AO23" s="1302"/>
      <c r="AP23" s="1302"/>
      <c r="AQ23" s="1302"/>
      <c r="AR23" s="1302"/>
      <c r="AS23" s="1302"/>
    </row>
    <row r="24" spans="1:45" s="1303" customFormat="1" ht="12" customHeight="1">
      <c r="A24" s="1304"/>
      <c r="B24" s="1305"/>
      <c r="C24" s="1305"/>
      <c r="D24" s="1305"/>
      <c r="E24" s="1305"/>
      <c r="J24" s="1300"/>
      <c r="K24" s="1300"/>
      <c r="L24" s="1300"/>
      <c r="M24" s="1300"/>
      <c r="Z24" s="1305"/>
      <c r="AA24" s="1305"/>
      <c r="AB24" s="1305"/>
      <c r="AC24" s="1305"/>
      <c r="AH24" s="1300"/>
      <c r="AI24" s="1300"/>
      <c r="AJ24" s="1300"/>
      <c r="AK24" s="1300"/>
      <c r="AP24" s="1302"/>
      <c r="AQ24" s="1302"/>
      <c r="AR24" s="1302"/>
      <c r="AS24" s="1302"/>
    </row>
  </sheetData>
  <sheetProtection selectLockedCells="1"/>
  <mergeCells count="31">
    <mergeCell ref="A20:I20"/>
    <mergeCell ref="A23:P23"/>
    <mergeCell ref="B7:E7"/>
    <mergeCell ref="F7:I7"/>
    <mergeCell ref="J7:M7"/>
    <mergeCell ref="N7:Q7"/>
    <mergeCell ref="J8:M8"/>
    <mergeCell ref="F8:I8"/>
    <mergeCell ref="N8:Q8"/>
    <mergeCell ref="A1:I1"/>
    <mergeCell ref="A2:Y2"/>
    <mergeCell ref="A3:Y3"/>
    <mergeCell ref="B6:E6"/>
    <mergeCell ref="Z6:AI6"/>
    <mergeCell ref="Z2:AS2"/>
    <mergeCell ref="Z3:AS3"/>
    <mergeCell ref="AJ6:AS6"/>
    <mergeCell ref="F6:Q6"/>
    <mergeCell ref="R6:Y6"/>
    <mergeCell ref="R8:U8"/>
    <mergeCell ref="AL8:AO8"/>
    <mergeCell ref="AH8:AK8"/>
    <mergeCell ref="AP7:AS7"/>
    <mergeCell ref="AP8:AS8"/>
    <mergeCell ref="AD8:AG8"/>
    <mergeCell ref="Z8:AC8"/>
    <mergeCell ref="V8:Y8"/>
    <mergeCell ref="Z7:AC7"/>
    <mergeCell ref="AL7:AO7"/>
    <mergeCell ref="R7:U7"/>
    <mergeCell ref="V7:Y7"/>
  </mergeCells>
  <phoneticPr fontId="3" type="noConversion"/>
  <printOptions horizontalCentered="1"/>
  <pageMargins left="0.39370078740157483" right="0.39370078740157483" top="0.55118110236220474" bottom="0.55118110236220474" header="0.51181102362204722" footer="0.51181102362204722"/>
  <pageSetup paperSize="9" scale="56" pageOrder="overThenDown" orientation="landscape" blackAndWhite="1" r:id="rId1"/>
  <headerFooter alignWithMargins="0"/>
  <colBreaks count="1" manualBreakCount="1">
    <brk id="25" max="22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4F81BD"/>
  </sheetPr>
  <dimension ref="A1:AJ21"/>
  <sheetViews>
    <sheetView view="pageBreakPreview" topLeftCell="M1" zoomScaleNormal="100" zoomScaleSheetLayoutView="100" workbookViewId="0">
      <selection activeCell="M24" sqref="M24"/>
    </sheetView>
  </sheetViews>
  <sheetFormatPr defaultRowHeight="16.5"/>
  <cols>
    <col min="1" max="1" width="9" style="518"/>
    <col min="2" max="2" width="9.625" style="518" customWidth="1"/>
    <col min="3" max="5" width="9" style="518"/>
    <col min="6" max="6" width="9.625" style="518" customWidth="1"/>
    <col min="7" max="7" width="9" style="518"/>
    <col min="8" max="8" width="9.75" style="518" customWidth="1"/>
    <col min="9" max="9" width="9" style="518"/>
    <col min="10" max="10" width="10.25" style="518" customWidth="1"/>
    <col min="11" max="11" width="9.875" style="518" customWidth="1"/>
    <col min="12" max="16" width="12.125" style="518" customWidth="1"/>
    <col min="17" max="16384" width="9" style="518"/>
  </cols>
  <sheetData>
    <row r="1" spans="1:36" s="619" customFormat="1" ht="22.5" customHeight="1">
      <c r="A1" s="829" t="s">
        <v>1494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518"/>
      <c r="M1" s="518"/>
      <c r="N1" s="518"/>
      <c r="O1" s="16" t="s">
        <v>844</v>
      </c>
      <c r="P1" s="518"/>
      <c r="Q1" s="829" t="s">
        <v>1494</v>
      </c>
      <c r="AH1" s="16" t="s">
        <v>844</v>
      </c>
    </row>
    <row r="2" spans="1:36" s="620" customFormat="1" ht="24.95" customHeight="1">
      <c r="A2" s="1614" t="s">
        <v>1171</v>
      </c>
      <c r="B2" s="1614"/>
      <c r="C2" s="1614"/>
      <c r="D2" s="1614"/>
      <c r="E2" s="1614"/>
      <c r="F2" s="1614"/>
      <c r="G2" s="1614"/>
      <c r="H2" s="1614"/>
      <c r="I2" s="1614"/>
      <c r="J2" s="1614"/>
      <c r="K2" s="1614"/>
      <c r="L2" s="1614"/>
      <c r="M2" s="1614"/>
      <c r="N2" s="1614"/>
      <c r="O2" s="1614"/>
      <c r="P2" s="1614"/>
      <c r="Q2" s="1614" t="s">
        <v>1596</v>
      </c>
      <c r="R2" s="1614"/>
      <c r="S2" s="1614"/>
      <c r="T2" s="1614"/>
      <c r="U2" s="1614"/>
      <c r="V2" s="1614"/>
      <c r="W2" s="1614"/>
      <c r="X2" s="1614"/>
      <c r="Y2" s="1614"/>
      <c r="Z2" s="1614"/>
      <c r="AA2" s="1614"/>
      <c r="AB2" s="1614"/>
      <c r="AC2" s="1614"/>
      <c r="AD2" s="1614"/>
      <c r="AE2" s="1614"/>
      <c r="AF2" s="1614"/>
      <c r="AG2" s="1614"/>
      <c r="AH2" s="1614"/>
      <c r="AI2" s="1614"/>
      <c r="AJ2" s="1614"/>
    </row>
    <row r="3" spans="1:36" s="620" customFormat="1" ht="24.95" customHeight="1">
      <c r="A3" s="1615" t="s">
        <v>1188</v>
      </c>
      <c r="B3" s="1615"/>
      <c r="C3" s="1615"/>
      <c r="D3" s="1615"/>
      <c r="E3" s="1615"/>
      <c r="F3" s="1615"/>
      <c r="G3" s="1615"/>
      <c r="H3" s="1615"/>
      <c r="I3" s="1615"/>
      <c r="J3" s="1615"/>
      <c r="K3" s="1615"/>
      <c r="L3" s="1615"/>
      <c r="M3" s="1615"/>
      <c r="N3" s="1615"/>
      <c r="O3" s="1615"/>
      <c r="P3" s="1615"/>
      <c r="Q3" s="1615" t="s">
        <v>1597</v>
      </c>
      <c r="R3" s="1615"/>
      <c r="S3" s="1615"/>
      <c r="T3" s="1615"/>
      <c r="U3" s="1615"/>
      <c r="V3" s="1615"/>
      <c r="W3" s="1615"/>
      <c r="X3" s="1615"/>
      <c r="Y3" s="1615"/>
      <c r="Z3" s="1615"/>
      <c r="AA3" s="1615"/>
      <c r="AB3" s="1615"/>
      <c r="AC3" s="1615"/>
      <c r="AD3" s="1615"/>
      <c r="AE3" s="1615"/>
      <c r="AF3" s="1615"/>
      <c r="AG3" s="1615"/>
      <c r="AH3" s="1615"/>
      <c r="AI3" s="1615"/>
      <c r="AJ3" s="1615"/>
    </row>
    <row r="4" spans="1:36" s="620" customFormat="1" ht="9.9499999999999993" customHeight="1">
      <c r="A4" s="789"/>
      <c r="B4" s="789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</row>
    <row r="5" spans="1:36" s="620" customFormat="1" ht="15" customHeight="1" thickBot="1">
      <c r="A5" s="621" t="s">
        <v>703</v>
      </c>
      <c r="B5" s="622"/>
      <c r="C5" s="622"/>
      <c r="D5" s="622"/>
      <c r="E5" s="622"/>
      <c r="F5" s="622"/>
      <c r="G5" s="619"/>
      <c r="H5" s="619"/>
      <c r="I5" s="619"/>
      <c r="J5" s="619" t="s">
        <v>2</v>
      </c>
      <c r="K5" s="619"/>
      <c r="L5" s="619"/>
      <c r="M5" s="619"/>
      <c r="N5" s="619"/>
      <c r="O5" s="619"/>
      <c r="P5" s="623" t="s">
        <v>1175</v>
      </c>
      <c r="Q5" s="621" t="s">
        <v>703</v>
      </c>
      <c r="AJ5" s="623" t="s">
        <v>1175</v>
      </c>
    </row>
    <row r="6" spans="1:36" s="620" customFormat="1" ht="15" customHeight="1">
      <c r="A6" s="624" t="s">
        <v>704</v>
      </c>
      <c r="B6" s="1618" t="s">
        <v>705</v>
      </c>
      <c r="C6" s="1619"/>
      <c r="D6" s="1619"/>
      <c r="E6" s="1619"/>
      <c r="F6" s="1619"/>
      <c r="G6" s="1619"/>
      <c r="H6" s="1620" t="s">
        <v>1178</v>
      </c>
      <c r="I6" s="1620"/>
      <c r="J6" s="1620"/>
      <c r="K6" s="1621"/>
      <c r="L6" s="1616" t="s">
        <v>1371</v>
      </c>
      <c r="M6" s="1617"/>
      <c r="N6" s="1617"/>
      <c r="O6" s="1617"/>
      <c r="P6" s="1617"/>
      <c r="Q6" s="1617"/>
      <c r="R6" s="1617"/>
      <c r="S6" s="1617"/>
      <c r="T6" s="1617"/>
      <c r="U6" s="1617"/>
      <c r="V6" s="1617"/>
      <c r="W6" s="1617"/>
      <c r="X6" s="1617"/>
      <c r="Y6" s="1617"/>
      <c r="Z6" s="1617"/>
      <c r="AA6" s="1617"/>
      <c r="AB6" s="1617"/>
      <c r="AC6" s="1617"/>
      <c r="AD6" s="1617"/>
      <c r="AE6" s="1617"/>
      <c r="AF6" s="1617"/>
      <c r="AG6" s="1617"/>
      <c r="AH6" s="1617"/>
      <c r="AI6" s="1617"/>
      <c r="AJ6" s="1617"/>
    </row>
    <row r="7" spans="1:36" s="620" customFormat="1" ht="15" customHeight="1">
      <c r="A7" s="625"/>
      <c r="B7" s="1624" t="s">
        <v>612</v>
      </c>
      <c r="C7" s="1624"/>
      <c r="D7" s="1625" t="s">
        <v>1495</v>
      </c>
      <c r="E7" s="1626"/>
      <c r="F7" s="626" t="s">
        <v>706</v>
      </c>
      <c r="G7" s="626"/>
      <c r="H7" s="626" t="s">
        <v>1496</v>
      </c>
      <c r="I7" s="626"/>
      <c r="J7" s="626" t="s">
        <v>1497</v>
      </c>
      <c r="K7" s="627"/>
      <c r="L7" s="1632" t="s">
        <v>1498</v>
      </c>
      <c r="M7" s="1633"/>
      <c r="N7" s="1633"/>
      <c r="O7" s="1633"/>
      <c r="P7" s="1633"/>
      <c r="Q7" s="1628" t="s">
        <v>1499</v>
      </c>
      <c r="R7" s="1628"/>
      <c r="S7" s="1628"/>
      <c r="T7" s="1628"/>
      <c r="U7" s="1628"/>
      <c r="V7" s="1628" t="s">
        <v>1500</v>
      </c>
      <c r="W7" s="1628"/>
      <c r="X7" s="1628"/>
      <c r="Y7" s="1628"/>
      <c r="Z7" s="1628"/>
      <c r="AA7" s="1628" t="s">
        <v>1445</v>
      </c>
      <c r="AB7" s="1628"/>
      <c r="AC7" s="1628"/>
      <c r="AD7" s="1628"/>
      <c r="AE7" s="1628"/>
      <c r="AF7" s="1628" t="s">
        <v>1501</v>
      </c>
      <c r="AG7" s="1628"/>
      <c r="AH7" s="1628"/>
      <c r="AI7" s="1628"/>
      <c r="AJ7" s="1630"/>
    </row>
    <row r="8" spans="1:36" s="620" customFormat="1" ht="23.25" customHeight="1">
      <c r="A8" s="628"/>
      <c r="B8" s="1622" t="s">
        <v>707</v>
      </c>
      <c r="C8" s="1622"/>
      <c r="D8" s="1623" t="s">
        <v>1182</v>
      </c>
      <c r="E8" s="1627"/>
      <c r="F8" s="629" t="s">
        <v>708</v>
      </c>
      <c r="G8" s="629"/>
      <c r="H8" s="629" t="s">
        <v>709</v>
      </c>
      <c r="I8" s="629"/>
      <c r="J8" s="1622" t="s">
        <v>1179</v>
      </c>
      <c r="K8" s="1623"/>
      <c r="L8" s="1622"/>
      <c r="M8" s="1622"/>
      <c r="N8" s="1622"/>
      <c r="O8" s="1622"/>
      <c r="P8" s="1622"/>
      <c r="Q8" s="1629"/>
      <c r="R8" s="1629"/>
      <c r="S8" s="1629"/>
      <c r="T8" s="1629"/>
      <c r="U8" s="1629"/>
      <c r="V8" s="1629"/>
      <c r="W8" s="1629"/>
      <c r="X8" s="1629"/>
      <c r="Y8" s="1629"/>
      <c r="Z8" s="1629"/>
      <c r="AA8" s="1629"/>
      <c r="AB8" s="1629"/>
      <c r="AC8" s="1629"/>
      <c r="AD8" s="1629"/>
      <c r="AE8" s="1629"/>
      <c r="AF8" s="1629"/>
      <c r="AG8" s="1629"/>
      <c r="AH8" s="1629"/>
      <c r="AI8" s="1629"/>
      <c r="AJ8" s="1631"/>
    </row>
    <row r="9" spans="1:36" s="620" customFormat="1" ht="15" customHeight="1">
      <c r="A9" s="625"/>
      <c r="B9" s="630" t="s">
        <v>710</v>
      </c>
      <c r="C9" s="630" t="s">
        <v>712</v>
      </c>
      <c r="D9" s="630" t="s">
        <v>1183</v>
      </c>
      <c r="E9" s="630" t="s">
        <v>1184</v>
      </c>
      <c r="F9" s="630" t="s">
        <v>710</v>
      </c>
      <c r="G9" s="630" t="s">
        <v>711</v>
      </c>
      <c r="H9" s="630" t="s">
        <v>710</v>
      </c>
      <c r="I9" s="630" t="s">
        <v>711</v>
      </c>
      <c r="J9" s="630" t="s">
        <v>710</v>
      </c>
      <c r="K9" s="630" t="s">
        <v>711</v>
      </c>
      <c r="L9" s="631" t="s">
        <v>713</v>
      </c>
      <c r="M9" s="631" t="s">
        <v>1181</v>
      </c>
      <c r="N9" s="631" t="s">
        <v>714</v>
      </c>
      <c r="O9" s="631" t="s">
        <v>715</v>
      </c>
      <c r="P9" s="631" t="s">
        <v>716</v>
      </c>
      <c r="Q9" s="631" t="s">
        <v>1372</v>
      </c>
      <c r="R9" s="631" t="s">
        <v>1387</v>
      </c>
      <c r="S9" s="631" t="s">
        <v>1376</v>
      </c>
      <c r="T9" s="631" t="s">
        <v>1377</v>
      </c>
      <c r="U9" s="631" t="s">
        <v>1378</v>
      </c>
      <c r="V9" s="631" t="s">
        <v>1372</v>
      </c>
      <c r="W9" s="631" t="s">
        <v>1387</v>
      </c>
      <c r="X9" s="631" t="s">
        <v>1373</v>
      </c>
      <c r="Y9" s="631" t="s">
        <v>1388</v>
      </c>
      <c r="Z9" s="631" t="s">
        <v>1389</v>
      </c>
      <c r="AA9" s="631" t="s">
        <v>1390</v>
      </c>
      <c r="AB9" s="631" t="s">
        <v>1387</v>
      </c>
      <c r="AC9" s="632" t="s">
        <v>1391</v>
      </c>
      <c r="AD9" s="633" t="s">
        <v>1388</v>
      </c>
      <c r="AE9" s="631" t="s">
        <v>1389</v>
      </c>
      <c r="AF9" s="631" t="s">
        <v>1390</v>
      </c>
      <c r="AG9" s="631" t="s">
        <v>1387</v>
      </c>
      <c r="AH9" s="631" t="s">
        <v>1391</v>
      </c>
      <c r="AI9" s="631" t="s">
        <v>715</v>
      </c>
      <c r="AJ9" s="632" t="s">
        <v>1389</v>
      </c>
    </row>
    <row r="10" spans="1:36" s="520" customFormat="1">
      <c r="A10" s="625"/>
      <c r="B10" s="634" t="s">
        <v>687</v>
      </c>
      <c r="C10" s="634" t="s">
        <v>1144</v>
      </c>
      <c r="D10" s="634" t="s">
        <v>1185</v>
      </c>
      <c r="E10" s="634" t="s">
        <v>1144</v>
      </c>
      <c r="F10" s="634" t="s">
        <v>398</v>
      </c>
      <c r="G10" s="634" t="s">
        <v>1144</v>
      </c>
      <c r="H10" s="634" t="s">
        <v>398</v>
      </c>
      <c r="I10" s="634" t="s">
        <v>1144</v>
      </c>
      <c r="J10" s="634" t="s">
        <v>398</v>
      </c>
      <c r="K10" s="634" t="s">
        <v>1144</v>
      </c>
      <c r="L10" s="630" t="s">
        <v>717</v>
      </c>
      <c r="M10" s="630" t="s">
        <v>1180</v>
      </c>
      <c r="N10" s="630"/>
      <c r="O10" s="630" t="s">
        <v>718</v>
      </c>
      <c r="P10" s="630"/>
      <c r="Q10" s="630" t="s">
        <v>1379</v>
      </c>
      <c r="R10" s="630" t="s">
        <v>1380</v>
      </c>
      <c r="S10" s="630" t="s">
        <v>1381</v>
      </c>
      <c r="T10" s="630" t="s">
        <v>1382</v>
      </c>
      <c r="U10" s="630"/>
      <c r="V10" s="630" t="s">
        <v>1392</v>
      </c>
      <c r="W10" s="630" t="s">
        <v>1393</v>
      </c>
      <c r="X10" s="630" t="s">
        <v>1394</v>
      </c>
      <c r="Y10" s="630" t="s">
        <v>1395</v>
      </c>
      <c r="Z10" s="630"/>
      <c r="AA10" s="630" t="s">
        <v>1392</v>
      </c>
      <c r="AB10" s="630" t="s">
        <v>1393</v>
      </c>
      <c r="AC10" s="635" t="s">
        <v>1394</v>
      </c>
      <c r="AD10" s="625" t="s">
        <v>1395</v>
      </c>
      <c r="AE10" s="630"/>
      <c r="AF10" s="630" t="s">
        <v>1392</v>
      </c>
      <c r="AG10" s="630" t="s">
        <v>1396</v>
      </c>
      <c r="AH10" s="630" t="s">
        <v>1394</v>
      </c>
      <c r="AI10" s="630" t="s">
        <v>1395</v>
      </c>
      <c r="AJ10" s="635"/>
    </row>
    <row r="11" spans="1:36" s="520" customFormat="1">
      <c r="A11" s="625"/>
      <c r="B11" s="634" t="s">
        <v>719</v>
      </c>
      <c r="C11" s="634" t="s">
        <v>1173</v>
      </c>
      <c r="D11" s="634" t="s">
        <v>1186</v>
      </c>
      <c r="E11" s="634" t="s">
        <v>1173</v>
      </c>
      <c r="F11" s="634" t="s">
        <v>719</v>
      </c>
      <c r="G11" s="634" t="s">
        <v>1173</v>
      </c>
      <c r="H11" s="634" t="s">
        <v>719</v>
      </c>
      <c r="I11" s="634" t="s">
        <v>1173</v>
      </c>
      <c r="J11" s="634" t="s">
        <v>719</v>
      </c>
      <c r="K11" s="634" t="s">
        <v>1173</v>
      </c>
      <c r="L11" s="634"/>
      <c r="M11" s="634"/>
      <c r="N11" s="634"/>
      <c r="O11" s="634" t="s">
        <v>1176</v>
      </c>
      <c r="P11" s="634"/>
      <c r="Q11" s="630" t="s">
        <v>1383</v>
      </c>
      <c r="R11" s="636" t="s">
        <v>1384</v>
      </c>
      <c r="S11" s="634"/>
      <c r="T11" s="634" t="s">
        <v>1449</v>
      </c>
      <c r="U11" s="634"/>
      <c r="V11" s="630" t="s">
        <v>1397</v>
      </c>
      <c r="W11" s="636" t="s">
        <v>1394</v>
      </c>
      <c r="X11" s="634"/>
      <c r="Y11" s="634" t="s">
        <v>1375</v>
      </c>
      <c r="Z11" s="634"/>
      <c r="AA11" s="630" t="s">
        <v>717</v>
      </c>
      <c r="AB11" s="636" t="s">
        <v>1374</v>
      </c>
      <c r="AC11" s="637"/>
      <c r="AD11" s="638" t="s">
        <v>1375</v>
      </c>
      <c r="AE11" s="634"/>
      <c r="AF11" s="630" t="s">
        <v>717</v>
      </c>
      <c r="AG11" s="636" t="s">
        <v>1374</v>
      </c>
      <c r="AH11" s="634"/>
      <c r="AI11" s="634" t="s">
        <v>1375</v>
      </c>
      <c r="AJ11" s="637"/>
    </row>
    <row r="12" spans="1:36" s="520" customFormat="1">
      <c r="A12" s="639"/>
      <c r="B12" s="640" t="s">
        <v>720</v>
      </c>
      <c r="C12" s="640" t="s">
        <v>1174</v>
      </c>
      <c r="D12" s="640" t="s">
        <v>1187</v>
      </c>
      <c r="E12" s="640" t="s">
        <v>1174</v>
      </c>
      <c r="F12" s="640" t="s">
        <v>720</v>
      </c>
      <c r="G12" s="640" t="s">
        <v>1174</v>
      </c>
      <c r="H12" s="640" t="s">
        <v>720</v>
      </c>
      <c r="I12" s="640" t="s">
        <v>1174</v>
      </c>
      <c r="J12" s="640" t="s">
        <v>720</v>
      </c>
      <c r="K12" s="640" t="s">
        <v>1174</v>
      </c>
      <c r="L12" s="640" t="s">
        <v>719</v>
      </c>
      <c r="M12" s="640" t="s">
        <v>721</v>
      </c>
      <c r="N12" s="640" t="s">
        <v>722</v>
      </c>
      <c r="O12" s="640" t="s">
        <v>1177</v>
      </c>
      <c r="P12" s="640" t="s">
        <v>723</v>
      </c>
      <c r="Q12" s="640" t="s">
        <v>1446</v>
      </c>
      <c r="R12" s="640" t="s">
        <v>1447</v>
      </c>
      <c r="S12" s="640" t="s">
        <v>1448</v>
      </c>
      <c r="T12" s="640" t="s">
        <v>1385</v>
      </c>
      <c r="U12" s="640" t="s">
        <v>1386</v>
      </c>
      <c r="V12" s="640" t="s">
        <v>719</v>
      </c>
      <c r="W12" s="640" t="s">
        <v>721</v>
      </c>
      <c r="X12" s="640" t="s">
        <v>722</v>
      </c>
      <c r="Y12" s="640" t="s">
        <v>407</v>
      </c>
      <c r="Z12" s="640" t="s">
        <v>310</v>
      </c>
      <c r="AA12" s="640" t="s">
        <v>719</v>
      </c>
      <c r="AB12" s="640" t="s">
        <v>721</v>
      </c>
      <c r="AC12" s="641" t="s">
        <v>1398</v>
      </c>
      <c r="AD12" s="642" t="s">
        <v>407</v>
      </c>
      <c r="AE12" s="640" t="s">
        <v>310</v>
      </c>
      <c r="AF12" s="640" t="s">
        <v>719</v>
      </c>
      <c r="AG12" s="640" t="s">
        <v>721</v>
      </c>
      <c r="AH12" s="640" t="s">
        <v>722</v>
      </c>
      <c r="AI12" s="640" t="s">
        <v>407</v>
      </c>
      <c r="AJ12" s="641" t="s">
        <v>310</v>
      </c>
    </row>
    <row r="13" spans="1:36" s="520" customFormat="1">
      <c r="A13" s="15">
        <v>2019</v>
      </c>
      <c r="B13" s="614">
        <v>2</v>
      </c>
      <c r="C13" s="614">
        <v>2936</v>
      </c>
      <c r="D13" s="614">
        <v>0</v>
      </c>
      <c r="E13" s="614">
        <v>0</v>
      </c>
      <c r="F13" s="614">
        <v>1</v>
      </c>
      <c r="G13" s="614">
        <v>1824</v>
      </c>
      <c r="H13" s="614">
        <v>0</v>
      </c>
      <c r="I13" s="614">
        <v>0</v>
      </c>
      <c r="J13" s="614">
        <v>1</v>
      </c>
      <c r="K13" s="614">
        <v>1112</v>
      </c>
      <c r="L13" s="614">
        <v>2630</v>
      </c>
      <c r="M13" s="614">
        <v>108</v>
      </c>
      <c r="N13" s="614">
        <v>0</v>
      </c>
      <c r="O13" s="614">
        <v>9</v>
      </c>
      <c r="P13" s="614">
        <v>492</v>
      </c>
      <c r="Q13" s="643" t="s">
        <v>1650</v>
      </c>
      <c r="R13" s="643" t="s">
        <v>1650</v>
      </c>
      <c r="S13" s="643" t="s">
        <v>1650</v>
      </c>
      <c r="T13" s="643" t="s">
        <v>1650</v>
      </c>
      <c r="U13" s="643" t="s">
        <v>1650</v>
      </c>
      <c r="V13" s="643" t="s">
        <v>1650</v>
      </c>
      <c r="W13" s="643" t="s">
        <v>1650</v>
      </c>
      <c r="X13" s="643" t="s">
        <v>1650</v>
      </c>
      <c r="Y13" s="643" t="s">
        <v>1650</v>
      </c>
      <c r="Z13" s="643" t="s">
        <v>1650</v>
      </c>
      <c r="AA13" s="643" t="s">
        <v>1650</v>
      </c>
      <c r="AB13" s="643" t="s">
        <v>1650</v>
      </c>
      <c r="AC13" s="643" t="s">
        <v>1650</v>
      </c>
      <c r="AD13" s="643" t="s">
        <v>1650</v>
      </c>
      <c r="AE13" s="643" t="s">
        <v>1650</v>
      </c>
      <c r="AF13" s="643" t="s">
        <v>1650</v>
      </c>
      <c r="AG13" s="643" t="s">
        <v>1650</v>
      </c>
      <c r="AH13" s="643" t="s">
        <v>1650</v>
      </c>
      <c r="AI13" s="643" t="s">
        <v>1650</v>
      </c>
      <c r="AJ13" s="643" t="s">
        <v>1650</v>
      </c>
    </row>
    <row r="14" spans="1:36" s="520" customFormat="1">
      <c r="A14" s="15">
        <v>2020</v>
      </c>
      <c r="B14" s="614">
        <v>2</v>
      </c>
      <c r="C14" s="614">
        <v>3306</v>
      </c>
      <c r="D14" s="614">
        <v>0</v>
      </c>
      <c r="E14" s="614">
        <v>0</v>
      </c>
      <c r="F14" s="614">
        <v>1</v>
      </c>
      <c r="G14" s="614">
        <v>2158</v>
      </c>
      <c r="H14" s="567">
        <v>0</v>
      </c>
      <c r="I14" s="567">
        <v>0</v>
      </c>
      <c r="J14" s="614">
        <v>1</v>
      </c>
      <c r="K14" s="614">
        <v>1148</v>
      </c>
      <c r="L14" s="614">
        <v>1742</v>
      </c>
      <c r="M14" s="614">
        <v>435</v>
      </c>
      <c r="N14" s="614">
        <v>243</v>
      </c>
      <c r="O14" s="614">
        <v>439</v>
      </c>
      <c r="P14" s="614">
        <v>106</v>
      </c>
      <c r="Q14" s="643" t="s">
        <v>1650</v>
      </c>
      <c r="R14" s="643" t="s">
        <v>1650</v>
      </c>
      <c r="S14" s="643" t="s">
        <v>1650</v>
      </c>
      <c r="T14" s="643" t="s">
        <v>1650</v>
      </c>
      <c r="U14" s="643" t="s">
        <v>1650</v>
      </c>
      <c r="V14" s="643" t="s">
        <v>1650</v>
      </c>
      <c r="W14" s="643" t="s">
        <v>1650</v>
      </c>
      <c r="X14" s="643" t="s">
        <v>1650</v>
      </c>
      <c r="Y14" s="643" t="s">
        <v>1650</v>
      </c>
      <c r="Z14" s="643" t="s">
        <v>1650</v>
      </c>
      <c r="AA14" s="643" t="s">
        <v>1715</v>
      </c>
      <c r="AB14" s="643" t="s">
        <v>1650</v>
      </c>
      <c r="AC14" s="643" t="s">
        <v>1650</v>
      </c>
      <c r="AD14" s="643" t="s">
        <v>1650</v>
      </c>
      <c r="AE14" s="643" t="s">
        <v>1650</v>
      </c>
      <c r="AF14" s="643" t="s">
        <v>1650</v>
      </c>
      <c r="AG14" s="643" t="s">
        <v>1650</v>
      </c>
      <c r="AH14" s="643" t="s">
        <v>1650</v>
      </c>
      <c r="AI14" s="643" t="s">
        <v>1650</v>
      </c>
      <c r="AJ14" s="643" t="s">
        <v>1650</v>
      </c>
    </row>
    <row r="15" spans="1:36" s="520" customFormat="1">
      <c r="A15" s="15">
        <v>2021</v>
      </c>
      <c r="B15" s="614">
        <v>3</v>
      </c>
      <c r="C15" s="614">
        <v>6500</v>
      </c>
      <c r="D15" s="614">
        <v>1</v>
      </c>
      <c r="E15" s="614">
        <v>2482</v>
      </c>
      <c r="F15" s="614">
        <v>1</v>
      </c>
      <c r="G15" s="614">
        <v>2903</v>
      </c>
      <c r="H15" s="567">
        <v>0</v>
      </c>
      <c r="I15" s="567">
        <v>0</v>
      </c>
      <c r="J15" s="614">
        <v>1</v>
      </c>
      <c r="K15" s="614">
        <v>1115</v>
      </c>
      <c r="L15" s="614">
        <v>4363</v>
      </c>
      <c r="M15" s="614">
        <v>528</v>
      </c>
      <c r="N15" s="614">
        <v>271</v>
      </c>
      <c r="O15" s="614">
        <v>123</v>
      </c>
      <c r="P15" s="614">
        <v>1672</v>
      </c>
      <c r="Q15" s="643">
        <v>1763</v>
      </c>
      <c r="R15" s="643">
        <v>30</v>
      </c>
      <c r="S15" s="643">
        <v>2</v>
      </c>
      <c r="T15" s="643">
        <v>8</v>
      </c>
      <c r="U15" s="643">
        <v>274</v>
      </c>
      <c r="V15" s="643">
        <v>2114</v>
      </c>
      <c r="W15" s="643">
        <v>202</v>
      </c>
      <c r="X15" s="643">
        <v>113</v>
      </c>
      <c r="Y15" s="643">
        <v>103</v>
      </c>
      <c r="Z15" s="643">
        <v>923</v>
      </c>
      <c r="AA15" s="643">
        <v>0</v>
      </c>
      <c r="AB15" s="643">
        <v>0</v>
      </c>
      <c r="AC15" s="643">
        <v>0</v>
      </c>
      <c r="AD15" s="643">
        <v>0</v>
      </c>
      <c r="AE15" s="643">
        <v>0</v>
      </c>
      <c r="AF15" s="72">
        <v>376</v>
      </c>
      <c r="AG15" s="72">
        <v>423</v>
      </c>
      <c r="AH15" s="72">
        <v>510</v>
      </c>
      <c r="AI15" s="72">
        <v>12</v>
      </c>
      <c r="AJ15" s="72">
        <v>1115</v>
      </c>
    </row>
    <row r="16" spans="1:36" s="520" customFormat="1">
      <c r="A16" s="15">
        <v>2022</v>
      </c>
      <c r="B16" s="614">
        <v>2</v>
      </c>
      <c r="C16" s="614">
        <v>3352</v>
      </c>
      <c r="D16" s="614">
        <v>1</v>
      </c>
      <c r="E16" s="614">
        <v>2338</v>
      </c>
      <c r="F16" s="614">
        <v>0</v>
      </c>
      <c r="G16" s="614">
        <v>0</v>
      </c>
      <c r="H16" s="567">
        <v>0</v>
      </c>
      <c r="I16" s="567">
        <v>0</v>
      </c>
      <c r="J16" s="614">
        <v>1</v>
      </c>
      <c r="K16" s="614">
        <v>1014</v>
      </c>
      <c r="L16" s="614">
        <v>1916</v>
      </c>
      <c r="M16" s="614">
        <v>73</v>
      </c>
      <c r="N16" s="614">
        <v>120</v>
      </c>
      <c r="O16" s="614">
        <v>19</v>
      </c>
      <c r="P16" s="614">
        <v>626</v>
      </c>
      <c r="Q16" s="643">
        <v>1582</v>
      </c>
      <c r="R16" s="643">
        <v>46</v>
      </c>
      <c r="S16" s="643">
        <v>0</v>
      </c>
      <c r="T16" s="643">
        <v>8</v>
      </c>
      <c r="U16" s="643">
        <v>104</v>
      </c>
      <c r="V16" s="643">
        <v>0</v>
      </c>
      <c r="W16" s="643">
        <v>0</v>
      </c>
      <c r="X16" s="643">
        <v>0</v>
      </c>
      <c r="Y16" s="643">
        <v>0</v>
      </c>
      <c r="Z16" s="643">
        <v>0</v>
      </c>
      <c r="AA16" s="643">
        <v>0</v>
      </c>
      <c r="AB16" s="643">
        <v>0</v>
      </c>
      <c r="AC16" s="643">
        <v>0</v>
      </c>
      <c r="AD16" s="643">
        <v>0</v>
      </c>
      <c r="AE16" s="643">
        <v>0</v>
      </c>
      <c r="AF16" s="72">
        <v>252</v>
      </c>
      <c r="AG16" s="72">
        <v>106</v>
      </c>
      <c r="AH16" s="72">
        <v>366</v>
      </c>
      <c r="AI16" s="72">
        <v>13</v>
      </c>
      <c r="AJ16" s="72">
        <v>1014</v>
      </c>
    </row>
    <row r="17" spans="1:36" s="1028" customFormat="1" ht="13.5">
      <c r="A17" s="32">
        <v>2023</v>
      </c>
      <c r="B17" s="1095">
        <v>3</v>
      </c>
      <c r="C17" s="567">
        <v>8534</v>
      </c>
      <c r="D17" s="567">
        <v>1</v>
      </c>
      <c r="E17" s="567">
        <v>771</v>
      </c>
      <c r="F17" s="567">
        <v>1</v>
      </c>
      <c r="G17" s="567">
        <v>6582</v>
      </c>
      <c r="H17" s="567">
        <v>0</v>
      </c>
      <c r="I17" s="567">
        <v>0</v>
      </c>
      <c r="J17" s="567">
        <v>1</v>
      </c>
      <c r="K17" s="567">
        <v>1181</v>
      </c>
      <c r="L17" s="567">
        <v>4051</v>
      </c>
      <c r="M17" s="567">
        <v>877</v>
      </c>
      <c r="N17" s="567">
        <v>534</v>
      </c>
      <c r="O17" s="567">
        <v>100</v>
      </c>
      <c r="P17" s="567">
        <v>3463</v>
      </c>
      <c r="Q17" s="567">
        <v>515</v>
      </c>
      <c r="R17" s="567">
        <v>40</v>
      </c>
      <c r="S17" s="567">
        <v>0</v>
      </c>
      <c r="T17" s="567">
        <v>5</v>
      </c>
      <c r="U17" s="567">
        <v>31</v>
      </c>
      <c r="V17" s="567">
        <v>3267</v>
      </c>
      <c r="W17" s="567">
        <v>740</v>
      </c>
      <c r="X17" s="567">
        <v>236</v>
      </c>
      <c r="Y17" s="567">
        <v>88</v>
      </c>
      <c r="Z17" s="567">
        <v>2251</v>
      </c>
      <c r="AA17" s="567">
        <v>0</v>
      </c>
      <c r="AB17" s="567">
        <v>0</v>
      </c>
      <c r="AC17" s="567">
        <v>0</v>
      </c>
      <c r="AD17" s="567">
        <v>0</v>
      </c>
      <c r="AE17" s="567">
        <v>0</v>
      </c>
      <c r="AF17" s="1077">
        <v>269</v>
      </c>
      <c r="AG17" s="1077">
        <v>97</v>
      </c>
      <c r="AH17" s="1077">
        <v>298</v>
      </c>
      <c r="AI17" s="1077">
        <v>7</v>
      </c>
      <c r="AJ17" s="1077">
        <v>1181</v>
      </c>
    </row>
    <row r="18" spans="1:36" s="1028" customFormat="1" ht="14.25" thickBot="1">
      <c r="A18" s="583">
        <v>2024</v>
      </c>
      <c r="B18" s="1310">
        <f>SUM(D18,F18,H18,J18)</f>
        <v>4</v>
      </c>
      <c r="C18" s="1027">
        <f>SUM(E18,G18,I18,K18)</f>
        <v>9081</v>
      </c>
      <c r="D18" s="1027">
        <v>1</v>
      </c>
      <c r="E18" s="1027">
        <v>52</v>
      </c>
      <c r="F18" s="1027">
        <v>2</v>
      </c>
      <c r="G18" s="1027">
        <v>6753</v>
      </c>
      <c r="H18" s="1027">
        <v>0</v>
      </c>
      <c r="I18" s="1027">
        <v>0</v>
      </c>
      <c r="J18" s="1027">
        <v>1</v>
      </c>
      <c r="K18" s="1027">
        <v>2276</v>
      </c>
      <c r="L18" s="1027">
        <f>Q18+V18+AA18+AF18</f>
        <v>3988</v>
      </c>
      <c r="M18" s="1027">
        <f t="shared" ref="M18:P18" si="0">R18+W18+AB18+AG18</f>
        <v>1163</v>
      </c>
      <c r="N18" s="1027">
        <f t="shared" si="0"/>
        <v>733</v>
      </c>
      <c r="O18" s="1027">
        <f t="shared" si="0"/>
        <v>76</v>
      </c>
      <c r="P18" s="1027">
        <f t="shared" si="0"/>
        <v>3266</v>
      </c>
      <c r="Q18" s="1027">
        <v>130</v>
      </c>
      <c r="R18" s="1027">
        <v>7</v>
      </c>
      <c r="S18" s="1027">
        <v>0</v>
      </c>
      <c r="T18" s="1027">
        <v>7</v>
      </c>
      <c r="U18" s="1027">
        <v>9</v>
      </c>
      <c r="V18" s="1027">
        <v>3307</v>
      </c>
      <c r="W18" s="1027">
        <v>754</v>
      </c>
      <c r="X18" s="1027">
        <v>179</v>
      </c>
      <c r="Y18" s="1027">
        <v>59</v>
      </c>
      <c r="Z18" s="1027">
        <v>2498</v>
      </c>
      <c r="AA18" s="1027">
        <v>0</v>
      </c>
      <c r="AB18" s="1027">
        <v>0</v>
      </c>
      <c r="AC18" s="1027">
        <v>0</v>
      </c>
      <c r="AD18" s="1027">
        <v>0</v>
      </c>
      <c r="AE18" s="1027">
        <v>0</v>
      </c>
      <c r="AF18" s="1094">
        <v>551</v>
      </c>
      <c r="AG18" s="1094">
        <v>402</v>
      </c>
      <c r="AH18" s="1094">
        <v>554</v>
      </c>
      <c r="AI18" s="1094">
        <v>10</v>
      </c>
      <c r="AJ18" s="1094">
        <v>759</v>
      </c>
    </row>
    <row r="19" spans="1:36">
      <c r="A19" s="644" t="s">
        <v>1759</v>
      </c>
      <c r="AF19" s="50"/>
      <c r="AG19" s="50"/>
      <c r="AH19" s="50"/>
      <c r="AI19" s="50"/>
      <c r="AJ19" s="50"/>
    </row>
    <row r="20" spans="1:36">
      <c r="A20" s="644" t="s">
        <v>1760</v>
      </c>
    </row>
    <row r="21" spans="1:36">
      <c r="A21" s="1040" t="s">
        <v>1782</v>
      </c>
    </row>
  </sheetData>
  <mergeCells count="17">
    <mergeCell ref="V7:Z8"/>
    <mergeCell ref="AA7:AE8"/>
    <mergeCell ref="AF7:AJ8"/>
    <mergeCell ref="L7:P8"/>
    <mergeCell ref="Q7:U8"/>
    <mergeCell ref="B8:C8"/>
    <mergeCell ref="J8:K8"/>
    <mergeCell ref="B7:C7"/>
    <mergeCell ref="D7:E7"/>
    <mergeCell ref="D8:E8"/>
    <mergeCell ref="Q2:AJ2"/>
    <mergeCell ref="Q3:AJ3"/>
    <mergeCell ref="A2:P2"/>
    <mergeCell ref="A3:P3"/>
    <mergeCell ref="L6:AJ6"/>
    <mergeCell ref="B6:G6"/>
    <mergeCell ref="H6:K6"/>
  </mergeCells>
  <phoneticPr fontId="3" type="noConversion"/>
  <pageMargins left="0.7" right="0.7" top="0.75" bottom="0.75" header="0.3" footer="0.3"/>
  <pageSetup paperSize="9" scale="44" orientation="portrait" verticalDpi="0" r:id="rId1"/>
  <colBreaks count="1" manualBreakCount="1">
    <brk id="1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4F81BD"/>
  </sheetPr>
  <dimension ref="A1:U19"/>
  <sheetViews>
    <sheetView view="pageBreakPreview" zoomScaleNormal="100" zoomScaleSheetLayoutView="100" workbookViewId="0">
      <selection activeCell="I18" sqref="I18"/>
    </sheetView>
  </sheetViews>
  <sheetFormatPr defaultRowHeight="16.5"/>
  <cols>
    <col min="1" max="1" width="9" style="518"/>
    <col min="2" max="2" width="7.5" style="518" customWidth="1"/>
    <col min="3" max="9" width="9" style="518"/>
    <col min="10" max="10" width="7.75" style="518" customWidth="1"/>
    <col min="11" max="13" width="9" style="518"/>
    <col min="14" max="14" width="8" style="518" customWidth="1"/>
    <col min="15" max="17" width="9" style="518"/>
    <col min="18" max="18" width="7.5" style="518" customWidth="1"/>
    <col min="19" max="16384" width="9" style="518"/>
  </cols>
  <sheetData>
    <row r="1" spans="1:21">
      <c r="A1" s="1636" t="s">
        <v>1502</v>
      </c>
      <c r="B1" s="1636"/>
      <c r="C1" s="1636"/>
      <c r="D1" s="1636"/>
      <c r="E1" s="1636"/>
      <c r="F1" s="1636"/>
      <c r="G1" s="1636"/>
      <c r="H1" s="1636"/>
      <c r="I1" s="1636"/>
      <c r="J1" s="1636"/>
      <c r="K1" s="1636"/>
      <c r="L1" s="1636"/>
      <c r="S1" s="16" t="s">
        <v>844</v>
      </c>
    </row>
    <row r="2" spans="1:21" ht="25.5">
      <c r="A2" s="1433" t="s">
        <v>1194</v>
      </c>
      <c r="B2" s="1433"/>
      <c r="C2" s="1433"/>
      <c r="D2" s="1433"/>
      <c r="E2" s="1433"/>
      <c r="F2" s="1433"/>
      <c r="G2" s="1433"/>
      <c r="H2" s="1433"/>
      <c r="I2" s="1433"/>
      <c r="J2" s="1433"/>
      <c r="K2" s="1433"/>
      <c r="L2" s="1433"/>
      <c r="M2" s="1433"/>
      <c r="N2" s="1433"/>
      <c r="O2" s="1433"/>
      <c r="P2" s="1433"/>
      <c r="Q2" s="1433"/>
      <c r="R2" s="1433"/>
      <c r="S2" s="1433"/>
      <c r="T2" s="1433"/>
      <c r="U2" s="1433"/>
    </row>
    <row r="3" spans="1:21" ht="25.5">
      <c r="A3" s="1637" t="s">
        <v>1189</v>
      </c>
      <c r="B3" s="1637"/>
      <c r="C3" s="1637"/>
      <c r="D3" s="1637"/>
      <c r="E3" s="1637"/>
      <c r="F3" s="1637"/>
      <c r="G3" s="1637"/>
      <c r="H3" s="1637"/>
      <c r="I3" s="1637"/>
      <c r="J3" s="1637"/>
      <c r="K3" s="1637"/>
      <c r="L3" s="1637"/>
      <c r="M3" s="1637"/>
      <c r="N3" s="1637"/>
      <c r="O3" s="1637"/>
      <c r="P3" s="1637"/>
      <c r="Q3" s="1637"/>
      <c r="R3" s="1637"/>
      <c r="S3" s="1637"/>
      <c r="T3" s="1637"/>
      <c r="U3" s="1637"/>
    </row>
    <row r="4" spans="1:21" ht="9.9499999999999993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783"/>
      <c r="O4" s="783"/>
      <c r="P4" s="783"/>
      <c r="Q4" s="783"/>
      <c r="R4" s="783"/>
      <c r="S4" s="783"/>
      <c r="T4" s="783"/>
      <c r="U4" s="783"/>
    </row>
    <row r="5" spans="1:21" s="398" customFormat="1" ht="15" customHeight="1" thickBot="1">
      <c r="A5" s="396" t="s">
        <v>724</v>
      </c>
      <c r="B5" s="397"/>
      <c r="D5" s="398" t="s">
        <v>2</v>
      </c>
      <c r="U5" s="47" t="s">
        <v>1114</v>
      </c>
    </row>
    <row r="6" spans="1:21" s="400" customFormat="1" ht="15.6" customHeight="1">
      <c r="A6" s="600" t="s">
        <v>3</v>
      </c>
      <c r="B6" s="645" t="s">
        <v>725</v>
      </c>
      <c r="C6" s="645"/>
      <c r="D6" s="645"/>
      <c r="E6" s="645"/>
      <c r="F6" s="1549" t="s">
        <v>726</v>
      </c>
      <c r="G6" s="1635"/>
      <c r="H6" s="1635"/>
      <c r="I6" s="1550"/>
      <c r="J6" s="1549" t="s">
        <v>727</v>
      </c>
      <c r="K6" s="1635"/>
      <c r="L6" s="1635"/>
      <c r="M6" s="1550"/>
      <c r="N6" s="1549" t="s">
        <v>728</v>
      </c>
      <c r="O6" s="1635"/>
      <c r="P6" s="1635"/>
      <c r="Q6" s="1550"/>
      <c r="R6" s="1549" t="s">
        <v>729</v>
      </c>
      <c r="S6" s="1635"/>
      <c r="T6" s="1635"/>
      <c r="U6" s="1635"/>
    </row>
    <row r="7" spans="1:21" s="400" customFormat="1" ht="15.6" customHeight="1">
      <c r="A7" s="646"/>
      <c r="B7" s="915" t="s">
        <v>26</v>
      </c>
      <c r="C7" s="915"/>
      <c r="D7" s="915"/>
      <c r="E7" s="915"/>
      <c r="F7" s="1417" t="s">
        <v>1192</v>
      </c>
      <c r="G7" s="1418"/>
      <c r="H7" s="1418"/>
      <c r="I7" s="1634"/>
      <c r="J7" s="1417" t="s">
        <v>1193</v>
      </c>
      <c r="K7" s="1418"/>
      <c r="L7" s="1418"/>
      <c r="M7" s="1634"/>
      <c r="N7" s="1417" t="s">
        <v>1191</v>
      </c>
      <c r="O7" s="1418"/>
      <c r="P7" s="1418"/>
      <c r="Q7" s="1634"/>
      <c r="R7" s="1417" t="s">
        <v>310</v>
      </c>
      <c r="S7" s="1418"/>
      <c r="T7" s="1418"/>
      <c r="U7" s="1418"/>
    </row>
    <row r="8" spans="1:21" s="648" customFormat="1" ht="15.6" customHeight="1">
      <c r="A8" s="647"/>
      <c r="B8" s="916" t="s">
        <v>730</v>
      </c>
      <c r="C8" s="917" t="s">
        <v>732</v>
      </c>
      <c r="D8" s="917" t="s">
        <v>733</v>
      </c>
      <c r="E8" s="917" t="s">
        <v>27</v>
      </c>
      <c r="F8" s="970" t="s">
        <v>730</v>
      </c>
      <c r="G8" s="970" t="s">
        <v>732</v>
      </c>
      <c r="H8" s="970" t="s">
        <v>734</v>
      </c>
      <c r="I8" s="917" t="s">
        <v>27</v>
      </c>
      <c r="J8" s="970" t="s">
        <v>730</v>
      </c>
      <c r="K8" s="970" t="s">
        <v>731</v>
      </c>
      <c r="L8" s="970" t="s">
        <v>734</v>
      </c>
      <c r="M8" s="917" t="s">
        <v>27</v>
      </c>
      <c r="N8" s="970" t="s">
        <v>730</v>
      </c>
      <c r="O8" s="970" t="s">
        <v>731</v>
      </c>
      <c r="P8" s="970" t="s">
        <v>734</v>
      </c>
      <c r="Q8" s="917" t="s">
        <v>27</v>
      </c>
      <c r="R8" s="970" t="s">
        <v>730</v>
      </c>
      <c r="S8" s="970" t="s">
        <v>731</v>
      </c>
      <c r="T8" s="970" t="s">
        <v>734</v>
      </c>
      <c r="U8" s="917" t="s">
        <v>27</v>
      </c>
    </row>
    <row r="9" spans="1:21" s="648" customFormat="1" ht="15.6" customHeight="1">
      <c r="A9" s="647"/>
      <c r="B9" s="918"/>
      <c r="C9" s="919"/>
      <c r="D9" s="919"/>
      <c r="E9" s="919" t="s">
        <v>1651</v>
      </c>
      <c r="F9" s="971"/>
      <c r="G9" s="971"/>
      <c r="H9" s="971"/>
      <c r="I9" s="919" t="s">
        <v>1651</v>
      </c>
      <c r="J9" s="971"/>
      <c r="K9" s="971"/>
      <c r="L9" s="971"/>
      <c r="M9" s="919" t="s">
        <v>1651</v>
      </c>
      <c r="N9" s="971"/>
      <c r="O9" s="971"/>
      <c r="P9" s="971"/>
      <c r="Q9" s="919" t="s">
        <v>1651</v>
      </c>
      <c r="R9" s="971"/>
      <c r="S9" s="971"/>
      <c r="T9" s="971"/>
      <c r="U9" s="919" t="s">
        <v>1651</v>
      </c>
    </row>
    <row r="10" spans="1:21" s="648" customFormat="1" ht="15.6" customHeight="1">
      <c r="A10" s="647"/>
      <c r="B10" s="920"/>
      <c r="C10" s="920"/>
      <c r="D10" s="971"/>
      <c r="E10" s="920" t="s">
        <v>1144</v>
      </c>
      <c r="F10" s="920"/>
      <c r="G10" s="920"/>
      <c r="H10" s="920"/>
      <c r="I10" s="920" t="s">
        <v>1144</v>
      </c>
      <c r="J10" s="920"/>
      <c r="K10" s="920"/>
      <c r="L10" s="920"/>
      <c r="M10" s="920" t="s">
        <v>1144</v>
      </c>
      <c r="N10" s="920"/>
      <c r="O10" s="920"/>
      <c r="P10" s="920"/>
      <c r="Q10" s="920" t="s">
        <v>1144</v>
      </c>
      <c r="R10" s="920"/>
      <c r="S10" s="920"/>
      <c r="T10" s="920"/>
      <c r="U10" s="920" t="s">
        <v>1144</v>
      </c>
    </row>
    <row r="11" spans="1:21" s="648" customFormat="1" ht="15.6" customHeight="1">
      <c r="A11" s="647"/>
      <c r="B11" s="920" t="s">
        <v>735</v>
      </c>
      <c r="C11" s="920"/>
      <c r="D11" s="920"/>
      <c r="E11" s="920" t="s">
        <v>1675</v>
      </c>
      <c r="F11" s="920" t="s">
        <v>735</v>
      </c>
      <c r="G11" s="920"/>
      <c r="H11" s="920"/>
      <c r="I11" s="920" t="s">
        <v>1675</v>
      </c>
      <c r="J11" s="920" t="s">
        <v>735</v>
      </c>
      <c r="K11" s="920"/>
      <c r="L11" s="920"/>
      <c r="M11" s="920" t="s">
        <v>1675</v>
      </c>
      <c r="N11" s="920" t="s">
        <v>735</v>
      </c>
      <c r="O11" s="920"/>
      <c r="P11" s="920"/>
      <c r="Q11" s="920" t="s">
        <v>1675</v>
      </c>
      <c r="R11" s="920" t="s">
        <v>735</v>
      </c>
      <c r="S11" s="920"/>
      <c r="T11" s="920"/>
      <c r="U11" s="920" t="s">
        <v>1675</v>
      </c>
    </row>
    <row r="12" spans="1:21" s="652" customFormat="1" ht="15.6" customHeight="1">
      <c r="A12" s="639"/>
      <c r="B12" s="55" t="s">
        <v>736</v>
      </c>
      <c r="C12" s="55" t="s">
        <v>1157</v>
      </c>
      <c r="D12" s="55" t="s">
        <v>1190</v>
      </c>
      <c r="E12" s="55" t="s">
        <v>1676</v>
      </c>
      <c r="F12" s="55" t="s">
        <v>737</v>
      </c>
      <c r="G12" s="55" t="s">
        <v>1157</v>
      </c>
      <c r="H12" s="55" t="s">
        <v>1190</v>
      </c>
      <c r="I12" s="55" t="s">
        <v>1676</v>
      </c>
      <c r="J12" s="55" t="s">
        <v>407</v>
      </c>
      <c r="K12" s="55" t="s">
        <v>1157</v>
      </c>
      <c r="L12" s="55" t="s">
        <v>1190</v>
      </c>
      <c r="M12" s="55" t="s">
        <v>1676</v>
      </c>
      <c r="N12" s="55" t="s">
        <v>407</v>
      </c>
      <c r="O12" s="55" t="s">
        <v>1157</v>
      </c>
      <c r="P12" s="55" t="s">
        <v>1190</v>
      </c>
      <c r="Q12" s="55" t="s">
        <v>1676</v>
      </c>
      <c r="R12" s="55" t="s">
        <v>407</v>
      </c>
      <c r="S12" s="55" t="s">
        <v>1157</v>
      </c>
      <c r="T12" s="55" t="s">
        <v>1190</v>
      </c>
      <c r="U12" s="55" t="s">
        <v>1676</v>
      </c>
    </row>
    <row r="13" spans="1:21" s="657" customFormat="1" ht="30.75" customHeight="1">
      <c r="A13" s="15">
        <v>2019</v>
      </c>
      <c r="B13" s="653">
        <v>3</v>
      </c>
      <c r="C13" s="653">
        <v>18</v>
      </c>
      <c r="D13" s="654">
        <v>17</v>
      </c>
      <c r="E13" s="653">
        <v>45</v>
      </c>
      <c r="F13" s="655">
        <v>1</v>
      </c>
      <c r="G13" s="655">
        <v>6</v>
      </c>
      <c r="H13" s="656">
        <v>6</v>
      </c>
      <c r="I13" s="655">
        <v>41</v>
      </c>
      <c r="J13" s="658">
        <v>0</v>
      </c>
      <c r="K13" s="658">
        <v>0</v>
      </c>
      <c r="L13" s="658">
        <v>0</v>
      </c>
      <c r="M13" s="658">
        <v>0</v>
      </c>
      <c r="N13" s="658">
        <v>0</v>
      </c>
      <c r="O13" s="658">
        <v>0</v>
      </c>
      <c r="P13" s="658">
        <v>0</v>
      </c>
      <c r="Q13" s="658">
        <v>0</v>
      </c>
      <c r="R13" s="655">
        <v>2</v>
      </c>
      <c r="S13" s="655">
        <v>12</v>
      </c>
      <c r="T13" s="656">
        <v>11</v>
      </c>
      <c r="U13" s="655">
        <v>4</v>
      </c>
    </row>
    <row r="14" spans="1:21" s="657" customFormat="1" ht="30.75" customHeight="1">
      <c r="A14" s="15">
        <v>2020</v>
      </c>
      <c r="B14" s="659">
        <v>3</v>
      </c>
      <c r="C14" s="659">
        <v>21</v>
      </c>
      <c r="D14" s="659">
        <v>19</v>
      </c>
      <c r="E14" s="659">
        <v>47</v>
      </c>
      <c r="F14" s="660">
        <v>1</v>
      </c>
      <c r="G14" s="660">
        <v>7</v>
      </c>
      <c r="H14" s="660">
        <v>7</v>
      </c>
      <c r="I14" s="660">
        <v>41</v>
      </c>
      <c r="J14" s="658">
        <v>0</v>
      </c>
      <c r="K14" s="658">
        <v>0</v>
      </c>
      <c r="L14" s="658">
        <v>0</v>
      </c>
      <c r="M14" s="658">
        <v>0</v>
      </c>
      <c r="N14" s="658">
        <v>0</v>
      </c>
      <c r="O14" s="658">
        <v>0</v>
      </c>
      <c r="P14" s="658">
        <v>0</v>
      </c>
      <c r="Q14" s="658">
        <v>0</v>
      </c>
      <c r="R14" s="660">
        <v>2</v>
      </c>
      <c r="S14" s="660">
        <v>14</v>
      </c>
      <c r="T14" s="660">
        <v>12</v>
      </c>
      <c r="U14" s="660">
        <v>6</v>
      </c>
    </row>
    <row r="15" spans="1:21" s="657" customFormat="1" ht="30.75" customHeight="1">
      <c r="A15" s="15">
        <v>2021</v>
      </c>
      <c r="B15" s="661">
        <v>3</v>
      </c>
      <c r="C15" s="653">
        <v>18</v>
      </c>
      <c r="D15" s="654">
        <v>14</v>
      </c>
      <c r="E15" s="653">
        <v>54</v>
      </c>
      <c r="F15" s="655">
        <v>1</v>
      </c>
      <c r="G15" s="655">
        <v>5</v>
      </c>
      <c r="H15" s="656">
        <v>6</v>
      </c>
      <c r="I15" s="655">
        <v>43</v>
      </c>
      <c r="J15" s="658">
        <v>0</v>
      </c>
      <c r="K15" s="658">
        <v>0</v>
      </c>
      <c r="L15" s="658">
        <v>0</v>
      </c>
      <c r="M15" s="658">
        <v>0</v>
      </c>
      <c r="N15" s="658">
        <v>0</v>
      </c>
      <c r="O15" s="658">
        <v>0</v>
      </c>
      <c r="P15" s="658">
        <v>0</v>
      </c>
      <c r="Q15" s="658">
        <v>0</v>
      </c>
      <c r="R15" s="660">
        <v>2</v>
      </c>
      <c r="S15" s="655">
        <v>13</v>
      </c>
      <c r="T15" s="656">
        <v>8</v>
      </c>
      <c r="U15" s="655">
        <v>11</v>
      </c>
    </row>
    <row r="16" spans="1:21" s="657" customFormat="1" ht="30.75" customHeight="1">
      <c r="A16" s="15">
        <v>2022</v>
      </c>
      <c r="B16" s="661">
        <v>3</v>
      </c>
      <c r="C16" s="653">
        <v>11</v>
      </c>
      <c r="D16" s="654">
        <v>13</v>
      </c>
      <c r="E16" s="653">
        <v>48</v>
      </c>
      <c r="F16" s="655">
        <v>1</v>
      </c>
      <c r="G16" s="655">
        <v>5</v>
      </c>
      <c r="H16" s="656">
        <v>5</v>
      </c>
      <c r="I16" s="655">
        <v>43</v>
      </c>
      <c r="J16" s="658">
        <v>0</v>
      </c>
      <c r="K16" s="658">
        <v>0</v>
      </c>
      <c r="L16" s="658">
        <v>0</v>
      </c>
      <c r="M16" s="658">
        <v>0</v>
      </c>
      <c r="N16" s="658">
        <v>0</v>
      </c>
      <c r="O16" s="658">
        <v>0</v>
      </c>
      <c r="P16" s="658">
        <v>0</v>
      </c>
      <c r="Q16" s="658">
        <v>0</v>
      </c>
      <c r="R16" s="660">
        <v>2</v>
      </c>
      <c r="S16" s="655">
        <v>6</v>
      </c>
      <c r="T16" s="656">
        <v>8</v>
      </c>
      <c r="U16" s="655">
        <v>5</v>
      </c>
    </row>
    <row r="17" spans="1:21" s="1100" customFormat="1" ht="30.75" customHeight="1">
      <c r="A17" s="1098">
        <v>2023</v>
      </c>
      <c r="B17" s="1099">
        <v>3</v>
      </c>
      <c r="C17" s="531">
        <v>8</v>
      </c>
      <c r="D17" s="531">
        <v>7</v>
      </c>
      <c r="E17" s="531">
        <v>45</v>
      </c>
      <c r="F17" s="1096">
        <v>1</v>
      </c>
      <c r="G17" s="1096">
        <v>3</v>
      </c>
      <c r="H17" s="1096">
        <v>2</v>
      </c>
      <c r="I17" s="1096">
        <v>44</v>
      </c>
      <c r="J17" s="1097">
        <v>0</v>
      </c>
      <c r="K17" s="1097">
        <v>0</v>
      </c>
      <c r="L17" s="1097">
        <v>0</v>
      </c>
      <c r="M17" s="1097">
        <v>0</v>
      </c>
      <c r="N17" s="1097">
        <v>0</v>
      </c>
      <c r="O17" s="1097">
        <v>0</v>
      </c>
      <c r="P17" s="1097">
        <v>0</v>
      </c>
      <c r="Q17" s="1097">
        <v>0</v>
      </c>
      <c r="R17" s="531">
        <v>2</v>
      </c>
      <c r="S17" s="531">
        <v>5</v>
      </c>
      <c r="T17" s="531">
        <v>5</v>
      </c>
      <c r="U17" s="531">
        <v>1</v>
      </c>
    </row>
    <row r="18" spans="1:21" s="663" customFormat="1" ht="30.75" customHeight="1" thickBot="1">
      <c r="A18" s="662">
        <v>2024</v>
      </c>
      <c r="B18" s="870">
        <v>3</v>
      </c>
      <c r="C18" s="870">
        <f>G18+K18+O18+S18</f>
        <v>9</v>
      </c>
      <c r="D18" s="870">
        <f>H18+L18+P18+T18</f>
        <v>8</v>
      </c>
      <c r="E18" s="870">
        <f>SUM(I18,U18)</f>
        <v>46</v>
      </c>
      <c r="F18" s="1029">
        <v>1</v>
      </c>
      <c r="G18" s="1029">
        <v>2</v>
      </c>
      <c r="H18" s="1029">
        <v>2</v>
      </c>
      <c r="I18" s="1029">
        <v>44</v>
      </c>
      <c r="J18" s="1030">
        <v>0</v>
      </c>
      <c r="K18" s="1030">
        <v>0</v>
      </c>
      <c r="L18" s="1030">
        <v>0</v>
      </c>
      <c r="M18" s="1030">
        <v>0</v>
      </c>
      <c r="N18" s="1030">
        <v>0</v>
      </c>
      <c r="O18" s="1030">
        <v>0</v>
      </c>
      <c r="P18" s="1030">
        <v>0</v>
      </c>
      <c r="Q18" s="1030">
        <v>0</v>
      </c>
      <c r="R18" s="1017">
        <v>2</v>
      </c>
      <c r="S18" s="1017">
        <v>7</v>
      </c>
      <c r="T18" s="1017">
        <v>6</v>
      </c>
      <c r="U18" s="1017">
        <v>2</v>
      </c>
    </row>
    <row r="19" spans="1:21">
      <c r="A19" s="1039" t="s">
        <v>1725</v>
      </c>
    </row>
  </sheetData>
  <mergeCells count="11">
    <mergeCell ref="N7:Q7"/>
    <mergeCell ref="N6:Q6"/>
    <mergeCell ref="R7:U7"/>
    <mergeCell ref="R6:U6"/>
    <mergeCell ref="A1:L1"/>
    <mergeCell ref="J6:M6"/>
    <mergeCell ref="J7:M7"/>
    <mergeCell ref="F7:I7"/>
    <mergeCell ref="F6:I6"/>
    <mergeCell ref="A2:U2"/>
    <mergeCell ref="A3:U3"/>
  </mergeCells>
  <phoneticPr fontId="3" type="noConversion"/>
  <pageMargins left="0.7" right="0.7" top="0.75" bottom="0.75" header="0.3" footer="0.3"/>
  <pageSetup paperSize="9" scale="33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4F81BD"/>
    <outlinePr summaryBelow="0" summaryRight="0"/>
  </sheetPr>
  <dimension ref="A1:Y21"/>
  <sheetViews>
    <sheetView view="pageBreakPreview" zoomScaleNormal="100" zoomScaleSheetLayoutView="100" workbookViewId="0">
      <selection activeCell="N33" sqref="N33:O33"/>
    </sheetView>
  </sheetViews>
  <sheetFormatPr defaultColWidth="9" defaultRowHeight="12"/>
  <cols>
    <col min="1" max="1" width="11.625" style="411" customWidth="1"/>
    <col min="2" max="2" width="8" style="411" customWidth="1"/>
    <col min="3" max="3" width="6.625" style="411" customWidth="1"/>
    <col min="4" max="5" width="6.875" style="411" customWidth="1"/>
    <col min="6" max="6" width="5.625" style="411" customWidth="1"/>
    <col min="7" max="7" width="6.625" style="411" customWidth="1"/>
    <col min="8" max="11" width="6.875" style="411" customWidth="1"/>
    <col min="12" max="12" width="8.125" style="411" customWidth="1"/>
    <col min="13" max="13" width="6.625" style="411" customWidth="1"/>
    <col min="14" max="14" width="6.75" style="411" customWidth="1"/>
    <col min="15" max="16" width="5.625" style="411" customWidth="1"/>
    <col min="17" max="18" width="5.375" style="411" customWidth="1"/>
    <col min="19" max="20" width="5.125" style="411" customWidth="1"/>
    <col min="21" max="22" width="7.25" style="411" customWidth="1"/>
    <col min="23" max="23" width="8" style="411" customWidth="1"/>
    <col min="24" max="24" width="9" style="411" customWidth="1"/>
    <col min="25" max="25" width="6.625" style="411" customWidth="1"/>
    <col min="26" max="16384" width="9" style="411"/>
  </cols>
  <sheetData>
    <row r="1" spans="1:25" ht="12.75">
      <c r="A1" s="687" t="s">
        <v>1558</v>
      </c>
      <c r="W1" s="16" t="s">
        <v>844</v>
      </c>
    </row>
    <row r="2" spans="1:25" ht="25.5">
      <c r="A2" s="1433" t="s">
        <v>1309</v>
      </c>
      <c r="B2" s="1433"/>
      <c r="C2" s="1433"/>
      <c r="D2" s="1433"/>
      <c r="E2" s="1433"/>
      <c r="F2" s="1433"/>
      <c r="G2" s="1433"/>
      <c r="H2" s="1433"/>
      <c r="I2" s="1433"/>
      <c r="J2" s="1433"/>
      <c r="K2" s="1433"/>
      <c r="L2" s="1433"/>
      <c r="M2" s="1433"/>
      <c r="N2" s="1433"/>
      <c r="O2" s="1433"/>
      <c r="P2" s="1433"/>
      <c r="Q2" s="1433"/>
      <c r="R2" s="1433"/>
      <c r="S2" s="1433"/>
      <c r="T2" s="1433"/>
      <c r="U2" s="1433"/>
      <c r="V2" s="1433"/>
      <c r="W2" s="1433"/>
      <c r="X2" s="1433"/>
      <c r="Y2" s="1433"/>
    </row>
    <row r="3" spans="1:25" ht="25.5">
      <c r="A3" s="1640" t="s">
        <v>1195</v>
      </c>
      <c r="B3" s="1640"/>
      <c r="C3" s="1640"/>
      <c r="D3" s="1640"/>
      <c r="E3" s="1640"/>
      <c r="F3" s="1640"/>
      <c r="G3" s="1640"/>
      <c r="H3" s="1640"/>
      <c r="I3" s="1640"/>
      <c r="J3" s="1640"/>
      <c r="K3" s="1640"/>
      <c r="L3" s="1640"/>
      <c r="M3" s="1640"/>
      <c r="N3" s="1640"/>
      <c r="O3" s="1640"/>
      <c r="P3" s="1640"/>
      <c r="Q3" s="1640"/>
      <c r="R3" s="1640"/>
      <c r="S3" s="1640"/>
      <c r="T3" s="1640"/>
      <c r="U3" s="1640"/>
      <c r="V3" s="1640"/>
      <c r="W3" s="1640"/>
      <c r="X3" s="1640"/>
      <c r="Y3" s="1640"/>
    </row>
    <row r="4" spans="1:25" ht="9.9499999999999993" customHeight="1">
      <c r="A4" s="790"/>
      <c r="B4" s="790"/>
      <c r="C4" s="790"/>
      <c r="D4" s="790"/>
      <c r="E4" s="790"/>
      <c r="F4" s="790"/>
      <c r="G4" s="790"/>
      <c r="H4" s="790"/>
      <c r="I4" s="790"/>
      <c r="J4" s="790"/>
      <c r="K4" s="790"/>
      <c r="L4" s="878"/>
      <c r="M4" s="790"/>
      <c r="N4" s="790"/>
      <c r="O4" s="790"/>
      <c r="P4" s="790"/>
      <c r="Q4" s="790"/>
      <c r="R4" s="790"/>
      <c r="S4" s="790"/>
      <c r="T4" s="790"/>
      <c r="U4" s="790"/>
      <c r="V4" s="790"/>
      <c r="W4" s="790"/>
      <c r="X4" s="790"/>
      <c r="Y4" s="790"/>
    </row>
    <row r="5" spans="1:25" s="398" customFormat="1" ht="15" customHeight="1" thickBot="1">
      <c r="A5" s="396" t="s">
        <v>25</v>
      </c>
      <c r="B5" s="397"/>
      <c r="C5" s="397"/>
      <c r="D5" s="397"/>
      <c r="E5" s="397"/>
      <c r="F5" s="397"/>
      <c r="G5" s="397"/>
      <c r="H5" s="397"/>
      <c r="I5" s="397"/>
      <c r="J5" s="397"/>
      <c r="M5" s="398" t="s">
        <v>2</v>
      </c>
      <c r="N5" s="410"/>
      <c r="O5" s="410"/>
      <c r="P5" s="741"/>
      <c r="Q5" s="410"/>
      <c r="R5" s="410"/>
      <c r="S5" s="410"/>
      <c r="T5" s="410"/>
      <c r="U5" s="410"/>
      <c r="V5" s="410"/>
      <c r="W5" s="410"/>
      <c r="X5" s="410"/>
      <c r="Y5" s="742" t="s">
        <v>1200</v>
      </c>
    </row>
    <row r="6" spans="1:25" s="400" customFormat="1" ht="15" customHeight="1">
      <c r="A6" s="680" t="s">
        <v>224</v>
      </c>
      <c r="B6" s="743" t="s">
        <v>1218</v>
      </c>
      <c r="C6" s="1638" t="s">
        <v>1559</v>
      </c>
      <c r="D6" s="1432"/>
      <c r="E6" s="1432"/>
      <c r="F6" s="1639"/>
      <c r="G6" s="1638" t="s">
        <v>1560</v>
      </c>
      <c r="H6" s="1432"/>
      <c r="I6" s="1432"/>
      <c r="J6" s="1432"/>
      <c r="K6" s="1432"/>
      <c r="L6" s="1432"/>
      <c r="M6" s="1432"/>
      <c r="N6" s="1431" t="s">
        <v>1561</v>
      </c>
      <c r="O6" s="1432"/>
      <c r="P6" s="1432"/>
      <c r="Q6" s="1432"/>
      <c r="R6" s="1432"/>
      <c r="S6" s="1432"/>
      <c r="T6" s="1432"/>
      <c r="U6" s="1432"/>
      <c r="V6" s="1432"/>
      <c r="W6" s="1432"/>
      <c r="X6" s="1432"/>
      <c r="Y6" s="1432"/>
    </row>
    <row r="7" spans="1:25" s="400" customFormat="1" ht="15" customHeight="1">
      <c r="A7" s="646" t="s">
        <v>2</v>
      </c>
      <c r="B7" s="744"/>
      <c r="C7" s="954"/>
      <c r="D7" s="1645" t="s">
        <v>225</v>
      </c>
      <c r="E7" s="1645" t="s">
        <v>226</v>
      </c>
      <c r="F7" s="1645" t="s">
        <v>227</v>
      </c>
      <c r="G7" s="954"/>
      <c r="H7" s="1653" t="s">
        <v>1406</v>
      </c>
      <c r="I7" s="1645" t="s">
        <v>228</v>
      </c>
      <c r="J7" s="1645" t="s">
        <v>229</v>
      </c>
      <c r="K7" s="1645" t="s">
        <v>230</v>
      </c>
      <c r="L7" s="1647" t="s">
        <v>1619</v>
      </c>
      <c r="M7" s="1651" t="s">
        <v>1598</v>
      </c>
      <c r="N7" s="1642" t="s">
        <v>1562</v>
      </c>
      <c r="O7" s="1654"/>
      <c r="P7" s="1655"/>
      <c r="Q7" s="1642" t="s">
        <v>1563</v>
      </c>
      <c r="R7" s="1643"/>
      <c r="S7" s="1643"/>
      <c r="T7" s="1644"/>
      <c r="U7" s="1642" t="s">
        <v>1564</v>
      </c>
      <c r="V7" s="1643"/>
      <c r="W7" s="1643"/>
      <c r="X7" s="1643"/>
      <c r="Y7" s="1643"/>
    </row>
    <row r="8" spans="1:25" s="400" customFormat="1" ht="15" customHeight="1">
      <c r="A8" s="646"/>
      <c r="B8" s="744"/>
      <c r="C8" s="955" t="s">
        <v>1677</v>
      </c>
      <c r="D8" s="1646"/>
      <c r="E8" s="1646"/>
      <c r="F8" s="1646"/>
      <c r="G8" s="955" t="s">
        <v>1677</v>
      </c>
      <c r="H8" s="1646"/>
      <c r="I8" s="1646"/>
      <c r="J8" s="1646"/>
      <c r="K8" s="1646"/>
      <c r="L8" s="1648"/>
      <c r="M8" s="1652"/>
      <c r="N8" s="745" t="s">
        <v>1405</v>
      </c>
      <c r="O8" s="746" t="s">
        <v>55</v>
      </c>
      <c r="P8" s="746" t="s">
        <v>56</v>
      </c>
      <c r="Q8" s="1649" t="s">
        <v>431</v>
      </c>
      <c r="R8" s="1436"/>
      <c r="S8" s="1649" t="s">
        <v>432</v>
      </c>
      <c r="T8" s="1436"/>
      <c r="U8" s="649" t="s">
        <v>1311</v>
      </c>
      <c r="V8" s="649" t="s">
        <v>231</v>
      </c>
      <c r="W8" s="649" t="s">
        <v>1315</v>
      </c>
      <c r="X8" s="649" t="s">
        <v>1313</v>
      </c>
      <c r="Y8" s="747" t="s">
        <v>1599</v>
      </c>
    </row>
    <row r="9" spans="1:25" s="400" customFormat="1" ht="15" customHeight="1">
      <c r="A9" s="646"/>
      <c r="B9" s="748"/>
      <c r="C9" s="955"/>
      <c r="D9" s="1646"/>
      <c r="E9" s="1646"/>
      <c r="F9" s="1646"/>
      <c r="G9" s="955"/>
      <c r="H9" s="1646"/>
      <c r="I9" s="1646"/>
      <c r="J9" s="1646"/>
      <c r="K9" s="1646"/>
      <c r="L9" s="1648"/>
      <c r="M9" s="1652"/>
      <c r="N9" s="749"/>
      <c r="O9" s="749"/>
      <c r="P9" s="749"/>
      <c r="Q9" s="1429" t="s">
        <v>433</v>
      </c>
      <c r="R9" s="1650"/>
      <c r="S9" s="1429" t="s">
        <v>232</v>
      </c>
      <c r="T9" s="1650"/>
      <c r="U9" s="649" t="s">
        <v>1310</v>
      </c>
      <c r="V9" s="650" t="s">
        <v>2</v>
      </c>
      <c r="W9" s="750" t="s">
        <v>1314</v>
      </c>
      <c r="X9" s="751" t="s">
        <v>1312</v>
      </c>
      <c r="Y9" s="752"/>
    </row>
    <row r="10" spans="1:25" s="400" customFormat="1" ht="15" customHeight="1">
      <c r="A10" s="646"/>
      <c r="B10" s="651"/>
      <c r="C10" s="650"/>
      <c r="D10" s="753"/>
      <c r="E10" s="753"/>
      <c r="F10" s="650"/>
      <c r="G10" s="650"/>
      <c r="H10" s="753"/>
      <c r="I10" s="753"/>
      <c r="J10" s="650"/>
      <c r="K10" s="650"/>
      <c r="L10" s="921"/>
      <c r="M10" s="651"/>
      <c r="N10" s="754"/>
      <c r="O10" s="754"/>
      <c r="P10" s="754"/>
      <c r="Q10" s="1445" t="s">
        <v>1198</v>
      </c>
      <c r="R10" s="1641"/>
      <c r="S10" s="1445" t="s">
        <v>1199</v>
      </c>
      <c r="T10" s="1641"/>
      <c r="U10" s="650" t="s">
        <v>1402</v>
      </c>
      <c r="V10" s="650"/>
      <c r="W10" s="752" t="s">
        <v>233</v>
      </c>
      <c r="X10" s="650" t="s">
        <v>1403</v>
      </c>
      <c r="Y10" s="752"/>
    </row>
    <row r="11" spans="1:25" s="400" customFormat="1" ht="15" customHeight="1">
      <c r="A11" s="646"/>
      <c r="B11" s="651" t="s">
        <v>234</v>
      </c>
      <c r="C11" s="650"/>
      <c r="D11" s="753"/>
      <c r="E11" s="753" t="s">
        <v>1196</v>
      </c>
      <c r="F11" s="650"/>
      <c r="G11" s="650"/>
      <c r="H11" s="753" t="s">
        <v>235</v>
      </c>
      <c r="I11" s="753"/>
      <c r="J11" s="650"/>
      <c r="K11" s="650"/>
      <c r="L11" s="921" t="s">
        <v>1620</v>
      </c>
      <c r="M11" s="651"/>
      <c r="N11" s="755"/>
      <c r="O11" s="754"/>
      <c r="P11" s="754"/>
      <c r="Q11" s="756" t="s">
        <v>55</v>
      </c>
      <c r="R11" s="646" t="s">
        <v>56</v>
      </c>
      <c r="S11" s="646" t="s">
        <v>55</v>
      </c>
      <c r="T11" s="646" t="s">
        <v>56</v>
      </c>
      <c r="U11" s="753" t="s">
        <v>1400</v>
      </c>
      <c r="V11" s="650" t="s">
        <v>236</v>
      </c>
      <c r="W11" s="650" t="s">
        <v>237</v>
      </c>
      <c r="X11" s="650" t="s">
        <v>1404</v>
      </c>
      <c r="Y11" s="752"/>
    </row>
    <row r="12" spans="1:25" s="7" customFormat="1" ht="15" customHeight="1">
      <c r="A12" s="53"/>
      <c r="B12" s="683" t="s">
        <v>238</v>
      </c>
      <c r="C12" s="443" t="s">
        <v>1678</v>
      </c>
      <c r="D12" s="684" t="s">
        <v>239</v>
      </c>
      <c r="E12" s="684" t="s">
        <v>240</v>
      </c>
      <c r="F12" s="443" t="s">
        <v>54</v>
      </c>
      <c r="G12" s="443" t="s">
        <v>1678</v>
      </c>
      <c r="H12" s="684" t="s">
        <v>240</v>
      </c>
      <c r="I12" s="684" t="s">
        <v>241</v>
      </c>
      <c r="J12" s="443" t="s">
        <v>242</v>
      </c>
      <c r="K12" s="443" t="s">
        <v>1197</v>
      </c>
      <c r="L12" s="339" t="s">
        <v>1621</v>
      </c>
      <c r="M12" s="683" t="s">
        <v>243</v>
      </c>
      <c r="N12" s="685" t="s">
        <v>675</v>
      </c>
      <c r="O12" s="685" t="s">
        <v>57</v>
      </c>
      <c r="P12" s="685" t="s">
        <v>30</v>
      </c>
      <c r="Q12" s="685" t="s">
        <v>57</v>
      </c>
      <c r="R12" s="685" t="s">
        <v>30</v>
      </c>
      <c r="S12" s="685" t="s">
        <v>57</v>
      </c>
      <c r="T12" s="685" t="s">
        <v>30</v>
      </c>
      <c r="U12" s="684" t="s">
        <v>1401</v>
      </c>
      <c r="V12" s="684" t="s">
        <v>244</v>
      </c>
      <c r="W12" s="443" t="s">
        <v>244</v>
      </c>
      <c r="X12" s="443" t="s">
        <v>1401</v>
      </c>
      <c r="Y12" s="666" t="s">
        <v>54</v>
      </c>
    </row>
    <row r="13" spans="1:25" s="556" customFormat="1" ht="23.1" customHeight="1">
      <c r="A13" s="15">
        <v>2019</v>
      </c>
      <c r="B13" s="757">
        <v>16</v>
      </c>
      <c r="C13" s="757">
        <v>63</v>
      </c>
      <c r="D13" s="757">
        <v>62</v>
      </c>
      <c r="E13" s="757">
        <v>1</v>
      </c>
      <c r="F13" s="758">
        <v>0</v>
      </c>
      <c r="G13" s="757">
        <v>44</v>
      </c>
      <c r="H13" s="757">
        <v>16</v>
      </c>
      <c r="I13" s="757">
        <v>3</v>
      </c>
      <c r="J13" s="757">
        <v>1</v>
      </c>
      <c r="K13" s="757">
        <v>1</v>
      </c>
      <c r="L13" s="757" t="s">
        <v>1650</v>
      </c>
      <c r="M13" s="757">
        <v>23</v>
      </c>
      <c r="N13" s="759">
        <v>339</v>
      </c>
      <c r="O13" s="759">
        <v>191</v>
      </c>
      <c r="P13" s="759">
        <v>148</v>
      </c>
      <c r="Q13" s="757">
        <v>24</v>
      </c>
      <c r="R13" s="757">
        <v>10</v>
      </c>
      <c r="S13" s="757">
        <v>167</v>
      </c>
      <c r="T13" s="757">
        <v>138</v>
      </c>
      <c r="U13" s="757">
        <v>8</v>
      </c>
      <c r="V13" s="757">
        <v>48</v>
      </c>
      <c r="W13" s="760">
        <v>0</v>
      </c>
      <c r="X13" s="757">
        <v>269</v>
      </c>
      <c r="Y13" s="757">
        <v>14</v>
      </c>
    </row>
    <row r="14" spans="1:25" s="556" customFormat="1" ht="23.1" customHeight="1" collapsed="1">
      <c r="A14" s="15">
        <v>2020</v>
      </c>
      <c r="B14" s="761">
        <v>12</v>
      </c>
      <c r="C14" s="761">
        <v>56</v>
      </c>
      <c r="D14" s="761">
        <v>55</v>
      </c>
      <c r="E14" s="761">
        <v>1</v>
      </c>
      <c r="F14" s="758">
        <v>0</v>
      </c>
      <c r="G14" s="761">
        <v>46</v>
      </c>
      <c r="H14" s="761">
        <v>31</v>
      </c>
      <c r="I14" s="762">
        <v>0</v>
      </c>
      <c r="J14" s="761">
        <v>5</v>
      </c>
      <c r="K14" s="761">
        <v>1</v>
      </c>
      <c r="L14" s="761" t="s">
        <v>1650</v>
      </c>
      <c r="M14" s="761">
        <v>9</v>
      </c>
      <c r="N14" s="449">
        <v>349</v>
      </c>
      <c r="O14" s="449">
        <v>203</v>
      </c>
      <c r="P14" s="449">
        <v>146</v>
      </c>
      <c r="Q14" s="761">
        <v>29</v>
      </c>
      <c r="R14" s="761">
        <v>7</v>
      </c>
      <c r="S14" s="761">
        <v>174</v>
      </c>
      <c r="T14" s="761">
        <v>139</v>
      </c>
      <c r="U14" s="761">
        <v>7</v>
      </c>
      <c r="V14" s="761">
        <v>56</v>
      </c>
      <c r="W14" s="762">
        <v>0</v>
      </c>
      <c r="X14" s="761">
        <v>273</v>
      </c>
      <c r="Y14" s="761">
        <v>13</v>
      </c>
    </row>
    <row r="15" spans="1:25" s="556" customFormat="1" ht="23.1" customHeight="1">
      <c r="A15" s="15">
        <v>2021</v>
      </c>
      <c r="B15" s="763">
        <v>16</v>
      </c>
      <c r="C15" s="763">
        <v>33</v>
      </c>
      <c r="D15" s="763">
        <v>30</v>
      </c>
      <c r="E15" s="763">
        <v>3</v>
      </c>
      <c r="F15" s="758">
        <v>0</v>
      </c>
      <c r="G15" s="763">
        <v>46</v>
      </c>
      <c r="H15" s="763">
        <v>37</v>
      </c>
      <c r="I15" s="763">
        <v>0</v>
      </c>
      <c r="J15" s="763">
        <v>2</v>
      </c>
      <c r="K15" s="763">
        <v>1</v>
      </c>
      <c r="L15" s="761" t="s">
        <v>1650</v>
      </c>
      <c r="M15" s="763">
        <v>6</v>
      </c>
      <c r="N15" s="763">
        <v>337</v>
      </c>
      <c r="O15" s="763">
        <v>198</v>
      </c>
      <c r="P15" s="763">
        <v>139</v>
      </c>
      <c r="Q15" s="761">
        <v>27</v>
      </c>
      <c r="R15" s="761">
        <v>6</v>
      </c>
      <c r="S15" s="761">
        <v>171</v>
      </c>
      <c r="T15" s="761">
        <v>133</v>
      </c>
      <c r="U15" s="763">
        <v>16</v>
      </c>
      <c r="V15" s="763">
        <v>55</v>
      </c>
      <c r="W15" s="763">
        <v>0</v>
      </c>
      <c r="X15" s="763">
        <v>261</v>
      </c>
      <c r="Y15" s="763">
        <v>5</v>
      </c>
    </row>
    <row r="16" spans="1:25" s="556" customFormat="1" ht="23.1" customHeight="1">
      <c r="A16" s="15">
        <v>2022</v>
      </c>
      <c r="B16" s="763">
        <v>16</v>
      </c>
      <c r="C16" s="763">
        <v>40</v>
      </c>
      <c r="D16" s="763">
        <v>40</v>
      </c>
      <c r="E16" s="763">
        <v>0</v>
      </c>
      <c r="F16" s="758">
        <v>0</v>
      </c>
      <c r="G16" s="763">
        <v>15</v>
      </c>
      <c r="H16" s="763">
        <v>5</v>
      </c>
      <c r="I16" s="763">
        <v>0</v>
      </c>
      <c r="J16" s="763">
        <v>6</v>
      </c>
      <c r="K16" s="763">
        <v>1</v>
      </c>
      <c r="L16" s="761" t="s">
        <v>1650</v>
      </c>
      <c r="M16" s="763">
        <v>3</v>
      </c>
      <c r="N16" s="763">
        <v>342</v>
      </c>
      <c r="O16" s="763">
        <v>202</v>
      </c>
      <c r="P16" s="763">
        <v>140</v>
      </c>
      <c r="Q16" s="761">
        <v>24</v>
      </c>
      <c r="R16" s="761">
        <v>6</v>
      </c>
      <c r="S16" s="761">
        <v>178</v>
      </c>
      <c r="T16" s="761">
        <v>134</v>
      </c>
      <c r="U16" s="763">
        <v>14</v>
      </c>
      <c r="V16" s="763">
        <v>56</v>
      </c>
      <c r="W16" s="762" t="s">
        <v>792</v>
      </c>
      <c r="X16" s="763">
        <v>267</v>
      </c>
      <c r="Y16" s="763">
        <v>5</v>
      </c>
    </row>
    <row r="17" spans="1:25" s="556" customFormat="1" ht="23.1" customHeight="1">
      <c r="A17" s="15">
        <v>2023</v>
      </c>
      <c r="B17" s="1101">
        <v>16</v>
      </c>
      <c r="C17" s="1105">
        <v>19</v>
      </c>
      <c r="D17" s="1102">
        <v>19</v>
      </c>
      <c r="E17" s="1102">
        <v>0</v>
      </c>
      <c r="F17" s="758">
        <v>0</v>
      </c>
      <c r="G17" s="1102">
        <v>31</v>
      </c>
      <c r="H17" s="1102">
        <v>20</v>
      </c>
      <c r="I17" s="1102">
        <v>1</v>
      </c>
      <c r="J17" s="1103">
        <v>3</v>
      </c>
      <c r="K17" s="1103">
        <v>1</v>
      </c>
      <c r="L17" s="1103">
        <v>4</v>
      </c>
      <c r="M17" s="1103">
        <v>2</v>
      </c>
      <c r="N17" s="1104">
        <v>331</v>
      </c>
      <c r="O17" s="1104">
        <v>195</v>
      </c>
      <c r="P17" s="1104">
        <v>136</v>
      </c>
      <c r="Q17" s="1105">
        <v>19</v>
      </c>
      <c r="R17" s="1102">
        <v>6</v>
      </c>
      <c r="S17" s="1102">
        <v>176</v>
      </c>
      <c r="T17" s="1102">
        <v>130</v>
      </c>
      <c r="U17" s="1102">
        <v>13</v>
      </c>
      <c r="V17" s="1103">
        <v>56</v>
      </c>
      <c r="W17" s="1103">
        <v>0</v>
      </c>
      <c r="X17" s="1106">
        <v>257</v>
      </c>
      <c r="Y17" s="1103">
        <v>5</v>
      </c>
    </row>
    <row r="18" spans="1:25" s="764" customFormat="1" ht="18.600000000000001" customHeight="1" thickBot="1">
      <c r="A18" s="583">
        <v>2024</v>
      </c>
      <c r="B18" s="1152">
        <v>16</v>
      </c>
      <c r="C18" s="1153">
        <f>D18+E18+F18</f>
        <v>16</v>
      </c>
      <c r="D18" s="1154">
        <v>16</v>
      </c>
      <c r="E18" s="1311">
        <v>0</v>
      </c>
      <c r="F18" s="1311">
        <v>0</v>
      </c>
      <c r="G18" s="1155">
        <f>H18+I18+J18+K18+L18+M18</f>
        <v>17</v>
      </c>
      <c r="H18" s="1154">
        <v>8</v>
      </c>
      <c r="I18" s="1312">
        <v>0</v>
      </c>
      <c r="J18" s="1156">
        <v>5</v>
      </c>
      <c r="K18" s="1156">
        <v>1</v>
      </c>
      <c r="L18" s="1156">
        <v>2</v>
      </c>
      <c r="M18" s="1156">
        <v>1</v>
      </c>
      <c r="N18" s="1157">
        <v>327</v>
      </c>
      <c r="O18" s="1158">
        <v>196</v>
      </c>
      <c r="P18" s="1158">
        <v>131</v>
      </c>
      <c r="Q18" s="1159">
        <v>13</v>
      </c>
      <c r="R18" s="1154">
        <v>8</v>
      </c>
      <c r="S18" s="1154">
        <v>183</v>
      </c>
      <c r="T18" s="1154">
        <v>123</v>
      </c>
      <c r="U18" s="1154">
        <v>13</v>
      </c>
      <c r="V18" s="1156">
        <v>36</v>
      </c>
      <c r="W18" s="1156">
        <v>1</v>
      </c>
      <c r="X18" s="1160">
        <v>272</v>
      </c>
      <c r="Y18" s="1156">
        <v>6</v>
      </c>
    </row>
    <row r="19" spans="1:25" s="769" customFormat="1" ht="15" customHeight="1">
      <c r="A19" s="4" t="s">
        <v>1761</v>
      </c>
      <c r="B19" s="765"/>
      <c r="C19" s="765"/>
      <c r="D19" s="765"/>
      <c r="E19" s="765"/>
      <c r="F19" s="765"/>
      <c r="G19" s="765"/>
      <c r="H19" s="765"/>
      <c r="I19" s="765"/>
      <c r="J19" s="765"/>
      <c r="K19" s="765"/>
      <c r="L19" s="765"/>
      <c r="M19" s="765"/>
      <c r="N19" s="766"/>
      <c r="O19" s="766"/>
      <c r="P19" s="766"/>
      <c r="Q19" s="767"/>
      <c r="R19" s="767"/>
      <c r="S19" s="767"/>
      <c r="T19" s="767"/>
      <c r="U19" s="767"/>
      <c r="V19" s="766"/>
      <c r="W19" s="766"/>
      <c r="X19" s="768"/>
      <c r="Y19" s="766"/>
    </row>
    <row r="20" spans="1:25" s="769" customFormat="1" ht="15" customHeight="1">
      <c r="A20" s="4" t="s">
        <v>1762</v>
      </c>
      <c r="B20" s="765"/>
      <c r="C20" s="765"/>
      <c r="D20" s="765"/>
      <c r="E20" s="765"/>
      <c r="F20" s="765"/>
      <c r="G20" s="765"/>
      <c r="H20" s="765"/>
      <c r="I20" s="765"/>
      <c r="J20" s="765"/>
      <c r="K20" s="765"/>
      <c r="L20" s="765"/>
      <c r="M20" s="765"/>
      <c r="N20" s="766"/>
      <c r="O20" s="766"/>
      <c r="P20" s="766"/>
      <c r="Q20" s="767"/>
      <c r="R20" s="767"/>
      <c r="S20" s="767"/>
      <c r="T20" s="767"/>
      <c r="U20" s="767"/>
      <c r="V20" s="766"/>
      <c r="W20" s="766"/>
      <c r="X20" s="768"/>
      <c r="Y20" s="766"/>
    </row>
    <row r="21" spans="1:25" s="769" customFormat="1" ht="12" customHeight="1">
      <c r="A21" s="4" t="s">
        <v>1726</v>
      </c>
      <c r="N21" s="770"/>
      <c r="O21" s="770"/>
      <c r="P21" s="770"/>
      <c r="Q21" s="770"/>
      <c r="R21" s="770"/>
      <c r="S21" s="770"/>
      <c r="T21" s="770"/>
      <c r="U21" s="770"/>
      <c r="V21" s="770"/>
      <c r="W21" s="770"/>
      <c r="Y21" s="741"/>
    </row>
  </sheetData>
  <sheetProtection selectLockedCells="1"/>
  <mergeCells count="23">
    <mergeCell ref="D7:D9"/>
    <mergeCell ref="Q8:R8"/>
    <mergeCell ref="S8:T8"/>
    <mergeCell ref="Q9:R9"/>
    <mergeCell ref="S9:T9"/>
    <mergeCell ref="M7:M9"/>
    <mergeCell ref="K7:K9"/>
    <mergeCell ref="J7:J9"/>
    <mergeCell ref="I7:I9"/>
    <mergeCell ref="H7:H9"/>
    <mergeCell ref="F7:F9"/>
    <mergeCell ref="N7:P7"/>
    <mergeCell ref="Q10:R10"/>
    <mergeCell ref="S10:T10"/>
    <mergeCell ref="Q7:T7"/>
    <mergeCell ref="U7:Y7"/>
    <mergeCell ref="E7:E9"/>
    <mergeCell ref="L7:L9"/>
    <mergeCell ref="C6:F6"/>
    <mergeCell ref="G6:M6"/>
    <mergeCell ref="N6:Y6"/>
    <mergeCell ref="A2:Y2"/>
    <mergeCell ref="A3:Y3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51" pageOrder="overThenDown" orientation="portrait" blackAndWhite="1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4F81BD"/>
    <outlinePr summaryBelow="0" summaryRight="0"/>
  </sheetPr>
  <dimension ref="A1:AA48"/>
  <sheetViews>
    <sheetView view="pageBreakPreview" topLeftCell="A20" zoomScaleNormal="100" zoomScaleSheetLayoutView="100" workbookViewId="0">
      <selection activeCell="U17" sqref="U17"/>
    </sheetView>
  </sheetViews>
  <sheetFormatPr defaultColWidth="9" defaultRowHeight="12"/>
  <cols>
    <col min="1" max="1" width="11.5" style="180" customWidth="1"/>
    <col min="2" max="5" width="9.25" style="180" customWidth="1"/>
    <col min="6" max="6" width="11.625" style="180" customWidth="1"/>
    <col min="7" max="7" width="10.75" style="180" customWidth="1"/>
    <col min="8" max="8" width="11.875" style="180" customWidth="1"/>
    <col min="9" max="9" width="10.875" style="180" customWidth="1"/>
    <col min="10" max="10" width="12.5" style="180" customWidth="1"/>
    <col min="11" max="11" width="11.125" style="180" customWidth="1"/>
    <col min="12" max="15" width="10.875" style="180" customWidth="1"/>
    <col min="16" max="16" width="14.375" style="180" customWidth="1"/>
    <col min="17" max="18" width="10.875" style="180" customWidth="1"/>
    <col min="19" max="21" width="10.625" style="180" customWidth="1"/>
    <col min="22" max="22" width="13" style="180" customWidth="1"/>
    <col min="23" max="16384" width="9" style="180"/>
  </cols>
  <sheetData>
    <row r="1" spans="1:27" ht="12.75">
      <c r="A1" s="1337" t="s">
        <v>1346</v>
      </c>
      <c r="B1" s="1337"/>
      <c r="C1" s="1337"/>
      <c r="D1" s="1337"/>
      <c r="E1" s="1337"/>
      <c r="F1" s="1337"/>
      <c r="G1" s="1337"/>
      <c r="J1" s="16" t="s">
        <v>844</v>
      </c>
      <c r="T1" s="16" t="s">
        <v>844</v>
      </c>
    </row>
    <row r="2" spans="1:27" ht="25.5">
      <c r="A2" s="1338" t="s">
        <v>1206</v>
      </c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8" t="s">
        <v>1600</v>
      </c>
      <c r="M2" s="1338"/>
      <c r="N2" s="1338"/>
      <c r="O2" s="1338"/>
      <c r="P2" s="1338"/>
      <c r="Q2" s="1338"/>
      <c r="R2" s="1338"/>
      <c r="S2" s="1338"/>
      <c r="T2" s="1338"/>
      <c r="U2" s="1338"/>
      <c r="V2" s="227"/>
    </row>
    <row r="3" spans="1:27" ht="25.5">
      <c r="A3" s="1369" t="s">
        <v>850</v>
      </c>
      <c r="B3" s="1369"/>
      <c r="C3" s="1369"/>
      <c r="D3" s="1369"/>
      <c r="E3" s="1369"/>
      <c r="F3" s="1369"/>
      <c r="G3" s="1369"/>
      <c r="H3" s="1369"/>
      <c r="I3" s="1369"/>
      <c r="J3" s="1369"/>
      <c r="K3" s="1369"/>
      <c r="L3" s="1369" t="s">
        <v>1601</v>
      </c>
      <c r="M3" s="1369"/>
      <c r="N3" s="1369"/>
      <c r="O3" s="1369"/>
      <c r="P3" s="1369"/>
      <c r="Q3" s="1369"/>
      <c r="R3" s="1369"/>
      <c r="S3" s="1369"/>
      <c r="T3" s="1369"/>
      <c r="U3" s="1369"/>
      <c r="V3" s="245"/>
    </row>
    <row r="4" spans="1:27" ht="9.9499999999999993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  <c r="N4" s="799"/>
      <c r="O4" s="799"/>
      <c r="P4" s="799"/>
      <c r="Q4" s="799"/>
      <c r="R4" s="799"/>
      <c r="S4" s="799"/>
      <c r="T4" s="799"/>
      <c r="U4" s="799"/>
      <c r="V4" s="245"/>
    </row>
    <row r="5" spans="1:27" s="27" customFormat="1" ht="15" customHeight="1" thickBot="1">
      <c r="A5" s="77" t="s">
        <v>0</v>
      </c>
      <c r="B5" s="139"/>
      <c r="C5" s="139"/>
      <c r="D5" s="139"/>
      <c r="E5" s="27" t="s">
        <v>2</v>
      </c>
      <c r="G5" s="27" t="s">
        <v>2</v>
      </c>
      <c r="K5" s="79"/>
      <c r="L5" s="77" t="s">
        <v>0</v>
      </c>
      <c r="T5" s="27" t="s">
        <v>2</v>
      </c>
      <c r="U5" s="79" t="s">
        <v>1201</v>
      </c>
    </row>
    <row r="6" spans="1:27" s="84" customFormat="1" ht="27.75" customHeight="1">
      <c r="A6" s="373" t="s">
        <v>434</v>
      </c>
      <c r="B6" s="377"/>
      <c r="C6" s="377" t="s">
        <v>435</v>
      </c>
      <c r="D6" s="382" t="s">
        <v>1202</v>
      </c>
      <c r="E6" s="379"/>
      <c r="F6" s="377" t="s">
        <v>436</v>
      </c>
      <c r="G6" s="379"/>
      <c r="H6" s="305" t="s">
        <v>437</v>
      </c>
      <c r="I6" s="305"/>
      <c r="J6" s="305"/>
      <c r="K6" s="306"/>
      <c r="L6" s="1656" t="s">
        <v>1450</v>
      </c>
      <c r="M6" s="1375"/>
      <c r="N6" s="1375"/>
      <c r="O6" s="1375"/>
      <c r="P6" s="1375"/>
      <c r="Q6" s="1375"/>
      <c r="R6" s="1375"/>
      <c r="S6" s="140"/>
      <c r="T6" s="1474" t="s">
        <v>1451</v>
      </c>
      <c r="U6" s="1657"/>
    </row>
    <row r="7" spans="1:27" s="84" customFormat="1" ht="15" customHeight="1">
      <c r="A7" s="338"/>
      <c r="B7" s="338"/>
      <c r="C7" s="380" t="s">
        <v>438</v>
      </c>
      <c r="D7" s="376" t="s">
        <v>439</v>
      </c>
      <c r="E7" s="380" t="s">
        <v>1289</v>
      </c>
      <c r="F7" s="380" t="s">
        <v>1290</v>
      </c>
      <c r="G7" s="375" t="s">
        <v>1291</v>
      </c>
      <c r="H7" s="380" t="s">
        <v>1292</v>
      </c>
      <c r="I7" s="380" t="s">
        <v>1293</v>
      </c>
      <c r="J7" s="380" t="s">
        <v>1294</v>
      </c>
      <c r="K7" s="380" t="s">
        <v>1295</v>
      </c>
      <c r="L7" s="380" t="s">
        <v>1296</v>
      </c>
      <c r="M7" s="380" t="s">
        <v>1297</v>
      </c>
      <c r="N7" s="375" t="s">
        <v>1298</v>
      </c>
      <c r="O7" s="375" t="s">
        <v>508</v>
      </c>
      <c r="P7" s="375" t="s">
        <v>1299</v>
      </c>
      <c r="Q7" s="375" t="s">
        <v>1300</v>
      </c>
      <c r="R7" s="375" t="s">
        <v>527</v>
      </c>
      <c r="S7" s="380" t="s">
        <v>1452</v>
      </c>
      <c r="T7" s="380" t="s">
        <v>509</v>
      </c>
      <c r="U7" s="375" t="s">
        <v>510</v>
      </c>
    </row>
    <row r="8" spans="1:27" s="84" customFormat="1" ht="15" customHeight="1">
      <c r="A8" s="338"/>
      <c r="B8" s="338"/>
      <c r="C8" s="338"/>
      <c r="D8" s="338"/>
      <c r="E8" s="381"/>
      <c r="F8" s="141"/>
      <c r="G8" s="141"/>
      <c r="H8" s="381"/>
      <c r="I8" s="381"/>
      <c r="J8" s="381"/>
      <c r="K8" s="381"/>
      <c r="L8" s="381"/>
      <c r="M8" s="338"/>
      <c r="N8" s="338"/>
      <c r="O8" s="141"/>
      <c r="P8" s="141"/>
      <c r="Q8" s="141"/>
      <c r="R8" s="141" t="s">
        <v>1301</v>
      </c>
      <c r="S8" s="381"/>
      <c r="T8" s="381"/>
      <c r="U8" s="141" t="s">
        <v>511</v>
      </c>
    </row>
    <row r="9" spans="1:27" s="84" customFormat="1" ht="15" customHeight="1">
      <c r="A9" s="338"/>
      <c r="B9" s="338"/>
      <c r="C9" s="381"/>
      <c r="D9" s="338"/>
      <c r="E9" s="370"/>
      <c r="F9" s="370"/>
      <c r="G9" s="374"/>
      <c r="H9" s="91"/>
      <c r="I9" s="374"/>
      <c r="J9" s="91"/>
      <c r="K9" s="381"/>
      <c r="L9" s="142"/>
      <c r="M9" s="374"/>
      <c r="N9" s="374"/>
      <c r="O9" s="374"/>
      <c r="P9" s="374" t="s">
        <v>519</v>
      </c>
      <c r="Q9" s="374"/>
      <c r="R9" s="374" t="s">
        <v>524</v>
      </c>
      <c r="S9" s="91"/>
      <c r="T9" s="381"/>
      <c r="U9" s="141"/>
    </row>
    <row r="10" spans="1:27" s="84" customFormat="1" ht="15" customHeight="1">
      <c r="A10" s="338"/>
      <c r="B10" s="338"/>
      <c r="C10" s="338"/>
      <c r="D10" s="338"/>
      <c r="E10" s="370" t="s">
        <v>497</v>
      </c>
      <c r="F10" s="370" t="s">
        <v>499</v>
      </c>
      <c r="G10" s="374" t="s">
        <v>501</v>
      </c>
      <c r="H10" s="91" t="s">
        <v>503</v>
      </c>
      <c r="I10" s="374" t="s">
        <v>505</v>
      </c>
      <c r="J10" s="91" t="s">
        <v>506</v>
      </c>
      <c r="K10" s="91" t="s">
        <v>1203</v>
      </c>
      <c r="L10" s="374" t="s">
        <v>1205</v>
      </c>
      <c r="M10" s="374" t="s">
        <v>516</v>
      </c>
      <c r="N10" s="374" t="s">
        <v>518</v>
      </c>
      <c r="O10" s="374" t="s">
        <v>440</v>
      </c>
      <c r="P10" s="374" t="s">
        <v>520</v>
      </c>
      <c r="Q10" s="374" t="s">
        <v>522</v>
      </c>
      <c r="R10" s="374" t="s">
        <v>525</v>
      </c>
      <c r="S10" s="91"/>
      <c r="T10" s="91" t="s">
        <v>512</v>
      </c>
      <c r="U10" s="374" t="s">
        <v>514</v>
      </c>
    </row>
    <row r="11" spans="1:27" s="84" customFormat="1" ht="21" customHeight="1">
      <c r="A11" s="56" t="s">
        <v>667</v>
      </c>
      <c r="B11" s="372"/>
      <c r="C11" s="372" t="s">
        <v>441</v>
      </c>
      <c r="D11" s="372" t="s">
        <v>442</v>
      </c>
      <c r="E11" s="372" t="s">
        <v>498</v>
      </c>
      <c r="F11" s="372" t="s">
        <v>500</v>
      </c>
      <c r="G11" s="371" t="s">
        <v>502</v>
      </c>
      <c r="H11" s="384" t="s">
        <v>504</v>
      </c>
      <c r="I11" s="384" t="s">
        <v>504</v>
      </c>
      <c r="J11" s="384" t="s">
        <v>507</v>
      </c>
      <c r="K11" s="384" t="s">
        <v>1204</v>
      </c>
      <c r="L11" s="384" t="s">
        <v>1204</v>
      </c>
      <c r="M11" s="384" t="s">
        <v>517</v>
      </c>
      <c r="N11" s="371" t="s">
        <v>517</v>
      </c>
      <c r="O11" s="371" t="s">
        <v>517</v>
      </c>
      <c r="P11" s="371" t="s">
        <v>521</v>
      </c>
      <c r="Q11" s="371" t="s">
        <v>523</v>
      </c>
      <c r="R11" s="371" t="s">
        <v>526</v>
      </c>
      <c r="S11" s="384" t="s">
        <v>443</v>
      </c>
      <c r="T11" s="384" t="s">
        <v>513</v>
      </c>
      <c r="U11" s="371" t="s">
        <v>515</v>
      </c>
      <c r="Y11" s="133"/>
      <c r="Z11" s="133"/>
      <c r="AA11" s="271"/>
    </row>
    <row r="12" spans="1:27" s="178" customFormat="1" ht="18.600000000000001" customHeight="1">
      <c r="A12" s="23">
        <v>2019</v>
      </c>
      <c r="B12" s="143">
        <v>15629</v>
      </c>
      <c r="C12" s="143">
        <v>9108</v>
      </c>
      <c r="D12" s="143">
        <v>6521</v>
      </c>
      <c r="E12" s="35">
        <v>7312</v>
      </c>
      <c r="F12" s="35">
        <v>1655</v>
      </c>
      <c r="G12" s="35">
        <v>1522</v>
      </c>
      <c r="H12" s="35">
        <v>1865</v>
      </c>
      <c r="I12" s="35">
        <v>126</v>
      </c>
      <c r="J12" s="35">
        <v>1393</v>
      </c>
      <c r="K12" s="35">
        <v>168</v>
      </c>
      <c r="L12" s="35">
        <v>650</v>
      </c>
      <c r="M12" s="35">
        <v>593</v>
      </c>
      <c r="N12" s="35">
        <v>22</v>
      </c>
      <c r="O12" s="35">
        <v>92</v>
      </c>
      <c r="P12" s="35">
        <v>67</v>
      </c>
      <c r="Q12" s="35">
        <v>17</v>
      </c>
      <c r="R12" s="35">
        <v>105</v>
      </c>
      <c r="S12" s="35">
        <v>42</v>
      </c>
      <c r="T12" s="35">
        <v>6088</v>
      </c>
      <c r="U12" s="35">
        <v>9568</v>
      </c>
      <c r="Y12" s="133"/>
      <c r="Z12" s="133"/>
      <c r="AA12" s="271"/>
    </row>
    <row r="13" spans="1:27" s="178" customFormat="1" ht="21" customHeight="1">
      <c r="A13" s="23">
        <v>2020</v>
      </c>
      <c r="B13" s="143">
        <v>15629</v>
      </c>
      <c r="C13" s="143">
        <v>9148</v>
      </c>
      <c r="D13" s="143">
        <v>6481</v>
      </c>
      <c r="E13" s="35">
        <v>7312</v>
      </c>
      <c r="F13" s="35">
        <v>1655</v>
      </c>
      <c r="G13" s="35">
        <v>1522</v>
      </c>
      <c r="H13" s="35">
        <v>1865</v>
      </c>
      <c r="I13" s="35">
        <v>126</v>
      </c>
      <c r="J13" s="35">
        <v>1393</v>
      </c>
      <c r="K13" s="35">
        <v>168</v>
      </c>
      <c r="L13" s="35">
        <v>650</v>
      </c>
      <c r="M13" s="35">
        <v>593</v>
      </c>
      <c r="N13" s="35">
        <v>22</v>
      </c>
      <c r="O13" s="35">
        <v>92</v>
      </c>
      <c r="P13" s="35">
        <v>67</v>
      </c>
      <c r="Q13" s="35">
        <v>17</v>
      </c>
      <c r="R13" s="35">
        <v>105</v>
      </c>
      <c r="S13" s="35">
        <v>42</v>
      </c>
      <c r="T13" s="35">
        <v>6088</v>
      </c>
      <c r="U13" s="35">
        <v>9541</v>
      </c>
      <c r="Y13" s="133"/>
      <c r="Z13" s="133"/>
      <c r="AA13" s="271"/>
    </row>
    <row r="14" spans="1:27" s="178" customFormat="1" ht="21" customHeight="1">
      <c r="A14" s="23">
        <v>2021</v>
      </c>
      <c r="B14" s="143">
        <v>15695</v>
      </c>
      <c r="C14" s="143">
        <v>9176</v>
      </c>
      <c r="D14" s="143">
        <v>6519</v>
      </c>
      <c r="E14" s="35">
        <v>7243</v>
      </c>
      <c r="F14" s="35">
        <v>1645</v>
      </c>
      <c r="G14" s="35">
        <v>1539</v>
      </c>
      <c r="H14" s="35">
        <v>1902</v>
      </c>
      <c r="I14" s="35">
        <v>130</v>
      </c>
      <c r="J14" s="35">
        <v>1428</v>
      </c>
      <c r="K14" s="35">
        <v>189</v>
      </c>
      <c r="L14" s="35">
        <v>663</v>
      </c>
      <c r="M14" s="35">
        <v>613</v>
      </c>
      <c r="N14" s="35">
        <v>20</v>
      </c>
      <c r="O14" s="35">
        <v>87</v>
      </c>
      <c r="P14" s="35">
        <v>68</v>
      </c>
      <c r="Q14" s="35">
        <v>18</v>
      </c>
      <c r="R14" s="35">
        <v>110</v>
      </c>
      <c r="S14" s="35">
        <v>40</v>
      </c>
      <c r="T14" s="35">
        <v>6090</v>
      </c>
      <c r="U14" s="35">
        <v>9605</v>
      </c>
      <c r="Y14" s="133"/>
      <c r="Z14" s="133"/>
      <c r="AA14" s="271"/>
    </row>
    <row r="15" spans="1:27" s="178" customFormat="1" ht="21" customHeight="1">
      <c r="A15" s="23">
        <v>2022</v>
      </c>
      <c r="B15" s="143">
        <v>15774</v>
      </c>
      <c r="C15" s="143">
        <v>9258</v>
      </c>
      <c r="D15" s="143">
        <v>6516</v>
      </c>
      <c r="E15" s="35">
        <v>7175</v>
      </c>
      <c r="F15" s="35">
        <v>1624</v>
      </c>
      <c r="G15" s="35">
        <v>1538</v>
      </c>
      <c r="H15" s="35">
        <v>1941</v>
      </c>
      <c r="I15" s="35">
        <v>136</v>
      </c>
      <c r="J15" s="35">
        <v>1445</v>
      </c>
      <c r="K15" s="35">
        <v>212</v>
      </c>
      <c r="L15" s="35">
        <v>672</v>
      </c>
      <c r="M15" s="35">
        <v>679</v>
      </c>
      <c r="N15" s="35">
        <v>24</v>
      </c>
      <c r="O15" s="35">
        <v>79</v>
      </c>
      <c r="P15" s="35">
        <v>76</v>
      </c>
      <c r="Q15" s="35">
        <v>19</v>
      </c>
      <c r="R15" s="35">
        <v>115</v>
      </c>
      <c r="S15" s="35">
        <v>39</v>
      </c>
      <c r="T15" s="35">
        <v>6097</v>
      </c>
      <c r="U15" s="35">
        <v>9677</v>
      </c>
      <c r="Y15" s="133"/>
      <c r="Z15" s="133"/>
      <c r="AA15" s="271"/>
    </row>
    <row r="16" spans="1:27" s="178" customFormat="1" ht="21" customHeight="1">
      <c r="A16" s="23">
        <v>2023</v>
      </c>
      <c r="B16" s="143">
        <v>15463</v>
      </c>
      <c r="C16" s="143">
        <v>9100</v>
      </c>
      <c r="D16" s="143">
        <v>6363</v>
      </c>
      <c r="E16" s="35">
        <v>6980</v>
      </c>
      <c r="F16" s="35">
        <v>1583</v>
      </c>
      <c r="G16" s="35">
        <v>1508</v>
      </c>
      <c r="H16" s="35">
        <v>1897</v>
      </c>
      <c r="I16" s="35">
        <v>138</v>
      </c>
      <c r="J16" s="35">
        <v>1469</v>
      </c>
      <c r="K16" s="35">
        <v>273</v>
      </c>
      <c r="L16" s="35">
        <v>655</v>
      </c>
      <c r="M16" s="35">
        <v>658</v>
      </c>
      <c r="N16" s="35">
        <v>24</v>
      </c>
      <c r="O16" s="35">
        <v>69</v>
      </c>
      <c r="P16" s="35">
        <v>80</v>
      </c>
      <c r="Q16" s="35">
        <v>18</v>
      </c>
      <c r="R16" s="35">
        <v>115</v>
      </c>
      <c r="S16" s="35">
        <v>35</v>
      </c>
      <c r="T16" s="35">
        <v>5965</v>
      </c>
      <c r="U16" s="35">
        <v>9498</v>
      </c>
      <c r="Y16" s="133"/>
      <c r="Z16" s="133"/>
      <c r="AA16" s="271"/>
    </row>
    <row r="17" spans="1:27" s="178" customFormat="1" ht="21" customHeight="1">
      <c r="A17" s="33">
        <v>2024</v>
      </c>
      <c r="B17" s="881">
        <f>SUM(B18:B42)</f>
        <v>15310</v>
      </c>
      <c r="C17" s="882">
        <f>SUM(C18:C42)</f>
        <v>9010</v>
      </c>
      <c r="D17" s="882">
        <f>SUM(D18:D42)</f>
        <v>6300</v>
      </c>
      <c r="E17" s="882">
        <f t="shared" ref="E17:U17" si="0">SUM(E18:E42)</f>
        <v>6890</v>
      </c>
      <c r="F17" s="882">
        <f t="shared" si="0"/>
        <v>1535</v>
      </c>
      <c r="G17" s="882">
        <f t="shared" si="0"/>
        <v>1484</v>
      </c>
      <c r="H17" s="882">
        <f t="shared" si="0"/>
        <v>1859</v>
      </c>
      <c r="I17" s="882">
        <f t="shared" si="0"/>
        <v>137</v>
      </c>
      <c r="J17" s="882">
        <f t="shared" si="0"/>
        <v>1487</v>
      </c>
      <c r="K17" s="882">
        <f t="shared" si="0"/>
        <v>267</v>
      </c>
      <c r="L17" s="882">
        <f t="shared" si="0"/>
        <v>647</v>
      </c>
      <c r="M17" s="882">
        <f t="shared" si="0"/>
        <v>664</v>
      </c>
      <c r="N17" s="882">
        <f t="shared" si="0"/>
        <v>21</v>
      </c>
      <c r="O17" s="882">
        <f t="shared" si="0"/>
        <v>70</v>
      </c>
      <c r="P17" s="882">
        <f t="shared" si="0"/>
        <v>88</v>
      </c>
      <c r="Q17" s="882">
        <f t="shared" si="0"/>
        <v>17</v>
      </c>
      <c r="R17" s="882">
        <f t="shared" si="0"/>
        <v>112</v>
      </c>
      <c r="S17" s="882">
        <f t="shared" si="0"/>
        <v>32</v>
      </c>
      <c r="T17" s="882">
        <f t="shared" si="0"/>
        <v>5948</v>
      </c>
      <c r="U17" s="882">
        <f t="shared" si="0"/>
        <v>9362</v>
      </c>
      <c r="Y17" s="133"/>
      <c r="Z17" s="133"/>
      <c r="AA17" s="271"/>
    </row>
    <row r="18" spans="1:27" s="178" customFormat="1" ht="21" customHeight="1">
      <c r="A18" s="93" t="s">
        <v>793</v>
      </c>
      <c r="B18" s="883">
        <f>C18+D18</f>
        <v>766</v>
      </c>
      <c r="C18" s="35">
        <v>469</v>
      </c>
      <c r="D18" s="35">
        <v>297</v>
      </c>
      <c r="E18" s="35">
        <v>283</v>
      </c>
      <c r="F18" s="35">
        <v>83</v>
      </c>
      <c r="G18" s="35">
        <v>94</v>
      </c>
      <c r="H18" s="35">
        <v>73</v>
      </c>
      <c r="I18" s="35">
        <v>9</v>
      </c>
      <c r="J18" s="35">
        <v>157</v>
      </c>
      <c r="K18" s="35">
        <v>10</v>
      </c>
      <c r="L18" s="35">
        <v>23</v>
      </c>
      <c r="M18" s="35">
        <v>26</v>
      </c>
      <c r="N18" s="35">
        <v>0</v>
      </c>
      <c r="O18" s="35">
        <v>2</v>
      </c>
      <c r="P18" s="35">
        <v>0</v>
      </c>
      <c r="Q18" s="35">
        <v>1</v>
      </c>
      <c r="R18" s="35">
        <v>4</v>
      </c>
      <c r="S18" s="35">
        <v>1</v>
      </c>
      <c r="T18" s="35">
        <v>380</v>
      </c>
      <c r="U18" s="35">
        <v>386</v>
      </c>
      <c r="Y18" s="133"/>
      <c r="Z18" s="133"/>
      <c r="AA18" s="271"/>
    </row>
    <row r="19" spans="1:27" s="178" customFormat="1" ht="21" customHeight="1">
      <c r="A19" s="93" t="s">
        <v>794</v>
      </c>
      <c r="B19" s="883">
        <f t="shared" ref="B19:B42" si="1">C19+D19</f>
        <v>961</v>
      </c>
      <c r="C19" s="35">
        <v>557</v>
      </c>
      <c r="D19" s="35">
        <v>404</v>
      </c>
      <c r="E19" s="35">
        <v>435</v>
      </c>
      <c r="F19" s="35">
        <v>107</v>
      </c>
      <c r="G19" s="35">
        <v>104</v>
      </c>
      <c r="H19" s="35">
        <v>95</v>
      </c>
      <c r="I19" s="35">
        <v>7</v>
      </c>
      <c r="J19" s="35">
        <v>83</v>
      </c>
      <c r="K19" s="35">
        <v>24</v>
      </c>
      <c r="L19" s="35">
        <v>34</v>
      </c>
      <c r="M19" s="35">
        <v>51</v>
      </c>
      <c r="N19" s="35">
        <v>2</v>
      </c>
      <c r="O19" s="35">
        <v>3</v>
      </c>
      <c r="P19" s="35">
        <v>8</v>
      </c>
      <c r="Q19" s="35">
        <v>1</v>
      </c>
      <c r="R19" s="35">
        <v>7</v>
      </c>
      <c r="S19" s="35">
        <v>0</v>
      </c>
      <c r="T19" s="35">
        <v>387</v>
      </c>
      <c r="U19" s="35">
        <v>574</v>
      </c>
      <c r="Y19" s="133"/>
      <c r="Z19" s="133"/>
      <c r="AA19" s="271"/>
    </row>
    <row r="20" spans="1:27" s="178" customFormat="1" ht="21" customHeight="1">
      <c r="A20" s="93" t="s">
        <v>795</v>
      </c>
      <c r="B20" s="883">
        <f t="shared" si="1"/>
        <v>147</v>
      </c>
      <c r="C20" s="35">
        <v>89</v>
      </c>
      <c r="D20" s="35">
        <v>58</v>
      </c>
      <c r="E20" s="35">
        <v>73</v>
      </c>
      <c r="F20" s="35">
        <v>13</v>
      </c>
      <c r="G20" s="35">
        <v>10</v>
      </c>
      <c r="H20" s="35">
        <v>18</v>
      </c>
      <c r="I20" s="35">
        <v>0</v>
      </c>
      <c r="J20" s="35">
        <v>10</v>
      </c>
      <c r="K20" s="35">
        <v>0</v>
      </c>
      <c r="L20" s="35">
        <v>17</v>
      </c>
      <c r="M20" s="35">
        <v>6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62</v>
      </c>
      <c r="U20" s="35">
        <v>85</v>
      </c>
      <c r="Y20" s="133"/>
      <c r="Z20" s="133"/>
      <c r="AA20" s="271"/>
    </row>
    <row r="21" spans="1:27" s="178" customFormat="1" ht="21" customHeight="1">
      <c r="A21" s="93" t="s">
        <v>796</v>
      </c>
      <c r="B21" s="883">
        <f t="shared" si="1"/>
        <v>269</v>
      </c>
      <c r="C21" s="35">
        <v>169</v>
      </c>
      <c r="D21" s="35">
        <v>100</v>
      </c>
      <c r="E21" s="35">
        <v>112</v>
      </c>
      <c r="F21" s="35">
        <v>14</v>
      </c>
      <c r="G21" s="35">
        <v>16</v>
      </c>
      <c r="H21" s="35">
        <v>24</v>
      </c>
      <c r="I21" s="35">
        <v>1</v>
      </c>
      <c r="J21" s="35">
        <v>81</v>
      </c>
      <c r="K21" s="35">
        <v>11</v>
      </c>
      <c r="L21" s="35">
        <v>3</v>
      </c>
      <c r="M21" s="35">
        <v>5</v>
      </c>
      <c r="N21" s="35">
        <v>0</v>
      </c>
      <c r="O21" s="35">
        <v>0</v>
      </c>
      <c r="P21" s="35">
        <v>1</v>
      </c>
      <c r="Q21" s="35">
        <v>0</v>
      </c>
      <c r="R21" s="35">
        <v>1</v>
      </c>
      <c r="S21" s="35">
        <v>0</v>
      </c>
      <c r="T21" s="35">
        <v>139</v>
      </c>
      <c r="U21" s="35">
        <v>130</v>
      </c>
      <c r="Y21" s="133"/>
      <c r="Z21" s="133"/>
      <c r="AA21" s="271"/>
    </row>
    <row r="22" spans="1:27" s="178" customFormat="1" ht="21" customHeight="1">
      <c r="A22" s="93" t="s">
        <v>797</v>
      </c>
      <c r="B22" s="883">
        <f t="shared" si="1"/>
        <v>921</v>
      </c>
      <c r="C22" s="35">
        <v>554</v>
      </c>
      <c r="D22" s="35">
        <v>367</v>
      </c>
      <c r="E22" s="35">
        <v>442</v>
      </c>
      <c r="F22" s="35">
        <v>84</v>
      </c>
      <c r="G22" s="35">
        <v>80</v>
      </c>
      <c r="H22" s="35">
        <v>115</v>
      </c>
      <c r="I22" s="35">
        <v>12</v>
      </c>
      <c r="J22" s="35">
        <v>90</v>
      </c>
      <c r="K22" s="35">
        <v>17</v>
      </c>
      <c r="L22" s="35">
        <v>30</v>
      </c>
      <c r="M22" s="35">
        <v>38</v>
      </c>
      <c r="N22" s="35">
        <v>0</v>
      </c>
      <c r="O22" s="35">
        <v>2</v>
      </c>
      <c r="P22" s="35">
        <v>2</v>
      </c>
      <c r="Q22" s="35">
        <v>0</v>
      </c>
      <c r="R22" s="35">
        <v>7</v>
      </c>
      <c r="S22" s="35">
        <v>2</v>
      </c>
      <c r="T22" s="35">
        <v>325</v>
      </c>
      <c r="U22" s="35">
        <v>596</v>
      </c>
      <c r="Y22" s="133"/>
      <c r="Z22" s="133"/>
      <c r="AA22" s="271"/>
    </row>
    <row r="23" spans="1:27" s="178" customFormat="1" ht="21" customHeight="1">
      <c r="A23" s="93" t="s">
        <v>798</v>
      </c>
      <c r="B23" s="883">
        <f t="shared" si="1"/>
        <v>115</v>
      </c>
      <c r="C23" s="35">
        <v>69</v>
      </c>
      <c r="D23" s="35">
        <v>46</v>
      </c>
      <c r="E23" s="35">
        <v>63</v>
      </c>
      <c r="F23" s="35">
        <v>13</v>
      </c>
      <c r="G23" s="35">
        <v>5</v>
      </c>
      <c r="H23" s="35">
        <v>18</v>
      </c>
      <c r="I23" s="35">
        <v>0</v>
      </c>
      <c r="J23" s="35">
        <v>5</v>
      </c>
      <c r="K23" s="35">
        <v>2</v>
      </c>
      <c r="L23" s="35">
        <v>6</v>
      </c>
      <c r="M23" s="35">
        <v>2</v>
      </c>
      <c r="N23" s="35">
        <v>0</v>
      </c>
      <c r="O23" s="35">
        <v>0</v>
      </c>
      <c r="P23" s="35">
        <v>0</v>
      </c>
      <c r="Q23" s="35">
        <v>0</v>
      </c>
      <c r="R23" s="35">
        <v>1</v>
      </c>
      <c r="S23" s="35">
        <v>0</v>
      </c>
      <c r="T23" s="35">
        <v>30</v>
      </c>
      <c r="U23" s="35">
        <v>85</v>
      </c>
      <c r="Y23" s="133"/>
      <c r="Z23" s="133"/>
      <c r="AA23" s="271"/>
    </row>
    <row r="24" spans="1:27" s="178" customFormat="1" ht="21" customHeight="1">
      <c r="A24" s="93" t="s">
        <v>799</v>
      </c>
      <c r="B24" s="883">
        <f t="shared" si="1"/>
        <v>288</v>
      </c>
      <c r="C24" s="35">
        <v>164</v>
      </c>
      <c r="D24" s="35">
        <v>124</v>
      </c>
      <c r="E24" s="35">
        <v>146</v>
      </c>
      <c r="F24" s="35">
        <v>23</v>
      </c>
      <c r="G24" s="35">
        <v>27</v>
      </c>
      <c r="H24" s="35">
        <v>41</v>
      </c>
      <c r="I24" s="35">
        <v>2</v>
      </c>
      <c r="J24" s="35">
        <v>18</v>
      </c>
      <c r="K24" s="35">
        <v>1</v>
      </c>
      <c r="L24" s="35">
        <v>13</v>
      </c>
      <c r="M24" s="35">
        <v>11</v>
      </c>
      <c r="N24" s="35">
        <v>0</v>
      </c>
      <c r="O24" s="35">
        <v>0</v>
      </c>
      <c r="P24" s="35">
        <v>2</v>
      </c>
      <c r="Q24" s="35">
        <v>1</v>
      </c>
      <c r="R24" s="35">
        <v>3</v>
      </c>
      <c r="S24" s="35">
        <v>0</v>
      </c>
      <c r="T24" s="35">
        <v>75</v>
      </c>
      <c r="U24" s="35">
        <v>213</v>
      </c>
      <c r="Y24" s="133"/>
      <c r="Z24" s="133"/>
      <c r="AA24" s="271"/>
    </row>
    <row r="25" spans="1:27" s="178" customFormat="1" ht="21" customHeight="1">
      <c r="A25" s="93" t="s">
        <v>800</v>
      </c>
      <c r="B25" s="883">
        <f t="shared" si="1"/>
        <v>357</v>
      </c>
      <c r="C25" s="35">
        <v>195</v>
      </c>
      <c r="D25" s="35">
        <v>162</v>
      </c>
      <c r="E25" s="35">
        <v>151</v>
      </c>
      <c r="F25" s="35">
        <v>31</v>
      </c>
      <c r="G25" s="35">
        <v>32</v>
      </c>
      <c r="H25" s="35">
        <v>46</v>
      </c>
      <c r="I25" s="35">
        <v>4</v>
      </c>
      <c r="J25" s="35">
        <v>39</v>
      </c>
      <c r="K25" s="35">
        <v>1</v>
      </c>
      <c r="L25" s="35">
        <v>36</v>
      </c>
      <c r="M25" s="35">
        <v>8</v>
      </c>
      <c r="N25" s="35">
        <v>0</v>
      </c>
      <c r="O25" s="35">
        <v>2</v>
      </c>
      <c r="P25" s="35">
        <v>2</v>
      </c>
      <c r="Q25" s="35">
        <v>0</v>
      </c>
      <c r="R25" s="35">
        <v>4</v>
      </c>
      <c r="S25" s="35">
        <v>1</v>
      </c>
      <c r="T25" s="35">
        <v>147</v>
      </c>
      <c r="U25" s="35">
        <v>210</v>
      </c>
    </row>
    <row r="26" spans="1:27" s="178" customFormat="1" ht="21" customHeight="1">
      <c r="A26" s="93" t="s">
        <v>801</v>
      </c>
      <c r="B26" s="883">
        <f t="shared" si="1"/>
        <v>263</v>
      </c>
      <c r="C26" s="35">
        <v>136</v>
      </c>
      <c r="D26" s="35">
        <v>127</v>
      </c>
      <c r="E26" s="35">
        <v>121</v>
      </c>
      <c r="F26" s="35">
        <v>13</v>
      </c>
      <c r="G26" s="35">
        <v>30</v>
      </c>
      <c r="H26" s="35">
        <v>38</v>
      </c>
      <c r="I26" s="35">
        <v>2</v>
      </c>
      <c r="J26" s="35">
        <v>30</v>
      </c>
      <c r="K26" s="35">
        <v>5</v>
      </c>
      <c r="L26" s="35">
        <v>11</v>
      </c>
      <c r="M26" s="35">
        <v>9</v>
      </c>
      <c r="N26" s="35">
        <v>1</v>
      </c>
      <c r="O26" s="35">
        <v>2</v>
      </c>
      <c r="P26" s="35">
        <v>1</v>
      </c>
      <c r="Q26" s="35">
        <v>0</v>
      </c>
      <c r="R26" s="35">
        <v>0</v>
      </c>
      <c r="S26" s="35">
        <v>0</v>
      </c>
      <c r="T26" s="35">
        <v>87</v>
      </c>
      <c r="U26" s="35">
        <v>176</v>
      </c>
    </row>
    <row r="27" spans="1:27" s="178" customFormat="1" ht="21" customHeight="1">
      <c r="A27" s="93" t="s">
        <v>802</v>
      </c>
      <c r="B27" s="883">
        <f t="shared" si="1"/>
        <v>109</v>
      </c>
      <c r="C27" s="35">
        <v>76</v>
      </c>
      <c r="D27" s="35">
        <v>33</v>
      </c>
      <c r="E27" s="35">
        <v>63</v>
      </c>
      <c r="F27" s="35">
        <v>7</v>
      </c>
      <c r="G27" s="35">
        <v>9</v>
      </c>
      <c r="H27" s="35">
        <v>14</v>
      </c>
      <c r="I27" s="35">
        <v>1</v>
      </c>
      <c r="J27" s="35">
        <v>6</v>
      </c>
      <c r="K27" s="35">
        <v>0</v>
      </c>
      <c r="L27" s="35">
        <v>1</v>
      </c>
      <c r="M27" s="35">
        <v>3</v>
      </c>
      <c r="N27" s="35">
        <v>1</v>
      </c>
      <c r="O27" s="35">
        <v>0</v>
      </c>
      <c r="P27" s="35">
        <v>2</v>
      </c>
      <c r="Q27" s="35">
        <v>0</v>
      </c>
      <c r="R27" s="35">
        <v>2</v>
      </c>
      <c r="S27" s="35">
        <v>0</v>
      </c>
      <c r="T27" s="35">
        <v>29</v>
      </c>
      <c r="U27" s="35">
        <v>80</v>
      </c>
    </row>
    <row r="28" spans="1:27" s="178" customFormat="1" ht="21" customHeight="1">
      <c r="A28" s="93" t="s">
        <v>803</v>
      </c>
      <c r="B28" s="883">
        <f t="shared" si="1"/>
        <v>452</v>
      </c>
      <c r="C28" s="35">
        <v>250</v>
      </c>
      <c r="D28" s="35">
        <v>202</v>
      </c>
      <c r="E28" s="35">
        <v>206</v>
      </c>
      <c r="F28" s="35">
        <v>42</v>
      </c>
      <c r="G28" s="35">
        <v>47</v>
      </c>
      <c r="H28" s="35">
        <v>64</v>
      </c>
      <c r="I28" s="35">
        <v>5</v>
      </c>
      <c r="J28" s="35">
        <v>34</v>
      </c>
      <c r="K28" s="35">
        <v>9</v>
      </c>
      <c r="L28" s="35">
        <v>15</v>
      </c>
      <c r="M28" s="35">
        <v>20</v>
      </c>
      <c r="N28" s="35">
        <v>0</v>
      </c>
      <c r="O28" s="35">
        <v>0</v>
      </c>
      <c r="P28" s="35">
        <v>3</v>
      </c>
      <c r="Q28" s="35">
        <v>2</v>
      </c>
      <c r="R28" s="35">
        <v>4</v>
      </c>
      <c r="S28" s="35">
        <v>1</v>
      </c>
      <c r="T28" s="35">
        <v>150</v>
      </c>
      <c r="U28" s="35">
        <v>302</v>
      </c>
    </row>
    <row r="29" spans="1:27" s="178" customFormat="1" ht="21" customHeight="1">
      <c r="A29" s="93" t="s">
        <v>804</v>
      </c>
      <c r="B29" s="883">
        <f t="shared" si="1"/>
        <v>186</v>
      </c>
      <c r="C29" s="35">
        <v>107</v>
      </c>
      <c r="D29" s="35">
        <v>79</v>
      </c>
      <c r="E29" s="35">
        <v>78</v>
      </c>
      <c r="F29" s="35">
        <v>20</v>
      </c>
      <c r="G29" s="35">
        <v>15</v>
      </c>
      <c r="H29" s="35">
        <v>27</v>
      </c>
      <c r="I29" s="35">
        <v>2</v>
      </c>
      <c r="J29" s="35">
        <v>23</v>
      </c>
      <c r="K29" s="35">
        <v>2</v>
      </c>
      <c r="L29" s="35">
        <v>10</v>
      </c>
      <c r="M29" s="35">
        <v>7</v>
      </c>
      <c r="N29" s="35">
        <v>0</v>
      </c>
      <c r="O29" s="35">
        <v>1</v>
      </c>
      <c r="P29" s="35">
        <v>1</v>
      </c>
      <c r="Q29" s="35">
        <v>0</v>
      </c>
      <c r="R29" s="35">
        <v>0</v>
      </c>
      <c r="S29" s="35">
        <v>0</v>
      </c>
      <c r="T29" s="35">
        <v>77</v>
      </c>
      <c r="U29" s="35">
        <v>109</v>
      </c>
    </row>
    <row r="30" spans="1:27" s="178" customFormat="1" ht="21" customHeight="1">
      <c r="A30" s="93" t="s">
        <v>805</v>
      </c>
      <c r="B30" s="883">
        <f t="shared" si="1"/>
        <v>213</v>
      </c>
      <c r="C30" s="35">
        <v>126</v>
      </c>
      <c r="D30" s="35">
        <v>87</v>
      </c>
      <c r="E30" s="35">
        <v>94</v>
      </c>
      <c r="F30" s="35">
        <v>29</v>
      </c>
      <c r="G30" s="35">
        <v>23</v>
      </c>
      <c r="H30" s="35">
        <v>28</v>
      </c>
      <c r="I30" s="35">
        <v>2</v>
      </c>
      <c r="J30" s="35">
        <v>18</v>
      </c>
      <c r="K30" s="35">
        <v>0</v>
      </c>
      <c r="L30" s="35">
        <v>9</v>
      </c>
      <c r="M30" s="35">
        <v>1</v>
      </c>
      <c r="N30" s="35">
        <v>1</v>
      </c>
      <c r="O30" s="35">
        <v>2</v>
      </c>
      <c r="P30" s="35">
        <v>1</v>
      </c>
      <c r="Q30" s="35">
        <v>2</v>
      </c>
      <c r="R30" s="35">
        <v>1</v>
      </c>
      <c r="S30" s="35">
        <v>2</v>
      </c>
      <c r="T30" s="35">
        <v>81</v>
      </c>
      <c r="U30" s="35">
        <v>132</v>
      </c>
    </row>
    <row r="31" spans="1:27" s="178" customFormat="1" ht="21" customHeight="1">
      <c r="A31" s="93" t="s">
        <v>806</v>
      </c>
      <c r="B31" s="883">
        <f t="shared" si="1"/>
        <v>240</v>
      </c>
      <c r="C31" s="35">
        <v>140</v>
      </c>
      <c r="D31" s="35">
        <v>100</v>
      </c>
      <c r="E31" s="35">
        <v>114</v>
      </c>
      <c r="F31" s="35">
        <v>15</v>
      </c>
      <c r="G31" s="35">
        <v>29</v>
      </c>
      <c r="H31" s="35">
        <v>29</v>
      </c>
      <c r="I31" s="35">
        <v>3</v>
      </c>
      <c r="J31" s="35">
        <v>20</v>
      </c>
      <c r="K31" s="35">
        <v>3</v>
      </c>
      <c r="L31" s="35">
        <v>10</v>
      </c>
      <c r="M31" s="35">
        <v>12</v>
      </c>
      <c r="N31" s="35">
        <v>0</v>
      </c>
      <c r="O31" s="35">
        <v>1</v>
      </c>
      <c r="P31" s="35">
        <v>0</v>
      </c>
      <c r="Q31" s="35">
        <v>0</v>
      </c>
      <c r="R31" s="35">
        <v>3</v>
      </c>
      <c r="S31" s="35">
        <v>1</v>
      </c>
      <c r="T31" s="35">
        <v>74</v>
      </c>
      <c r="U31" s="35">
        <v>166</v>
      </c>
    </row>
    <row r="32" spans="1:27" s="179" customFormat="1" ht="21" customHeight="1">
      <c r="A32" s="93" t="s">
        <v>807</v>
      </c>
      <c r="B32" s="883">
        <f t="shared" si="1"/>
        <v>442</v>
      </c>
      <c r="C32" s="35">
        <v>285</v>
      </c>
      <c r="D32" s="35">
        <v>157</v>
      </c>
      <c r="E32" s="35">
        <v>195</v>
      </c>
      <c r="F32" s="35">
        <v>44</v>
      </c>
      <c r="G32" s="35">
        <v>46</v>
      </c>
      <c r="H32" s="35">
        <v>53</v>
      </c>
      <c r="I32" s="35">
        <v>2</v>
      </c>
      <c r="J32" s="35">
        <v>43</v>
      </c>
      <c r="K32" s="35">
        <v>14</v>
      </c>
      <c r="L32" s="35">
        <v>15</v>
      </c>
      <c r="M32" s="35">
        <v>14</v>
      </c>
      <c r="N32" s="35">
        <v>0</v>
      </c>
      <c r="O32" s="35">
        <v>7</v>
      </c>
      <c r="P32" s="35">
        <v>3</v>
      </c>
      <c r="Q32" s="35">
        <v>0</v>
      </c>
      <c r="R32" s="35">
        <v>5</v>
      </c>
      <c r="S32" s="35">
        <v>1</v>
      </c>
      <c r="T32" s="35">
        <v>185</v>
      </c>
      <c r="U32" s="35">
        <v>257</v>
      </c>
    </row>
    <row r="33" spans="1:27" s="178" customFormat="1" ht="21" customHeight="1">
      <c r="A33" s="93" t="s">
        <v>808</v>
      </c>
      <c r="B33" s="883">
        <f t="shared" si="1"/>
        <v>746</v>
      </c>
      <c r="C33" s="35">
        <v>450</v>
      </c>
      <c r="D33" s="35">
        <v>296</v>
      </c>
      <c r="E33" s="35">
        <v>321</v>
      </c>
      <c r="F33" s="35">
        <v>88</v>
      </c>
      <c r="G33" s="35">
        <v>75</v>
      </c>
      <c r="H33" s="35">
        <v>84</v>
      </c>
      <c r="I33" s="35">
        <v>6</v>
      </c>
      <c r="J33" s="35">
        <v>71</v>
      </c>
      <c r="K33" s="35">
        <v>16</v>
      </c>
      <c r="L33" s="35">
        <v>29</v>
      </c>
      <c r="M33" s="35">
        <v>42</v>
      </c>
      <c r="N33" s="35">
        <v>0</v>
      </c>
      <c r="O33" s="35">
        <v>2</v>
      </c>
      <c r="P33" s="35">
        <v>4</v>
      </c>
      <c r="Q33" s="35">
        <v>1</v>
      </c>
      <c r="R33" s="35">
        <v>4</v>
      </c>
      <c r="S33" s="35">
        <v>3</v>
      </c>
      <c r="T33" s="35">
        <v>286</v>
      </c>
      <c r="U33" s="35">
        <v>460</v>
      </c>
      <c r="Y33" s="133"/>
      <c r="Z33" s="133"/>
      <c r="AA33" s="271"/>
    </row>
    <row r="34" spans="1:27" s="178" customFormat="1" ht="21" customHeight="1">
      <c r="A34" s="93" t="s">
        <v>548</v>
      </c>
      <c r="B34" s="883">
        <f t="shared" si="1"/>
        <v>607</v>
      </c>
      <c r="C34" s="143">
        <v>350</v>
      </c>
      <c r="D34" s="143">
        <v>257</v>
      </c>
      <c r="E34" s="143">
        <v>260</v>
      </c>
      <c r="F34" s="143">
        <v>60</v>
      </c>
      <c r="G34" s="143">
        <v>41</v>
      </c>
      <c r="H34" s="143">
        <v>97</v>
      </c>
      <c r="I34" s="143">
        <v>5</v>
      </c>
      <c r="J34" s="143">
        <v>55</v>
      </c>
      <c r="K34" s="143">
        <v>19</v>
      </c>
      <c r="L34" s="143">
        <v>16</v>
      </c>
      <c r="M34" s="143">
        <v>40</v>
      </c>
      <c r="N34" s="143">
        <v>0</v>
      </c>
      <c r="O34" s="143">
        <v>3</v>
      </c>
      <c r="P34" s="143">
        <v>4</v>
      </c>
      <c r="Q34" s="143">
        <v>1</v>
      </c>
      <c r="R34" s="143">
        <v>4</v>
      </c>
      <c r="S34" s="143">
        <v>2</v>
      </c>
      <c r="T34" s="143">
        <v>225</v>
      </c>
      <c r="U34" s="143">
        <v>382</v>
      </c>
      <c r="Y34" s="133"/>
      <c r="Z34" s="133"/>
      <c r="AA34" s="271"/>
    </row>
    <row r="35" spans="1:27" s="178" customFormat="1" ht="21" customHeight="1">
      <c r="A35" s="93" t="s">
        <v>549</v>
      </c>
      <c r="B35" s="883">
        <f t="shared" si="1"/>
        <v>1181</v>
      </c>
      <c r="C35" s="143">
        <v>705</v>
      </c>
      <c r="D35" s="143">
        <v>476</v>
      </c>
      <c r="E35" s="143">
        <v>513</v>
      </c>
      <c r="F35" s="143">
        <v>115</v>
      </c>
      <c r="G35" s="143">
        <v>105</v>
      </c>
      <c r="H35" s="143">
        <v>147</v>
      </c>
      <c r="I35" s="143">
        <v>7</v>
      </c>
      <c r="J35" s="143">
        <v>114</v>
      </c>
      <c r="K35" s="143">
        <v>23</v>
      </c>
      <c r="L35" s="143">
        <v>78</v>
      </c>
      <c r="M35" s="143">
        <v>54</v>
      </c>
      <c r="N35" s="143">
        <v>3</v>
      </c>
      <c r="O35" s="143">
        <v>8</v>
      </c>
      <c r="P35" s="143">
        <v>4</v>
      </c>
      <c r="Q35" s="143">
        <v>0</v>
      </c>
      <c r="R35" s="143">
        <v>9</v>
      </c>
      <c r="S35" s="143">
        <v>1</v>
      </c>
      <c r="T35" s="143">
        <v>535</v>
      </c>
      <c r="U35" s="143">
        <v>646</v>
      </c>
      <c r="Y35" s="133"/>
      <c r="Z35" s="133"/>
      <c r="AA35" s="271"/>
    </row>
    <row r="36" spans="1:27" s="178" customFormat="1" ht="21" customHeight="1">
      <c r="A36" s="93" t="s">
        <v>809</v>
      </c>
      <c r="B36" s="883">
        <f t="shared" si="1"/>
        <v>228</v>
      </c>
      <c r="C36" s="143">
        <v>140</v>
      </c>
      <c r="D36" s="143">
        <v>88</v>
      </c>
      <c r="E36" s="143">
        <v>103</v>
      </c>
      <c r="F36" s="143">
        <v>22</v>
      </c>
      <c r="G36" s="143">
        <v>18</v>
      </c>
      <c r="H36" s="143">
        <v>42</v>
      </c>
      <c r="I36" s="143">
        <v>2</v>
      </c>
      <c r="J36" s="143">
        <v>20</v>
      </c>
      <c r="K36" s="143">
        <v>1</v>
      </c>
      <c r="L36" s="143">
        <v>7</v>
      </c>
      <c r="M36" s="143">
        <v>7</v>
      </c>
      <c r="N36" s="143">
        <v>0</v>
      </c>
      <c r="O36" s="143">
        <v>1</v>
      </c>
      <c r="P36" s="143">
        <v>3</v>
      </c>
      <c r="Q36" s="143">
        <v>0</v>
      </c>
      <c r="R36" s="143">
        <v>1</v>
      </c>
      <c r="S36" s="143">
        <v>1</v>
      </c>
      <c r="T36" s="143">
        <v>73</v>
      </c>
      <c r="U36" s="143">
        <v>155</v>
      </c>
      <c r="Y36" s="133"/>
      <c r="Z36" s="133"/>
      <c r="AA36" s="271"/>
    </row>
    <row r="37" spans="1:27" s="178" customFormat="1" ht="21" customHeight="1">
      <c r="A37" s="93" t="s">
        <v>551</v>
      </c>
      <c r="B37" s="883">
        <f t="shared" si="1"/>
        <v>938</v>
      </c>
      <c r="C37" s="143">
        <v>519</v>
      </c>
      <c r="D37" s="143">
        <v>419</v>
      </c>
      <c r="E37" s="143">
        <v>390</v>
      </c>
      <c r="F37" s="143">
        <v>89</v>
      </c>
      <c r="G37" s="143">
        <v>90</v>
      </c>
      <c r="H37" s="143">
        <v>124</v>
      </c>
      <c r="I37" s="143">
        <v>6</v>
      </c>
      <c r="J37" s="143">
        <v>89</v>
      </c>
      <c r="K37" s="143">
        <v>7</v>
      </c>
      <c r="L37" s="143">
        <v>80</v>
      </c>
      <c r="M37" s="143">
        <v>42</v>
      </c>
      <c r="N37" s="143">
        <v>2</v>
      </c>
      <c r="O37" s="143">
        <v>1</v>
      </c>
      <c r="P37" s="143">
        <v>7</v>
      </c>
      <c r="Q37" s="143">
        <v>0</v>
      </c>
      <c r="R37" s="143">
        <v>6</v>
      </c>
      <c r="S37" s="143">
        <v>5</v>
      </c>
      <c r="T37" s="143">
        <v>394</v>
      </c>
      <c r="U37" s="143">
        <v>544</v>
      </c>
      <c r="Y37" s="133"/>
      <c r="Z37" s="133"/>
      <c r="AA37" s="271"/>
    </row>
    <row r="38" spans="1:27" s="178" customFormat="1" ht="21" customHeight="1">
      <c r="A38" s="93" t="s">
        <v>552</v>
      </c>
      <c r="B38" s="883">
        <f t="shared" si="1"/>
        <v>232</v>
      </c>
      <c r="C38" s="143">
        <v>136</v>
      </c>
      <c r="D38" s="143">
        <v>96</v>
      </c>
      <c r="E38" s="143">
        <v>112</v>
      </c>
      <c r="F38" s="143">
        <v>24</v>
      </c>
      <c r="G38" s="143">
        <v>20</v>
      </c>
      <c r="H38" s="143">
        <v>31</v>
      </c>
      <c r="I38" s="143">
        <v>1</v>
      </c>
      <c r="J38" s="143">
        <v>17</v>
      </c>
      <c r="K38" s="143">
        <v>1</v>
      </c>
      <c r="L38" s="143">
        <v>11</v>
      </c>
      <c r="M38" s="143">
        <v>10</v>
      </c>
      <c r="N38" s="143">
        <v>0</v>
      </c>
      <c r="O38" s="143">
        <v>0</v>
      </c>
      <c r="P38" s="143">
        <v>1</v>
      </c>
      <c r="Q38" s="143">
        <v>0</v>
      </c>
      <c r="R38" s="143">
        <v>4</v>
      </c>
      <c r="S38" s="143">
        <v>0</v>
      </c>
      <c r="T38" s="143">
        <v>79</v>
      </c>
      <c r="U38" s="143">
        <v>153</v>
      </c>
      <c r="Y38" s="133"/>
      <c r="Z38" s="133"/>
      <c r="AA38" s="271"/>
    </row>
    <row r="39" spans="1:27" s="178" customFormat="1" ht="21" customHeight="1">
      <c r="A39" s="93" t="s">
        <v>810</v>
      </c>
      <c r="B39" s="883">
        <f t="shared" si="1"/>
        <v>1478</v>
      </c>
      <c r="C39" s="143">
        <v>894</v>
      </c>
      <c r="D39" s="143">
        <v>584</v>
      </c>
      <c r="E39" s="143">
        <v>655</v>
      </c>
      <c r="F39" s="143">
        <v>161</v>
      </c>
      <c r="G39" s="143">
        <v>134</v>
      </c>
      <c r="H39" s="143">
        <v>180</v>
      </c>
      <c r="I39" s="143">
        <v>12</v>
      </c>
      <c r="J39" s="143">
        <v>138</v>
      </c>
      <c r="K39" s="143">
        <v>27</v>
      </c>
      <c r="L39" s="143">
        <v>70</v>
      </c>
      <c r="M39" s="143">
        <v>63</v>
      </c>
      <c r="N39" s="143">
        <v>4</v>
      </c>
      <c r="O39" s="143">
        <v>10</v>
      </c>
      <c r="P39" s="143">
        <v>5</v>
      </c>
      <c r="Q39" s="143">
        <v>2</v>
      </c>
      <c r="R39" s="143">
        <v>14</v>
      </c>
      <c r="S39" s="143">
        <v>3</v>
      </c>
      <c r="T39" s="143">
        <v>578</v>
      </c>
      <c r="U39" s="143">
        <v>900</v>
      </c>
      <c r="Y39" s="133"/>
      <c r="Z39" s="133"/>
      <c r="AA39" s="271"/>
    </row>
    <row r="40" spans="1:27" s="178" customFormat="1" ht="21" customHeight="1">
      <c r="A40" s="93" t="s">
        <v>811</v>
      </c>
      <c r="B40" s="883">
        <f t="shared" si="1"/>
        <v>1977</v>
      </c>
      <c r="C40" s="143">
        <v>1123</v>
      </c>
      <c r="D40" s="143">
        <v>854</v>
      </c>
      <c r="E40" s="143">
        <v>911</v>
      </c>
      <c r="F40" s="143">
        <v>219</v>
      </c>
      <c r="G40" s="143">
        <v>214</v>
      </c>
      <c r="H40" s="143">
        <v>215</v>
      </c>
      <c r="I40" s="143">
        <v>23</v>
      </c>
      <c r="J40" s="143">
        <v>170</v>
      </c>
      <c r="K40" s="143">
        <v>30</v>
      </c>
      <c r="L40" s="143">
        <v>66</v>
      </c>
      <c r="M40" s="143">
        <v>85</v>
      </c>
      <c r="N40" s="143">
        <v>3</v>
      </c>
      <c r="O40" s="143">
        <v>12</v>
      </c>
      <c r="P40" s="143">
        <v>13</v>
      </c>
      <c r="Q40" s="143">
        <v>3</v>
      </c>
      <c r="R40" s="143">
        <v>8</v>
      </c>
      <c r="S40" s="143">
        <v>5</v>
      </c>
      <c r="T40" s="143">
        <v>756</v>
      </c>
      <c r="U40" s="143">
        <v>1221</v>
      </c>
      <c r="Y40" s="133"/>
      <c r="Z40" s="133"/>
      <c r="AA40" s="271"/>
    </row>
    <row r="41" spans="1:27" s="178" customFormat="1" ht="21" customHeight="1">
      <c r="A41" s="93" t="s">
        <v>812</v>
      </c>
      <c r="B41" s="883">
        <f t="shared" si="1"/>
        <v>970</v>
      </c>
      <c r="C41" s="143">
        <v>570</v>
      </c>
      <c r="D41" s="143">
        <v>400</v>
      </c>
      <c r="E41" s="143">
        <v>474</v>
      </c>
      <c r="F41" s="143">
        <v>96</v>
      </c>
      <c r="G41" s="143">
        <v>93</v>
      </c>
      <c r="H41" s="143">
        <v>108</v>
      </c>
      <c r="I41" s="143">
        <v>13</v>
      </c>
      <c r="J41" s="143">
        <v>60</v>
      </c>
      <c r="K41" s="143">
        <v>22</v>
      </c>
      <c r="L41" s="143">
        <v>22</v>
      </c>
      <c r="M41" s="143">
        <v>50</v>
      </c>
      <c r="N41" s="143">
        <v>1</v>
      </c>
      <c r="O41" s="143">
        <v>7</v>
      </c>
      <c r="P41" s="143">
        <v>10</v>
      </c>
      <c r="Q41" s="143">
        <v>2</v>
      </c>
      <c r="R41" s="143">
        <v>12</v>
      </c>
      <c r="S41" s="143">
        <v>0</v>
      </c>
      <c r="T41" s="143">
        <v>301</v>
      </c>
      <c r="U41" s="143">
        <v>669</v>
      </c>
      <c r="Y41" s="133"/>
      <c r="Z41" s="133"/>
      <c r="AA41" s="271"/>
    </row>
    <row r="42" spans="1:27" s="178" customFormat="1" ht="21" customHeight="1" thickBot="1">
      <c r="A42" s="351" t="s">
        <v>813</v>
      </c>
      <c r="B42" s="884">
        <f t="shared" si="1"/>
        <v>1224</v>
      </c>
      <c r="C42" s="1161">
        <v>737</v>
      </c>
      <c r="D42" s="1161">
        <v>487</v>
      </c>
      <c r="E42" s="1161">
        <v>575</v>
      </c>
      <c r="F42" s="1161">
        <v>123</v>
      </c>
      <c r="G42" s="1161">
        <v>127</v>
      </c>
      <c r="H42" s="1161">
        <v>148</v>
      </c>
      <c r="I42" s="1161">
        <v>10</v>
      </c>
      <c r="J42" s="1161">
        <v>96</v>
      </c>
      <c r="K42" s="1161">
        <v>22</v>
      </c>
      <c r="L42" s="1161">
        <v>35</v>
      </c>
      <c r="M42" s="1161">
        <v>58</v>
      </c>
      <c r="N42" s="1161">
        <v>3</v>
      </c>
      <c r="O42" s="1161">
        <v>4</v>
      </c>
      <c r="P42" s="1161">
        <v>11</v>
      </c>
      <c r="Q42" s="1161">
        <v>1</v>
      </c>
      <c r="R42" s="1161">
        <v>8</v>
      </c>
      <c r="S42" s="1161">
        <v>3</v>
      </c>
      <c r="T42" s="1161">
        <v>493</v>
      </c>
      <c r="U42" s="1161">
        <v>731</v>
      </c>
      <c r="Y42" s="133"/>
      <c r="Z42" s="133"/>
      <c r="AA42" s="271"/>
    </row>
    <row r="43" spans="1:27" s="179" customFormat="1" ht="15" customHeight="1">
      <c r="A43" s="97" t="s">
        <v>1763</v>
      </c>
      <c r="B43" s="133"/>
      <c r="C43" s="133"/>
      <c r="D43" s="133"/>
      <c r="E43" s="133"/>
      <c r="F43" s="133"/>
      <c r="G43" s="133"/>
      <c r="H43" s="133"/>
      <c r="I43" s="133"/>
      <c r="J43" s="133"/>
      <c r="K43" s="38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272"/>
    </row>
    <row r="44" spans="1:27" s="181" customFormat="1" ht="12" customHeight="1">
      <c r="A44" s="97" t="s">
        <v>1727</v>
      </c>
      <c r="B44" s="273"/>
      <c r="C44" s="273"/>
      <c r="D44" s="273"/>
      <c r="G44" s="274"/>
      <c r="K44" s="383"/>
      <c r="S44" s="383"/>
      <c r="V44" s="383"/>
    </row>
    <row r="45" spans="1:27" s="182" customFormat="1"/>
    <row r="46" spans="1:27" s="182" customFormat="1"/>
    <row r="47" spans="1:27" s="182" customFormat="1"/>
    <row r="48" spans="1:27" s="182" customFormat="1"/>
  </sheetData>
  <sheetProtection selectLockedCells="1"/>
  <mergeCells count="7">
    <mergeCell ref="L6:R6"/>
    <mergeCell ref="T6:U6"/>
    <mergeCell ref="A1:G1"/>
    <mergeCell ref="A2:K2"/>
    <mergeCell ref="A3:K3"/>
    <mergeCell ref="L2:U2"/>
    <mergeCell ref="L3:U3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74" pageOrder="overThenDown" orientation="portrait" blackAndWhite="1" r:id="rId1"/>
  <headerFooter alignWithMargins="0"/>
  <colBreaks count="1" manualBreakCount="1">
    <brk id="11" max="42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/>
    <outlinePr summaryBelow="0" summaryRight="0"/>
  </sheetPr>
  <dimension ref="A1:V20"/>
  <sheetViews>
    <sheetView view="pageBreakPreview" zoomScaleNormal="89" zoomScaleSheetLayoutView="100" workbookViewId="0">
      <selection activeCell="M32" sqref="M32"/>
    </sheetView>
  </sheetViews>
  <sheetFormatPr defaultColWidth="9" defaultRowHeight="12" outlineLevelRow="1"/>
  <cols>
    <col min="1" max="1" width="6.5" style="98" customWidth="1"/>
    <col min="2" max="2" width="7.875" style="98" customWidth="1"/>
    <col min="3" max="3" width="10.125" style="98" customWidth="1"/>
    <col min="4" max="5" width="6.625" style="98" customWidth="1"/>
    <col min="6" max="7" width="8.625" style="98" customWidth="1"/>
    <col min="8" max="8" width="6.5" style="98" customWidth="1"/>
    <col min="9" max="9" width="10.125" style="98" customWidth="1"/>
    <col min="10" max="14" width="6.625" style="98" customWidth="1"/>
    <col min="15" max="15" width="7.625" style="98" customWidth="1"/>
    <col min="16" max="16" width="8.75" style="98" customWidth="1"/>
    <col min="17" max="17" width="8.875" style="98" customWidth="1"/>
    <col min="18" max="18" width="8.125" style="98" customWidth="1"/>
    <col min="19" max="19" width="9.25" style="98" customWidth="1"/>
    <col min="20" max="20" width="10.125" style="98" customWidth="1"/>
    <col min="21" max="21" width="6.625" style="98" customWidth="1"/>
    <col min="22" max="16384" width="9" style="98"/>
  </cols>
  <sheetData>
    <row r="1" spans="1:22" s="1198" customFormat="1" ht="24.95" customHeight="1">
      <c r="A1" s="1661" t="s">
        <v>1335</v>
      </c>
      <c r="B1" s="1337"/>
      <c r="C1" s="1337"/>
      <c r="D1" s="1337"/>
      <c r="E1" s="1337"/>
      <c r="F1" s="1337"/>
      <c r="G1" s="1337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198" t="s">
        <v>1602</v>
      </c>
    </row>
    <row r="2" spans="1:22" s="75" customFormat="1" ht="24.95" customHeight="1">
      <c r="A2" s="1338" t="s">
        <v>1786</v>
      </c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8"/>
      <c r="M2" s="1338"/>
      <c r="N2" s="1338"/>
      <c r="O2" s="1338"/>
      <c r="P2" s="1338"/>
      <c r="Q2" s="1338"/>
      <c r="R2" s="1338"/>
      <c r="S2" s="1338"/>
      <c r="T2" s="1338"/>
      <c r="U2" s="1338"/>
      <c r="V2" s="232"/>
    </row>
    <row r="3" spans="1:22" ht="24.95" customHeight="1">
      <c r="A3" s="1369" t="s">
        <v>817</v>
      </c>
      <c r="B3" s="1369"/>
      <c r="C3" s="1369"/>
      <c r="D3" s="1369"/>
      <c r="E3" s="1369"/>
      <c r="F3" s="1369"/>
      <c r="G3" s="1369"/>
      <c r="H3" s="1369"/>
      <c r="I3" s="1369"/>
      <c r="J3" s="1369"/>
      <c r="K3" s="1369"/>
      <c r="L3" s="1369"/>
      <c r="M3" s="1369"/>
      <c r="N3" s="1369"/>
      <c r="O3" s="1369"/>
      <c r="P3" s="1369"/>
      <c r="Q3" s="1369"/>
      <c r="R3" s="1369"/>
      <c r="S3" s="1369"/>
      <c r="T3" s="1369"/>
      <c r="U3" s="1369"/>
    </row>
    <row r="4" spans="1:22" ht="9.9499999999999993" customHeight="1">
      <c r="A4" s="1205"/>
      <c r="B4" s="1205"/>
      <c r="C4" s="1205"/>
      <c r="D4" s="1205"/>
      <c r="E4" s="1205"/>
      <c r="F4" s="1205"/>
      <c r="G4" s="1205"/>
      <c r="H4" s="1205"/>
      <c r="I4" s="1205"/>
      <c r="J4" s="1205"/>
      <c r="K4" s="1205"/>
      <c r="L4" s="1205"/>
      <c r="M4" s="1205"/>
      <c r="N4" s="1205"/>
      <c r="O4" s="1205"/>
      <c r="P4" s="1205"/>
      <c r="Q4" s="1205"/>
      <c r="R4" s="1205"/>
      <c r="S4" s="1205"/>
      <c r="T4" s="1205"/>
      <c r="U4" s="1205"/>
    </row>
    <row r="5" spans="1:22" s="78" customFormat="1" ht="15" customHeight="1" thickBot="1">
      <c r="A5" s="77" t="s">
        <v>372</v>
      </c>
      <c r="B5" s="1226"/>
      <c r="D5" s="78" t="s">
        <v>2</v>
      </c>
      <c r="G5" s="138"/>
      <c r="H5" s="1226"/>
      <c r="J5" s="78" t="s">
        <v>2</v>
      </c>
      <c r="M5" s="138"/>
      <c r="N5" s="78" t="s">
        <v>2</v>
      </c>
      <c r="U5" s="79" t="s">
        <v>1200</v>
      </c>
    </row>
    <row r="6" spans="1:22" s="247" customFormat="1" ht="15" customHeight="1">
      <c r="A6" s="233" t="s">
        <v>373</v>
      </c>
      <c r="B6" s="67" t="s">
        <v>374</v>
      </c>
      <c r="C6" s="1662" t="s">
        <v>1224</v>
      </c>
      <c r="D6" s="1663"/>
      <c r="E6" s="1664"/>
      <c r="F6" s="1662" t="s">
        <v>1347</v>
      </c>
      <c r="G6" s="1663"/>
      <c r="H6" s="1663"/>
      <c r="I6" s="1663"/>
      <c r="J6" s="1663"/>
      <c r="K6" s="1663"/>
      <c r="L6" s="1662" t="s">
        <v>1348</v>
      </c>
      <c r="M6" s="1663"/>
      <c r="N6" s="1663"/>
      <c r="O6" s="1663"/>
      <c r="P6" s="1663"/>
      <c r="Q6" s="1663"/>
      <c r="R6" s="1663"/>
      <c r="S6" s="1663"/>
      <c r="T6" s="1663"/>
      <c r="U6" s="1663"/>
    </row>
    <row r="7" spans="1:22" s="247" customFormat="1" ht="15" customHeight="1">
      <c r="A7" s="166"/>
      <c r="B7" s="68"/>
      <c r="C7" s="323" t="s">
        <v>375</v>
      </c>
      <c r="D7" s="323" t="s">
        <v>376</v>
      </c>
      <c r="E7" s="323" t="s">
        <v>377</v>
      </c>
      <c r="F7" s="323" t="s">
        <v>378</v>
      </c>
      <c r="G7" s="323" t="s">
        <v>379</v>
      </c>
      <c r="H7" s="323" t="s">
        <v>380</v>
      </c>
      <c r="I7" s="323" t="s">
        <v>381</v>
      </c>
      <c r="J7" s="323" t="s">
        <v>382</v>
      </c>
      <c r="K7" s="69" t="s">
        <v>377</v>
      </c>
      <c r="L7" s="323" t="s">
        <v>383</v>
      </c>
      <c r="M7" s="1658" t="s">
        <v>1225</v>
      </c>
      <c r="N7" s="1659"/>
      <c r="O7" s="1658" t="s">
        <v>1349</v>
      </c>
      <c r="P7" s="1660"/>
      <c r="Q7" s="1660"/>
      <c r="R7" s="1660"/>
      <c r="S7" s="1660"/>
      <c r="T7" s="1660"/>
      <c r="U7" s="1660"/>
    </row>
    <row r="8" spans="1:22" s="247" customFormat="1" ht="15" customHeight="1">
      <c r="A8" s="166" t="s">
        <v>2</v>
      </c>
      <c r="B8" s="324"/>
      <c r="C8" s="324" t="s">
        <v>384</v>
      </c>
      <c r="D8" s="324"/>
      <c r="E8" s="324"/>
      <c r="F8" s="324"/>
      <c r="G8" s="324" t="s">
        <v>385</v>
      </c>
      <c r="H8" s="324"/>
      <c r="I8" s="324"/>
      <c r="J8" s="324"/>
      <c r="K8" s="70"/>
      <c r="L8" s="324"/>
      <c r="M8" s="324" t="s">
        <v>386</v>
      </c>
      <c r="N8" s="324" t="s">
        <v>387</v>
      </c>
      <c r="O8" s="324" t="s">
        <v>388</v>
      </c>
      <c r="P8" s="324" t="s">
        <v>389</v>
      </c>
      <c r="Q8" s="324" t="s">
        <v>390</v>
      </c>
      <c r="R8" s="324" t="s">
        <v>391</v>
      </c>
      <c r="S8" s="324" t="s">
        <v>392</v>
      </c>
      <c r="T8" s="324" t="s">
        <v>393</v>
      </c>
      <c r="U8" s="70" t="s">
        <v>377</v>
      </c>
    </row>
    <row r="9" spans="1:22" s="247" customFormat="1" ht="15" customHeight="1">
      <c r="A9" s="166"/>
      <c r="B9" s="71"/>
      <c r="C9" s="71" t="s">
        <v>394</v>
      </c>
      <c r="D9" s="71"/>
      <c r="E9" s="324"/>
      <c r="F9" s="71"/>
      <c r="G9" s="1207"/>
      <c r="H9" s="71"/>
      <c r="I9" s="71" t="s">
        <v>395</v>
      </c>
      <c r="J9" s="71"/>
      <c r="K9" s="1207"/>
      <c r="L9" s="71"/>
      <c r="M9" s="70"/>
      <c r="N9" s="71"/>
      <c r="O9" s="71"/>
      <c r="P9" s="71"/>
      <c r="Q9" s="1207"/>
      <c r="R9" s="1207"/>
      <c r="S9" s="1207" t="s">
        <v>396</v>
      </c>
      <c r="T9" s="1207" t="s">
        <v>397</v>
      </c>
      <c r="U9" s="70"/>
    </row>
    <row r="10" spans="1:22" s="247" customFormat="1" ht="15" customHeight="1">
      <c r="A10" s="166" t="s">
        <v>2</v>
      </c>
      <c r="B10" s="71" t="s">
        <v>398</v>
      </c>
      <c r="C10" s="71" t="s">
        <v>399</v>
      </c>
      <c r="D10" s="71"/>
      <c r="E10" s="71"/>
      <c r="F10" s="71"/>
      <c r="G10" s="1207" t="s">
        <v>400</v>
      </c>
      <c r="H10" s="71"/>
      <c r="I10" s="71" t="s">
        <v>401</v>
      </c>
      <c r="J10" s="71"/>
      <c r="K10" s="1207"/>
      <c r="L10" s="71"/>
      <c r="M10" s="71"/>
      <c r="N10" s="71"/>
      <c r="O10" s="71"/>
      <c r="P10" s="71" t="s">
        <v>402</v>
      </c>
      <c r="Q10" s="71" t="s">
        <v>403</v>
      </c>
      <c r="R10" s="71" t="s">
        <v>404</v>
      </c>
      <c r="S10" s="71" t="s">
        <v>405</v>
      </c>
      <c r="T10" s="71" t="s">
        <v>406</v>
      </c>
      <c r="U10" s="1207"/>
    </row>
    <row r="11" spans="1:22" s="247" customFormat="1" ht="15" customHeight="1">
      <c r="A11" s="248"/>
      <c r="B11" s="58" t="s">
        <v>407</v>
      </c>
      <c r="C11" s="58" t="s">
        <v>408</v>
      </c>
      <c r="D11" s="58" t="s">
        <v>409</v>
      </c>
      <c r="E11" s="58" t="s">
        <v>310</v>
      </c>
      <c r="F11" s="58" t="s">
        <v>410</v>
      </c>
      <c r="G11" s="58" t="s">
        <v>411</v>
      </c>
      <c r="H11" s="58" t="s">
        <v>409</v>
      </c>
      <c r="I11" s="58" t="s">
        <v>412</v>
      </c>
      <c r="J11" s="58" t="s">
        <v>413</v>
      </c>
      <c r="K11" s="339" t="s">
        <v>310</v>
      </c>
      <c r="L11" s="58" t="s">
        <v>414</v>
      </c>
      <c r="M11" s="58" t="s">
        <v>415</v>
      </c>
      <c r="N11" s="58" t="s">
        <v>416</v>
      </c>
      <c r="O11" s="58" t="s">
        <v>417</v>
      </c>
      <c r="P11" s="58" t="s">
        <v>418</v>
      </c>
      <c r="Q11" s="58" t="s">
        <v>419</v>
      </c>
      <c r="R11" s="58" t="s">
        <v>420</v>
      </c>
      <c r="S11" s="58" t="s">
        <v>421</v>
      </c>
      <c r="T11" s="58" t="s">
        <v>422</v>
      </c>
      <c r="U11" s="339" t="s">
        <v>310</v>
      </c>
    </row>
    <row r="12" spans="1:22" s="275" customFormat="1" ht="26.25" customHeight="1" outlineLevel="1">
      <c r="A12" s="23">
        <v>2019</v>
      </c>
      <c r="B12" s="41">
        <v>1</v>
      </c>
      <c r="C12" s="42">
        <v>0</v>
      </c>
      <c r="D12" s="42">
        <v>0</v>
      </c>
      <c r="E12" s="42">
        <v>2</v>
      </c>
      <c r="F12" s="43">
        <v>0</v>
      </c>
      <c r="G12" s="43">
        <v>0</v>
      </c>
      <c r="H12" s="43">
        <v>2</v>
      </c>
      <c r="I12" s="43">
        <v>0</v>
      </c>
      <c r="J12" s="44">
        <v>3</v>
      </c>
      <c r="K12" s="44">
        <v>7</v>
      </c>
      <c r="L12" s="44">
        <v>76</v>
      </c>
      <c r="M12" s="44">
        <v>45</v>
      </c>
      <c r="N12" s="44">
        <v>31</v>
      </c>
      <c r="O12" s="44">
        <v>14</v>
      </c>
      <c r="P12" s="44">
        <v>40</v>
      </c>
      <c r="Q12" s="44">
        <v>4</v>
      </c>
      <c r="R12" s="44">
        <v>1</v>
      </c>
      <c r="S12" s="44">
        <v>1</v>
      </c>
      <c r="T12" s="44">
        <v>16</v>
      </c>
      <c r="U12" s="44">
        <v>0</v>
      </c>
    </row>
    <row r="13" spans="1:22" s="275" customFormat="1" ht="26.25" customHeight="1" outlineLevel="1">
      <c r="A13" s="23">
        <v>2020</v>
      </c>
      <c r="B13" s="41">
        <v>1</v>
      </c>
      <c r="C13" s="42">
        <v>0</v>
      </c>
      <c r="D13" s="42">
        <v>0</v>
      </c>
      <c r="E13" s="42">
        <v>0</v>
      </c>
      <c r="F13" s="43">
        <v>0</v>
      </c>
      <c r="G13" s="43">
        <v>0</v>
      </c>
      <c r="H13" s="43">
        <v>2</v>
      </c>
      <c r="I13" s="43">
        <v>0</v>
      </c>
      <c r="J13" s="44">
        <v>0</v>
      </c>
      <c r="K13" s="44">
        <v>2</v>
      </c>
      <c r="L13" s="44">
        <v>72</v>
      </c>
      <c r="M13" s="44">
        <v>41</v>
      </c>
      <c r="N13" s="44">
        <v>31</v>
      </c>
      <c r="O13" s="44">
        <v>12</v>
      </c>
      <c r="P13" s="44">
        <v>39</v>
      </c>
      <c r="Q13" s="44">
        <v>3</v>
      </c>
      <c r="R13" s="44">
        <v>1</v>
      </c>
      <c r="S13" s="44">
        <v>1</v>
      </c>
      <c r="T13" s="44">
        <v>16</v>
      </c>
      <c r="U13" s="44">
        <v>0</v>
      </c>
    </row>
    <row r="14" spans="1:22" s="275" customFormat="1" ht="26.25" customHeight="1" outlineLevel="1">
      <c r="A14" s="23">
        <v>2021</v>
      </c>
      <c r="B14" s="41">
        <v>1</v>
      </c>
      <c r="C14" s="42">
        <v>0</v>
      </c>
      <c r="D14" s="42">
        <v>2</v>
      </c>
      <c r="E14" s="42">
        <v>0</v>
      </c>
      <c r="F14" s="44">
        <v>0</v>
      </c>
      <c r="G14" s="44">
        <v>0</v>
      </c>
      <c r="H14" s="44">
        <v>0</v>
      </c>
      <c r="I14" s="44">
        <v>0</v>
      </c>
      <c r="J14" s="44">
        <v>1</v>
      </c>
      <c r="K14" s="44">
        <v>1</v>
      </c>
      <c r="L14" s="44">
        <v>71</v>
      </c>
      <c r="M14" s="44">
        <v>40</v>
      </c>
      <c r="N14" s="44">
        <v>31</v>
      </c>
      <c r="O14" s="44">
        <v>12</v>
      </c>
      <c r="P14" s="44">
        <v>38</v>
      </c>
      <c r="Q14" s="44">
        <v>3</v>
      </c>
      <c r="R14" s="44">
        <v>1</v>
      </c>
      <c r="S14" s="44">
        <v>1</v>
      </c>
      <c r="T14" s="44">
        <v>16</v>
      </c>
      <c r="U14" s="44">
        <v>0</v>
      </c>
    </row>
    <row r="15" spans="1:22" s="275" customFormat="1" ht="26.25" customHeight="1" outlineLevel="1">
      <c r="A15" s="23">
        <v>2022</v>
      </c>
      <c r="B15" s="42">
        <v>1</v>
      </c>
      <c r="C15" s="42">
        <v>1</v>
      </c>
      <c r="D15" s="42">
        <v>2</v>
      </c>
      <c r="E15" s="42">
        <v>0</v>
      </c>
      <c r="F15" s="44">
        <v>0</v>
      </c>
      <c r="G15" s="44">
        <v>0</v>
      </c>
      <c r="H15" s="44">
        <v>3</v>
      </c>
      <c r="I15" s="44">
        <v>0</v>
      </c>
      <c r="J15" s="44">
        <v>1</v>
      </c>
      <c r="K15" s="44">
        <v>0</v>
      </c>
      <c r="L15" s="44">
        <v>70</v>
      </c>
      <c r="M15" s="44">
        <v>41</v>
      </c>
      <c r="N15" s="44">
        <v>29</v>
      </c>
      <c r="O15" s="44">
        <v>15</v>
      </c>
      <c r="P15" s="44">
        <v>36</v>
      </c>
      <c r="Q15" s="44">
        <v>3</v>
      </c>
      <c r="R15" s="44">
        <v>0</v>
      </c>
      <c r="S15" s="44">
        <v>1</v>
      </c>
      <c r="T15" s="44">
        <v>15</v>
      </c>
      <c r="U15" s="44">
        <v>0</v>
      </c>
    </row>
    <row r="16" spans="1:22" s="275" customFormat="1" ht="26.25" customHeight="1" outlineLevel="1">
      <c r="A16" s="23">
        <v>2023</v>
      </c>
      <c r="B16" s="42">
        <v>1</v>
      </c>
      <c r="C16" s="42">
        <v>1</v>
      </c>
      <c r="D16" s="42">
        <v>0</v>
      </c>
      <c r="E16" s="42">
        <v>0</v>
      </c>
      <c r="F16" s="44">
        <v>0</v>
      </c>
      <c r="G16" s="44">
        <v>0</v>
      </c>
      <c r="H16" s="44">
        <v>2</v>
      </c>
      <c r="I16" s="44">
        <v>0</v>
      </c>
      <c r="J16" s="44">
        <v>1</v>
      </c>
      <c r="K16" s="44">
        <v>0</v>
      </c>
      <c r="L16" s="44">
        <v>68</v>
      </c>
      <c r="M16" s="44">
        <v>40</v>
      </c>
      <c r="N16" s="44">
        <v>28</v>
      </c>
      <c r="O16" s="44">
        <v>13</v>
      </c>
      <c r="P16" s="44">
        <v>36</v>
      </c>
      <c r="Q16" s="44">
        <v>3</v>
      </c>
      <c r="R16" s="44">
        <v>1</v>
      </c>
      <c r="S16" s="44">
        <v>0</v>
      </c>
      <c r="T16" s="44">
        <v>15</v>
      </c>
      <c r="U16" s="44">
        <v>0</v>
      </c>
    </row>
    <row r="17" spans="1:21" s="276" customFormat="1" ht="26.25" customHeight="1" thickBot="1">
      <c r="A17" s="367">
        <v>2024</v>
      </c>
      <c r="B17" s="1023">
        <v>1</v>
      </c>
      <c r="C17" s="1023">
        <v>0</v>
      </c>
      <c r="D17" s="1023">
        <v>0</v>
      </c>
      <c r="E17" s="1023">
        <v>0</v>
      </c>
      <c r="F17" s="1023">
        <v>0</v>
      </c>
      <c r="G17" s="1023">
        <v>0</v>
      </c>
      <c r="H17" s="1023">
        <v>0</v>
      </c>
      <c r="I17" s="1023">
        <v>0</v>
      </c>
      <c r="J17" s="1023">
        <v>2</v>
      </c>
      <c r="K17" s="1023">
        <v>4</v>
      </c>
      <c r="L17" s="1024">
        <f>M17+N17</f>
        <v>62</v>
      </c>
      <c r="M17" s="1025">
        <v>39</v>
      </c>
      <c r="N17" s="1023">
        <v>23</v>
      </c>
      <c r="O17" s="1023">
        <v>12</v>
      </c>
      <c r="P17" s="1023">
        <v>31</v>
      </c>
      <c r="Q17" s="1023">
        <v>3</v>
      </c>
      <c r="R17" s="1023">
        <v>1</v>
      </c>
      <c r="S17" s="1023">
        <v>0</v>
      </c>
      <c r="T17" s="1023">
        <v>15</v>
      </c>
      <c r="U17" s="1025">
        <v>0</v>
      </c>
    </row>
    <row r="18" spans="1:21" s="178" customFormat="1" ht="12" customHeight="1">
      <c r="A18" s="1177" t="s">
        <v>1857</v>
      </c>
      <c r="B18" s="179"/>
      <c r="C18" s="179"/>
      <c r="D18" s="179"/>
      <c r="E18" s="179"/>
      <c r="F18" s="179"/>
      <c r="G18" s="179"/>
      <c r="H18" s="181"/>
      <c r="I18" s="181"/>
      <c r="J18" s="181"/>
      <c r="K18" s="181"/>
      <c r="O18" s="277"/>
    </row>
    <row r="19" spans="1:21" s="40" customFormat="1" ht="12" customHeight="1">
      <c r="A19" s="266" t="s">
        <v>423</v>
      </c>
      <c r="B19" s="278"/>
      <c r="C19" s="278"/>
      <c r="D19" s="278"/>
      <c r="E19" s="278"/>
      <c r="F19" s="278"/>
      <c r="G19" s="278"/>
      <c r="H19" s="177"/>
      <c r="I19" s="177"/>
      <c r="J19" s="177"/>
      <c r="K19" s="177"/>
      <c r="L19" s="177"/>
      <c r="M19" s="1208"/>
      <c r="N19" s="177"/>
      <c r="O19" s="177"/>
      <c r="P19" s="177"/>
      <c r="Q19" s="177"/>
      <c r="R19" s="177"/>
      <c r="S19" s="177"/>
      <c r="T19" s="177"/>
      <c r="U19" s="1208"/>
    </row>
    <row r="20" spans="1:21" s="78" customFormat="1" ht="12" customHeight="1">
      <c r="G20" s="138"/>
      <c r="H20" s="98"/>
      <c r="I20" s="98"/>
      <c r="J20" s="98"/>
      <c r="K20" s="98"/>
      <c r="L20" s="98"/>
      <c r="M20" s="138"/>
      <c r="N20" s="98"/>
      <c r="O20" s="98"/>
      <c r="P20" s="98"/>
      <c r="Q20" s="98"/>
      <c r="R20" s="98"/>
      <c r="S20" s="98"/>
      <c r="T20" s="98"/>
      <c r="U20" s="138"/>
    </row>
  </sheetData>
  <sheetProtection selectLockedCells="1"/>
  <mergeCells count="8">
    <mergeCell ref="M7:N7"/>
    <mergeCell ref="O7:U7"/>
    <mergeCell ref="A1:G1"/>
    <mergeCell ref="C6:E6"/>
    <mergeCell ref="F6:K6"/>
    <mergeCell ref="L6:U6"/>
    <mergeCell ref="A2:U2"/>
    <mergeCell ref="A3:U3"/>
  </mergeCells>
  <phoneticPr fontId="3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49" pageOrder="overThenDown" orientation="portrait" blackAndWhite="1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  <outlinePr summaryBelow="0" summaryRight="0"/>
  </sheetPr>
  <dimension ref="A1:I21"/>
  <sheetViews>
    <sheetView view="pageBreakPreview" zoomScaleNormal="100" zoomScaleSheetLayoutView="100" workbookViewId="0">
      <selection activeCell="M11" sqref="M11"/>
    </sheetView>
  </sheetViews>
  <sheetFormatPr defaultColWidth="9" defaultRowHeight="12"/>
  <cols>
    <col min="1" max="1" width="10.875" style="107" customWidth="1"/>
    <col min="2" max="9" width="12" style="107" customWidth="1"/>
    <col min="10" max="16384" width="9" style="107"/>
  </cols>
  <sheetData>
    <row r="1" spans="1:9" ht="12.75">
      <c r="A1" s="279" t="s">
        <v>1350</v>
      </c>
      <c r="B1" s="279"/>
      <c r="C1" s="279"/>
      <c r="D1" s="279"/>
      <c r="E1" s="279"/>
      <c r="I1" s="1198" t="s">
        <v>1602</v>
      </c>
    </row>
    <row r="2" spans="1:9" ht="12.75">
      <c r="A2" s="279"/>
      <c r="B2" s="279"/>
      <c r="C2" s="279"/>
      <c r="D2" s="279"/>
      <c r="E2" s="279"/>
      <c r="I2" s="1198"/>
    </row>
    <row r="3" spans="1:9" ht="25.5">
      <c r="A3" s="1668" t="s">
        <v>1208</v>
      </c>
      <c r="B3" s="1668"/>
      <c r="C3" s="1668"/>
      <c r="D3" s="1668"/>
      <c r="E3" s="1668"/>
      <c r="F3" s="1668"/>
      <c r="G3" s="1668"/>
      <c r="H3" s="1668"/>
      <c r="I3" s="1668"/>
    </row>
    <row r="4" spans="1:9" ht="25.5">
      <c r="A4" s="1669" t="s">
        <v>851</v>
      </c>
      <c r="B4" s="1669"/>
      <c r="C4" s="1669"/>
      <c r="D4" s="1669"/>
      <c r="E4" s="1669"/>
      <c r="F4" s="1669"/>
      <c r="G4" s="1669"/>
      <c r="H4" s="1669"/>
      <c r="I4" s="1669"/>
    </row>
    <row r="5" spans="1:9" ht="9.9499999999999993" customHeight="1">
      <c r="A5" s="1215"/>
      <c r="B5" s="1215"/>
      <c r="C5" s="1215"/>
      <c r="D5" s="1215"/>
      <c r="E5" s="1215"/>
      <c r="F5" s="1215"/>
      <c r="G5" s="1215"/>
      <c r="H5" s="1215"/>
      <c r="I5" s="1215"/>
    </row>
    <row r="6" spans="1:9" s="101" customFormat="1" ht="15" customHeight="1" thickBot="1">
      <c r="A6" s="99" t="s">
        <v>34</v>
      </c>
      <c r="B6" s="100"/>
      <c r="I6" s="102" t="s">
        <v>1207</v>
      </c>
    </row>
    <row r="7" spans="1:9" s="136" customFormat="1" ht="15" customHeight="1">
      <c r="A7" s="346" t="s">
        <v>3</v>
      </c>
      <c r="B7" s="1670" t="s">
        <v>35</v>
      </c>
      <c r="C7" s="1671"/>
      <c r="D7" s="1670" t="s">
        <v>36</v>
      </c>
      <c r="E7" s="1671"/>
      <c r="F7" s="210" t="s">
        <v>37</v>
      </c>
      <c r="G7" s="211"/>
      <c r="H7" s="1670" t="s">
        <v>38</v>
      </c>
      <c r="I7" s="1671"/>
    </row>
    <row r="8" spans="1:9" s="136" customFormat="1" ht="15" customHeight="1">
      <c r="A8" s="1214"/>
      <c r="B8" s="212"/>
      <c r="C8" s="212"/>
      <c r="D8" s="1665" t="s">
        <v>39</v>
      </c>
      <c r="E8" s="1666"/>
      <c r="F8" s="1665" t="s">
        <v>39</v>
      </c>
      <c r="G8" s="1667"/>
      <c r="H8" s="1665" t="s">
        <v>39</v>
      </c>
      <c r="I8" s="1666"/>
    </row>
    <row r="9" spans="1:9" s="136" customFormat="1" ht="15" customHeight="1">
      <c r="A9" s="1214"/>
      <c r="B9" s="213"/>
      <c r="C9" s="213"/>
      <c r="D9" s="1672" t="s">
        <v>40</v>
      </c>
      <c r="E9" s="1673"/>
      <c r="F9" s="214" t="s">
        <v>41</v>
      </c>
      <c r="G9" s="215"/>
      <c r="H9" s="1672" t="s">
        <v>42</v>
      </c>
      <c r="I9" s="1673"/>
    </row>
    <row r="10" spans="1:9" s="136" customFormat="1" ht="15" customHeight="1">
      <c r="A10" s="1214"/>
      <c r="B10" s="213" t="s">
        <v>26</v>
      </c>
      <c r="C10" s="213"/>
      <c r="D10" s="1674" t="s">
        <v>43</v>
      </c>
      <c r="E10" s="1675"/>
      <c r="F10" s="214" t="s">
        <v>44</v>
      </c>
      <c r="G10" s="216"/>
      <c r="H10" s="1674" t="s">
        <v>45</v>
      </c>
      <c r="I10" s="1675"/>
    </row>
    <row r="11" spans="1:9" s="136" customFormat="1" ht="15" customHeight="1">
      <c r="A11" s="1214"/>
      <c r="B11" s="114" t="s">
        <v>46</v>
      </c>
      <c r="C11" s="217" t="s">
        <v>47</v>
      </c>
      <c r="D11" s="114" t="s">
        <v>46</v>
      </c>
      <c r="E11" s="217" t="s">
        <v>47</v>
      </c>
      <c r="F11" s="114" t="s">
        <v>46</v>
      </c>
      <c r="G11" s="114" t="s">
        <v>47</v>
      </c>
      <c r="H11" s="218" t="s">
        <v>46</v>
      </c>
      <c r="I11" s="217" t="s">
        <v>47</v>
      </c>
    </row>
    <row r="12" spans="1:9" s="136" customFormat="1" ht="15" customHeight="1">
      <c r="A12" s="1214"/>
      <c r="B12" s="117"/>
      <c r="C12" s="117" t="s">
        <v>48</v>
      </c>
      <c r="D12" s="117"/>
      <c r="E12" s="1216" t="s">
        <v>48</v>
      </c>
      <c r="F12" s="117"/>
      <c r="G12" s="117" t="s">
        <v>48</v>
      </c>
      <c r="H12" s="1216"/>
      <c r="I12" s="1216" t="s">
        <v>48</v>
      </c>
    </row>
    <row r="13" spans="1:9" s="136" customFormat="1" ht="15" customHeight="1">
      <c r="A13" s="54"/>
      <c r="B13" s="55" t="s">
        <v>49</v>
      </c>
      <c r="C13" s="55" t="s">
        <v>50</v>
      </c>
      <c r="D13" s="55" t="s">
        <v>49</v>
      </c>
      <c r="E13" s="1217" t="s">
        <v>50</v>
      </c>
      <c r="F13" s="55" t="s">
        <v>49</v>
      </c>
      <c r="G13" s="55" t="s">
        <v>50</v>
      </c>
      <c r="H13" s="55" t="s">
        <v>49</v>
      </c>
      <c r="I13" s="1217" t="s">
        <v>50</v>
      </c>
    </row>
    <row r="14" spans="1:9" s="137" customFormat="1" ht="30" customHeight="1">
      <c r="A14" s="23">
        <v>2019</v>
      </c>
      <c r="B14" s="104">
        <v>1252</v>
      </c>
      <c r="C14" s="104">
        <v>3148</v>
      </c>
      <c r="D14" s="104">
        <v>319</v>
      </c>
      <c r="E14" s="104">
        <v>1131</v>
      </c>
      <c r="F14" s="104">
        <v>933</v>
      </c>
      <c r="G14" s="104">
        <v>2017</v>
      </c>
      <c r="H14" s="103">
        <v>0</v>
      </c>
      <c r="I14" s="103">
        <v>0</v>
      </c>
    </row>
    <row r="15" spans="1:9" s="137" customFormat="1" ht="30" customHeight="1">
      <c r="A15" s="23">
        <v>2020</v>
      </c>
      <c r="B15" s="104">
        <v>1279</v>
      </c>
      <c r="C15" s="104">
        <v>3217</v>
      </c>
      <c r="D15" s="104">
        <v>246</v>
      </c>
      <c r="E15" s="104">
        <v>894</v>
      </c>
      <c r="F15" s="104">
        <v>1033</v>
      </c>
      <c r="G15" s="104">
        <v>2323</v>
      </c>
      <c r="H15" s="103">
        <v>0</v>
      </c>
      <c r="I15" s="103">
        <v>0</v>
      </c>
    </row>
    <row r="16" spans="1:9" s="137" customFormat="1" ht="30" customHeight="1">
      <c r="A16" s="23">
        <v>2021</v>
      </c>
      <c r="B16" s="104">
        <v>1309</v>
      </c>
      <c r="C16" s="104">
        <v>3279</v>
      </c>
      <c r="D16" s="104">
        <v>197</v>
      </c>
      <c r="E16" s="104">
        <v>720</v>
      </c>
      <c r="F16" s="104">
        <v>1112</v>
      </c>
      <c r="G16" s="104">
        <v>2559</v>
      </c>
      <c r="H16" s="103">
        <v>0</v>
      </c>
      <c r="I16" s="103">
        <v>0</v>
      </c>
    </row>
    <row r="17" spans="1:9" s="137" customFormat="1" ht="30" customHeight="1">
      <c r="A17" s="23">
        <v>2022</v>
      </c>
      <c r="B17" s="104">
        <v>1343</v>
      </c>
      <c r="C17" s="104">
        <v>3357</v>
      </c>
      <c r="D17" s="104">
        <v>214</v>
      </c>
      <c r="E17" s="104">
        <v>776</v>
      </c>
      <c r="F17" s="104">
        <v>1129</v>
      </c>
      <c r="G17" s="104">
        <v>2581</v>
      </c>
      <c r="H17" s="103">
        <v>0</v>
      </c>
      <c r="I17" s="103">
        <v>0</v>
      </c>
    </row>
    <row r="18" spans="1:9" s="137" customFormat="1" ht="30" customHeight="1">
      <c r="A18" s="23">
        <v>2023</v>
      </c>
      <c r="B18" s="104">
        <v>1375</v>
      </c>
      <c r="C18" s="104">
        <v>3398</v>
      </c>
      <c r="D18" s="104">
        <v>207</v>
      </c>
      <c r="E18" s="104">
        <v>763</v>
      </c>
      <c r="F18" s="104">
        <v>1168</v>
      </c>
      <c r="G18" s="104">
        <v>2635</v>
      </c>
      <c r="H18" s="103">
        <v>0</v>
      </c>
      <c r="I18" s="103">
        <v>0</v>
      </c>
    </row>
    <row r="19" spans="1:9" s="280" customFormat="1" ht="30" customHeight="1" thickBot="1">
      <c r="A19" s="368">
        <v>2024</v>
      </c>
      <c r="B19" s="1162">
        <f>D19+F19+H19</f>
        <v>1468</v>
      </c>
      <c r="C19" s="1163">
        <f>E19+G19+I19</f>
        <v>3500</v>
      </c>
      <c r="D19" s="1164">
        <v>201</v>
      </c>
      <c r="E19" s="1164">
        <v>695</v>
      </c>
      <c r="F19" s="1164">
        <v>1267</v>
      </c>
      <c r="G19" s="1164">
        <v>2805</v>
      </c>
      <c r="H19" s="1026">
        <v>0</v>
      </c>
      <c r="I19" s="1026">
        <v>0</v>
      </c>
    </row>
    <row r="20" spans="1:9" s="1316" customFormat="1" ht="15" customHeight="1">
      <c r="A20" s="1313" t="s">
        <v>1858</v>
      </c>
      <c r="B20" s="1314"/>
      <c r="C20" s="1314"/>
      <c r="D20" s="1315"/>
      <c r="E20" s="1315"/>
      <c r="F20" s="1315"/>
      <c r="G20" s="1315"/>
      <c r="H20" s="1676"/>
      <c r="I20" s="1676"/>
    </row>
    <row r="21" spans="1:9" s="105" customFormat="1" ht="12" customHeight="1">
      <c r="C21" s="106"/>
    </row>
  </sheetData>
  <sheetProtection selectLockedCells="1"/>
  <mergeCells count="13">
    <mergeCell ref="D9:E9"/>
    <mergeCell ref="H9:I9"/>
    <mergeCell ref="D10:E10"/>
    <mergeCell ref="H10:I10"/>
    <mergeCell ref="H20:I20"/>
    <mergeCell ref="D8:E8"/>
    <mergeCell ref="F8:G8"/>
    <mergeCell ref="H8:I8"/>
    <mergeCell ref="A3:I3"/>
    <mergeCell ref="A4:I4"/>
    <mergeCell ref="B7:C7"/>
    <mergeCell ref="D7:E7"/>
    <mergeCell ref="H7:I7"/>
  </mergeCells>
  <phoneticPr fontId="3" type="noConversion"/>
  <printOptions horizontalCentered="1"/>
  <pageMargins left="0.39370078740157483" right="0.39370078740157483" top="0.55118110236220474" bottom="0.55118110236220474" header="0.51181102362204722" footer="0.51181102362204722"/>
  <pageSetup paperSize="9" scale="82" pageOrder="overThenDown" orientation="portrait" blackAndWhite="1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  <outlinePr summaryBelow="0" summaryRight="0"/>
    <pageSetUpPr fitToPage="1"/>
  </sheetPr>
  <dimension ref="A1:AJ24"/>
  <sheetViews>
    <sheetView view="pageBreakPreview" topLeftCell="A2" zoomScaleNormal="100" zoomScaleSheetLayoutView="100" workbookViewId="0">
      <selection activeCell="D7" sqref="D7"/>
    </sheetView>
  </sheetViews>
  <sheetFormatPr defaultColWidth="9" defaultRowHeight="12"/>
  <cols>
    <col min="1" max="1" width="7.25" style="180" customWidth="1"/>
    <col min="2" max="10" width="5.625" style="180" customWidth="1"/>
    <col min="11" max="34" width="6.625" style="180" customWidth="1"/>
    <col min="35" max="16384" width="9" style="180"/>
  </cols>
  <sheetData>
    <row r="1" spans="1:34" ht="12.75">
      <c r="A1" s="20" t="s">
        <v>1453</v>
      </c>
      <c r="B1" s="36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AH1" s="795" t="s">
        <v>1602</v>
      </c>
    </row>
    <row r="2" spans="1:34" ht="12.75">
      <c r="A2" s="20"/>
      <c r="B2" s="795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AH2" s="795"/>
    </row>
    <row r="3" spans="1:34" ht="25.5">
      <c r="A3" s="1338" t="s">
        <v>1209</v>
      </c>
      <c r="B3" s="1338"/>
      <c r="C3" s="1338"/>
      <c r="D3" s="1338"/>
      <c r="E3" s="1338"/>
      <c r="F3" s="1338"/>
      <c r="G3" s="1338"/>
      <c r="H3" s="1338"/>
      <c r="I3" s="1338"/>
      <c r="J3" s="1338"/>
      <c r="K3" s="1338"/>
      <c r="L3" s="1338"/>
      <c r="M3" s="1338"/>
      <c r="N3" s="1338"/>
      <c r="O3" s="1338"/>
      <c r="P3" s="1338"/>
      <c r="Q3" s="1338"/>
      <c r="R3" s="1338"/>
      <c r="S3" s="1338"/>
      <c r="T3" s="1338"/>
      <c r="U3" s="1338"/>
      <c r="V3" s="1338"/>
      <c r="W3" s="1338"/>
      <c r="X3" s="1338"/>
      <c r="Y3" s="1338"/>
      <c r="Z3" s="1338"/>
      <c r="AA3" s="1338"/>
      <c r="AB3" s="1338"/>
      <c r="AC3" s="1338"/>
      <c r="AD3" s="1338"/>
      <c r="AE3" s="1338"/>
      <c r="AF3" s="1338"/>
      <c r="AG3" s="1338"/>
      <c r="AH3" s="1338"/>
    </row>
    <row r="4" spans="1:34" ht="25.5">
      <c r="A4" s="1339" t="s">
        <v>852</v>
      </c>
      <c r="B4" s="1339"/>
      <c r="C4" s="1339"/>
      <c r="D4" s="1339"/>
      <c r="E4" s="1339"/>
      <c r="F4" s="1339"/>
      <c r="G4" s="1339"/>
      <c r="H4" s="1339"/>
      <c r="I4" s="1339"/>
      <c r="J4" s="1339"/>
      <c r="K4" s="1339"/>
      <c r="L4" s="1339"/>
      <c r="M4" s="1339"/>
      <c r="N4" s="1339"/>
      <c r="O4" s="1339"/>
      <c r="P4" s="1339"/>
      <c r="Q4" s="1339"/>
      <c r="R4" s="1339"/>
      <c r="S4" s="1339"/>
      <c r="T4" s="1339"/>
      <c r="U4" s="1339"/>
      <c r="V4" s="1339"/>
      <c r="W4" s="1339"/>
      <c r="X4" s="1339"/>
      <c r="Y4" s="1339"/>
      <c r="Z4" s="1339"/>
      <c r="AA4" s="1339"/>
      <c r="AB4" s="1339"/>
      <c r="AC4" s="1339"/>
      <c r="AD4" s="1339"/>
      <c r="AE4" s="1339"/>
      <c r="AF4" s="1339"/>
      <c r="AG4" s="1339"/>
      <c r="AH4" s="1339"/>
    </row>
    <row r="5" spans="1:34" ht="9.9499999999999993" customHeight="1">
      <c r="A5" s="798"/>
      <c r="B5" s="798"/>
      <c r="C5" s="798"/>
      <c r="D5" s="798"/>
      <c r="E5" s="798"/>
      <c r="F5" s="798"/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227"/>
      <c r="R5" s="227"/>
      <c r="S5" s="227"/>
    </row>
    <row r="6" spans="1:34" s="27" customFormat="1" ht="15" customHeight="1" thickBot="1">
      <c r="A6" s="77" t="s">
        <v>1799</v>
      </c>
      <c r="AH6" s="79" t="s">
        <v>1800</v>
      </c>
    </row>
    <row r="7" spans="1:34" s="84" customFormat="1" ht="15" customHeight="1">
      <c r="A7" s="373" t="s">
        <v>1603</v>
      </c>
      <c r="B7" s="123" t="s">
        <v>1454</v>
      </c>
      <c r="C7" s="124"/>
      <c r="D7" s="124"/>
      <c r="E7" s="124"/>
      <c r="F7" s="124"/>
      <c r="G7" s="125"/>
      <c r="H7" s="126" t="s">
        <v>1455</v>
      </c>
      <c r="I7" s="124"/>
      <c r="J7" s="124"/>
      <c r="K7" s="124"/>
      <c r="L7" s="124"/>
      <c r="M7" s="124"/>
      <c r="N7" s="124"/>
      <c r="O7" s="124"/>
      <c r="P7" s="125"/>
      <c r="Q7" s="126" t="s">
        <v>1456</v>
      </c>
      <c r="R7" s="124"/>
      <c r="S7" s="124"/>
      <c r="T7" s="124"/>
      <c r="U7" s="124"/>
      <c r="V7" s="124"/>
      <c r="W7" s="124"/>
      <c r="X7" s="124"/>
      <c r="Y7" s="124"/>
      <c r="Z7" s="126" t="s">
        <v>1457</v>
      </c>
      <c r="AA7" s="124"/>
      <c r="AB7" s="124"/>
      <c r="AC7" s="124"/>
      <c r="AD7" s="124"/>
      <c r="AE7" s="124"/>
      <c r="AF7" s="124"/>
      <c r="AG7" s="124"/>
      <c r="AH7" s="124"/>
    </row>
    <row r="8" spans="1:34" s="84" customFormat="1" ht="15" customHeight="1">
      <c r="A8" s="338"/>
      <c r="B8" s="127" t="s">
        <v>62</v>
      </c>
      <c r="C8" s="88"/>
      <c r="D8" s="127" t="s">
        <v>245</v>
      </c>
      <c r="E8" s="88"/>
      <c r="F8" s="127" t="s">
        <v>1458</v>
      </c>
      <c r="G8" s="89"/>
      <c r="H8" s="127" t="s">
        <v>246</v>
      </c>
      <c r="I8" s="88"/>
      <c r="J8" s="88"/>
      <c r="K8" s="127" t="s">
        <v>247</v>
      </c>
      <c r="L8" s="88"/>
      <c r="M8" s="88"/>
      <c r="N8" s="127" t="s">
        <v>444</v>
      </c>
      <c r="O8" s="88"/>
      <c r="P8" s="89"/>
      <c r="Q8" s="127" t="s">
        <v>246</v>
      </c>
      <c r="R8" s="88"/>
      <c r="S8" s="88"/>
      <c r="T8" s="127" t="s">
        <v>247</v>
      </c>
      <c r="U8" s="88"/>
      <c r="V8" s="88"/>
      <c r="W8" s="127" t="s">
        <v>869</v>
      </c>
      <c r="X8" s="88"/>
      <c r="Y8" s="88"/>
      <c r="Z8" s="127" t="s">
        <v>246</v>
      </c>
      <c r="AA8" s="88"/>
      <c r="AB8" s="88"/>
      <c r="AC8" s="127" t="s">
        <v>247</v>
      </c>
      <c r="AD8" s="88"/>
      <c r="AE8" s="88"/>
      <c r="AF8" s="127" t="s">
        <v>870</v>
      </c>
      <c r="AG8" s="88"/>
      <c r="AH8" s="88"/>
    </row>
    <row r="9" spans="1:34" s="84" customFormat="1" ht="15" customHeight="1">
      <c r="A9" s="338"/>
      <c r="B9" s="128" t="s">
        <v>26</v>
      </c>
      <c r="C9" s="129"/>
      <c r="D9" s="1574" t="s">
        <v>51</v>
      </c>
      <c r="E9" s="1576"/>
      <c r="F9" s="128" t="s">
        <v>1399</v>
      </c>
      <c r="G9" s="130"/>
      <c r="H9" s="128" t="s">
        <v>248</v>
      </c>
      <c r="I9" s="129"/>
      <c r="J9" s="129"/>
      <c r="K9" s="128" t="s">
        <v>249</v>
      </c>
      <c r="L9" s="129"/>
      <c r="M9" s="129"/>
      <c r="N9" s="128" t="s">
        <v>871</v>
      </c>
      <c r="O9" s="129"/>
      <c r="P9" s="130"/>
      <c r="Q9" s="128" t="s">
        <v>248</v>
      </c>
      <c r="R9" s="129"/>
      <c r="S9" s="129"/>
      <c r="T9" s="128" t="s">
        <v>249</v>
      </c>
      <c r="U9" s="129"/>
      <c r="V9" s="129"/>
      <c r="W9" s="128" t="s">
        <v>445</v>
      </c>
      <c r="X9" s="129"/>
      <c r="Y9" s="129"/>
      <c r="Z9" s="128" t="s">
        <v>248</v>
      </c>
      <c r="AA9" s="129"/>
      <c r="AB9" s="129"/>
      <c r="AC9" s="128" t="s">
        <v>249</v>
      </c>
      <c r="AD9" s="129"/>
      <c r="AE9" s="129"/>
      <c r="AF9" s="128" t="s">
        <v>872</v>
      </c>
      <c r="AG9" s="129"/>
      <c r="AH9" s="129"/>
    </row>
    <row r="10" spans="1:34" s="84" customFormat="1" ht="15" customHeight="1">
      <c r="A10" s="338"/>
      <c r="B10" s="381" t="s">
        <v>250</v>
      </c>
      <c r="C10" s="338" t="s">
        <v>251</v>
      </c>
      <c r="D10" s="338" t="s">
        <v>250</v>
      </c>
      <c r="E10" s="338" t="s">
        <v>251</v>
      </c>
      <c r="F10" s="338" t="s">
        <v>250</v>
      </c>
      <c r="G10" s="338" t="s">
        <v>251</v>
      </c>
      <c r="H10" s="381" t="s">
        <v>252</v>
      </c>
      <c r="I10" s="381" t="s">
        <v>253</v>
      </c>
      <c r="J10" s="381" t="s">
        <v>528</v>
      </c>
      <c r="K10" s="381" t="s">
        <v>252</v>
      </c>
      <c r="L10" s="381" t="s">
        <v>253</v>
      </c>
      <c r="M10" s="381" t="s">
        <v>528</v>
      </c>
      <c r="N10" s="381" t="s">
        <v>252</v>
      </c>
      <c r="O10" s="381" t="s">
        <v>253</v>
      </c>
      <c r="P10" s="381" t="s">
        <v>528</v>
      </c>
      <c r="Q10" s="381" t="s">
        <v>252</v>
      </c>
      <c r="R10" s="381" t="s">
        <v>253</v>
      </c>
      <c r="S10" s="381" t="s">
        <v>528</v>
      </c>
      <c r="T10" s="381" t="s">
        <v>252</v>
      </c>
      <c r="U10" s="381" t="s">
        <v>253</v>
      </c>
      <c r="V10" s="381" t="s">
        <v>528</v>
      </c>
      <c r="W10" s="381" t="s">
        <v>252</v>
      </c>
      <c r="X10" s="381" t="s">
        <v>253</v>
      </c>
      <c r="Y10" s="381" t="s">
        <v>873</v>
      </c>
      <c r="Z10" s="381" t="s">
        <v>252</v>
      </c>
      <c r="AA10" s="381" t="s">
        <v>253</v>
      </c>
      <c r="AB10" s="381" t="s">
        <v>528</v>
      </c>
      <c r="AC10" s="381" t="s">
        <v>252</v>
      </c>
      <c r="AD10" s="381" t="s">
        <v>253</v>
      </c>
      <c r="AE10" s="381" t="s">
        <v>528</v>
      </c>
      <c r="AF10" s="381" t="s">
        <v>252</v>
      </c>
      <c r="AG10" s="381" t="s">
        <v>253</v>
      </c>
      <c r="AH10" s="141" t="s">
        <v>873</v>
      </c>
    </row>
    <row r="11" spans="1:34" s="84" customFormat="1" ht="15" customHeight="1">
      <c r="A11" s="338"/>
      <c r="B11" s="381"/>
      <c r="C11" s="338"/>
      <c r="D11" s="338"/>
      <c r="E11" s="338"/>
      <c r="F11" s="338"/>
      <c r="G11" s="338"/>
      <c r="H11" s="381"/>
      <c r="I11" s="381"/>
      <c r="J11" s="381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141"/>
    </row>
    <row r="12" spans="1:34" s="84" customFormat="1" ht="15" customHeight="1">
      <c r="A12" s="338"/>
      <c r="B12" s="91"/>
      <c r="C12" s="370"/>
      <c r="D12" s="370"/>
      <c r="E12" s="370"/>
      <c r="F12" s="370"/>
      <c r="G12" s="370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374"/>
    </row>
    <row r="13" spans="1:34" s="84" customFormat="1" ht="15" customHeight="1">
      <c r="A13" s="338"/>
      <c r="B13" s="91"/>
      <c r="C13" s="370"/>
      <c r="D13" s="370"/>
      <c r="E13" s="370"/>
      <c r="F13" s="370"/>
      <c r="G13" s="370"/>
      <c r="H13" s="91" t="s">
        <v>874</v>
      </c>
      <c r="I13" s="91"/>
      <c r="J13" s="91"/>
      <c r="K13" s="91"/>
      <c r="L13" s="91"/>
      <c r="M13" s="91"/>
      <c r="N13" s="91"/>
      <c r="O13" s="91"/>
      <c r="P13" s="91"/>
      <c r="Q13" s="91" t="s">
        <v>446</v>
      </c>
      <c r="R13" s="91"/>
      <c r="S13" s="91"/>
      <c r="T13" s="91"/>
      <c r="U13" s="91"/>
      <c r="V13" s="91"/>
      <c r="W13" s="91"/>
      <c r="X13" s="91"/>
      <c r="Y13" s="91"/>
      <c r="Z13" s="91" t="s">
        <v>446</v>
      </c>
      <c r="AA13" s="91"/>
      <c r="AB13" s="91"/>
      <c r="AC13" s="91"/>
      <c r="AD13" s="91"/>
      <c r="AE13" s="91"/>
      <c r="AF13" s="91"/>
      <c r="AG13" s="91"/>
      <c r="AH13" s="374"/>
    </row>
    <row r="14" spans="1:34" s="84" customFormat="1" ht="15.75" customHeight="1">
      <c r="A14" s="57"/>
      <c r="B14" s="384" t="s">
        <v>248</v>
      </c>
      <c r="C14" s="372" t="s">
        <v>1210</v>
      </c>
      <c r="D14" s="372" t="s">
        <v>248</v>
      </c>
      <c r="E14" s="372" t="s">
        <v>1210</v>
      </c>
      <c r="F14" s="372" t="s">
        <v>248</v>
      </c>
      <c r="G14" s="372" t="s">
        <v>1210</v>
      </c>
      <c r="H14" s="384" t="s">
        <v>193</v>
      </c>
      <c r="I14" s="384" t="s">
        <v>51</v>
      </c>
      <c r="J14" s="128" t="s">
        <v>254</v>
      </c>
      <c r="K14" s="384" t="s">
        <v>447</v>
      </c>
      <c r="L14" s="384" t="s">
        <v>51</v>
      </c>
      <c r="M14" s="128" t="s">
        <v>254</v>
      </c>
      <c r="N14" s="384" t="s">
        <v>447</v>
      </c>
      <c r="O14" s="384" t="s">
        <v>51</v>
      </c>
      <c r="P14" s="131" t="s">
        <v>254</v>
      </c>
      <c r="Q14" s="384" t="s">
        <v>193</v>
      </c>
      <c r="R14" s="384" t="s">
        <v>51</v>
      </c>
      <c r="S14" s="128" t="s">
        <v>254</v>
      </c>
      <c r="T14" s="384" t="s">
        <v>447</v>
      </c>
      <c r="U14" s="384" t="s">
        <v>51</v>
      </c>
      <c r="V14" s="128" t="s">
        <v>254</v>
      </c>
      <c r="W14" s="384" t="s">
        <v>447</v>
      </c>
      <c r="X14" s="384" t="s">
        <v>51</v>
      </c>
      <c r="Y14" s="128" t="s">
        <v>254</v>
      </c>
      <c r="Z14" s="384" t="s">
        <v>875</v>
      </c>
      <c r="AA14" s="384" t="s">
        <v>51</v>
      </c>
      <c r="AB14" s="128" t="s">
        <v>254</v>
      </c>
      <c r="AC14" s="384" t="s">
        <v>447</v>
      </c>
      <c r="AD14" s="384" t="s">
        <v>51</v>
      </c>
      <c r="AE14" s="128" t="s">
        <v>254</v>
      </c>
      <c r="AF14" s="384" t="s">
        <v>447</v>
      </c>
      <c r="AG14" s="384" t="s">
        <v>51</v>
      </c>
      <c r="AH14" s="128" t="s">
        <v>254</v>
      </c>
    </row>
    <row r="15" spans="1:34" s="178" customFormat="1" ht="21" customHeight="1">
      <c r="A15" s="23">
        <v>2019</v>
      </c>
      <c r="B15" s="132">
        <v>1</v>
      </c>
      <c r="C15" s="133">
        <v>6</v>
      </c>
      <c r="D15" s="134">
        <v>1</v>
      </c>
      <c r="E15" s="134">
        <v>6</v>
      </c>
      <c r="F15" s="134">
        <v>0</v>
      </c>
      <c r="G15" s="134">
        <v>0</v>
      </c>
      <c r="H15" s="133">
        <v>4</v>
      </c>
      <c r="I15" s="134">
        <v>1</v>
      </c>
      <c r="J15" s="134">
        <v>3</v>
      </c>
      <c r="K15" s="133">
        <v>32585</v>
      </c>
      <c r="L15" s="134">
        <v>1480</v>
      </c>
      <c r="M15" s="134">
        <v>31105</v>
      </c>
      <c r="N15" s="133">
        <v>24395</v>
      </c>
      <c r="O15" s="134">
        <v>1480</v>
      </c>
      <c r="P15" s="134">
        <v>22915</v>
      </c>
      <c r="Q15" s="133">
        <v>4</v>
      </c>
      <c r="R15" s="134">
        <v>1</v>
      </c>
      <c r="S15" s="134">
        <v>3</v>
      </c>
      <c r="T15" s="133">
        <v>21291</v>
      </c>
      <c r="U15" s="134">
        <v>11208</v>
      </c>
      <c r="V15" s="134">
        <v>10083</v>
      </c>
      <c r="W15" s="133">
        <v>14313</v>
      </c>
      <c r="X15" s="134">
        <v>9901</v>
      </c>
      <c r="Y15" s="134">
        <v>4412</v>
      </c>
      <c r="Z15" s="133">
        <v>1</v>
      </c>
      <c r="AA15" s="134">
        <v>1</v>
      </c>
      <c r="AB15" s="134">
        <v>0</v>
      </c>
      <c r="AC15" s="133">
        <v>16447</v>
      </c>
      <c r="AD15" s="134">
        <v>16447</v>
      </c>
      <c r="AE15" s="134">
        <v>0</v>
      </c>
      <c r="AF15" s="133">
        <v>1360</v>
      </c>
      <c r="AG15" s="134">
        <v>1360</v>
      </c>
      <c r="AH15" s="134">
        <v>0</v>
      </c>
    </row>
    <row r="16" spans="1:34" s="178" customFormat="1" ht="21" customHeight="1" collapsed="1">
      <c r="A16" s="23">
        <v>2020</v>
      </c>
      <c r="B16" s="135">
        <v>1</v>
      </c>
      <c r="C16" s="35">
        <v>6</v>
      </c>
      <c r="D16" s="108">
        <v>1</v>
      </c>
      <c r="E16" s="108">
        <v>6</v>
      </c>
      <c r="F16" s="108">
        <v>0</v>
      </c>
      <c r="G16" s="108">
        <v>0</v>
      </c>
      <c r="H16" s="35">
        <v>4</v>
      </c>
      <c r="I16" s="108">
        <v>1</v>
      </c>
      <c r="J16" s="108">
        <v>3</v>
      </c>
      <c r="K16" s="35">
        <v>32295</v>
      </c>
      <c r="L16" s="108">
        <v>1480</v>
      </c>
      <c r="M16" s="108">
        <v>30815</v>
      </c>
      <c r="N16" s="35">
        <v>24948</v>
      </c>
      <c r="O16" s="108">
        <v>1480</v>
      </c>
      <c r="P16" s="108">
        <v>23468</v>
      </c>
      <c r="Q16" s="35">
        <v>4</v>
      </c>
      <c r="R16" s="108">
        <v>1</v>
      </c>
      <c r="S16" s="108">
        <v>3</v>
      </c>
      <c r="T16" s="35">
        <v>44089</v>
      </c>
      <c r="U16" s="108">
        <v>11208</v>
      </c>
      <c r="V16" s="108">
        <v>32881</v>
      </c>
      <c r="W16" s="35">
        <v>18504</v>
      </c>
      <c r="X16" s="108">
        <v>10444</v>
      </c>
      <c r="Y16" s="108">
        <v>8060</v>
      </c>
      <c r="Z16" s="35">
        <v>2</v>
      </c>
      <c r="AA16" s="108">
        <v>1</v>
      </c>
      <c r="AB16" s="108">
        <v>1</v>
      </c>
      <c r="AC16" s="35">
        <v>16888</v>
      </c>
      <c r="AD16" s="108">
        <v>16447</v>
      </c>
      <c r="AE16" s="108">
        <v>441</v>
      </c>
      <c r="AF16" s="35">
        <v>1710</v>
      </c>
      <c r="AG16" s="108">
        <v>1668</v>
      </c>
      <c r="AH16" s="108">
        <v>42</v>
      </c>
    </row>
    <row r="17" spans="1:36" s="179" customFormat="1" ht="20.25" customHeight="1">
      <c r="A17" s="23">
        <v>2021</v>
      </c>
      <c r="B17" s="135">
        <v>1</v>
      </c>
      <c r="C17" s="35">
        <v>6</v>
      </c>
      <c r="D17" s="281">
        <v>1</v>
      </c>
      <c r="E17" s="281">
        <v>6</v>
      </c>
      <c r="F17" s="281">
        <v>0</v>
      </c>
      <c r="G17" s="281">
        <v>0</v>
      </c>
      <c r="H17" s="35">
        <v>4</v>
      </c>
      <c r="I17" s="281">
        <v>1</v>
      </c>
      <c r="J17" s="281">
        <v>3</v>
      </c>
      <c r="K17" s="35">
        <v>32200</v>
      </c>
      <c r="L17" s="281">
        <v>1480</v>
      </c>
      <c r="M17" s="281">
        <v>30720</v>
      </c>
      <c r="N17" s="35">
        <v>24948</v>
      </c>
      <c r="O17" s="281">
        <v>1480</v>
      </c>
      <c r="P17" s="281">
        <v>23468</v>
      </c>
      <c r="Q17" s="35">
        <v>4</v>
      </c>
      <c r="R17" s="281">
        <v>1</v>
      </c>
      <c r="S17" s="281">
        <v>3</v>
      </c>
      <c r="T17" s="35">
        <v>46615</v>
      </c>
      <c r="U17" s="281">
        <v>12160</v>
      </c>
      <c r="V17" s="281">
        <v>34455</v>
      </c>
      <c r="W17" s="35">
        <v>17910</v>
      </c>
      <c r="X17" s="281">
        <v>9782</v>
      </c>
      <c r="Y17" s="281">
        <v>8128</v>
      </c>
      <c r="Z17" s="35">
        <v>3</v>
      </c>
      <c r="AA17" s="281">
        <v>1</v>
      </c>
      <c r="AB17" s="281">
        <v>2</v>
      </c>
      <c r="AC17" s="35">
        <v>16888</v>
      </c>
      <c r="AD17" s="281">
        <v>16447</v>
      </c>
      <c r="AE17" s="281">
        <v>441</v>
      </c>
      <c r="AF17" s="35">
        <v>2227</v>
      </c>
      <c r="AG17" s="281">
        <v>2171</v>
      </c>
      <c r="AH17" s="281">
        <v>56</v>
      </c>
    </row>
    <row r="18" spans="1:36" s="179" customFormat="1" ht="20.25" customHeight="1">
      <c r="A18" s="23">
        <v>2022</v>
      </c>
      <c r="B18" s="135">
        <v>1</v>
      </c>
      <c r="C18" s="35">
        <v>6</v>
      </c>
      <c r="D18" s="281">
        <v>1</v>
      </c>
      <c r="E18" s="281">
        <v>6</v>
      </c>
      <c r="F18" s="281">
        <v>0</v>
      </c>
      <c r="G18" s="281">
        <v>0</v>
      </c>
      <c r="H18" s="35">
        <v>4</v>
      </c>
      <c r="I18" s="281">
        <v>1</v>
      </c>
      <c r="J18" s="281">
        <v>3</v>
      </c>
      <c r="K18" s="35">
        <v>32200</v>
      </c>
      <c r="L18" s="281">
        <v>1480</v>
      </c>
      <c r="M18" s="281">
        <v>30720</v>
      </c>
      <c r="N18" s="35">
        <v>24948</v>
      </c>
      <c r="O18" s="281">
        <v>1480</v>
      </c>
      <c r="P18" s="281">
        <v>23468</v>
      </c>
      <c r="Q18" s="35">
        <v>5</v>
      </c>
      <c r="R18" s="281">
        <v>1</v>
      </c>
      <c r="S18" s="281">
        <v>4</v>
      </c>
      <c r="T18" s="35">
        <v>20663</v>
      </c>
      <c r="U18" s="281">
        <v>10992</v>
      </c>
      <c r="V18" s="281">
        <v>9671</v>
      </c>
      <c r="W18" s="35">
        <v>13636</v>
      </c>
      <c r="X18" s="281">
        <v>9301</v>
      </c>
      <c r="Y18" s="281">
        <v>4335</v>
      </c>
      <c r="Z18" s="35">
        <v>3</v>
      </c>
      <c r="AA18" s="281">
        <v>1</v>
      </c>
      <c r="AB18" s="281">
        <v>2</v>
      </c>
      <c r="AC18" s="35">
        <v>21877</v>
      </c>
      <c r="AD18" s="281">
        <v>16447</v>
      </c>
      <c r="AE18" s="281">
        <v>5430</v>
      </c>
      <c r="AF18" s="35">
        <v>2568</v>
      </c>
      <c r="AG18" s="281">
        <v>2466</v>
      </c>
      <c r="AH18" s="281">
        <v>102</v>
      </c>
    </row>
    <row r="19" spans="1:36" s="179" customFormat="1" ht="20.25" customHeight="1">
      <c r="A19" s="23">
        <v>2023</v>
      </c>
      <c r="B19" s="135">
        <v>1</v>
      </c>
      <c r="C19" s="35">
        <v>6</v>
      </c>
      <c r="D19" s="281">
        <v>1</v>
      </c>
      <c r="E19" s="281">
        <v>6</v>
      </c>
      <c r="F19" s="281">
        <v>0</v>
      </c>
      <c r="G19" s="281">
        <v>0</v>
      </c>
      <c r="H19" s="35">
        <v>4</v>
      </c>
      <c r="I19" s="281">
        <v>1</v>
      </c>
      <c r="J19" s="281">
        <v>3</v>
      </c>
      <c r="K19" s="35">
        <v>47581</v>
      </c>
      <c r="L19" s="281">
        <v>1480</v>
      </c>
      <c r="M19" s="281">
        <v>46101</v>
      </c>
      <c r="N19" s="35">
        <v>26289</v>
      </c>
      <c r="O19" s="281">
        <v>1480</v>
      </c>
      <c r="P19" s="281">
        <v>24809</v>
      </c>
      <c r="Q19" s="35">
        <v>6</v>
      </c>
      <c r="R19" s="281">
        <v>1</v>
      </c>
      <c r="S19" s="281">
        <v>5</v>
      </c>
      <c r="T19" s="35">
        <v>46647</v>
      </c>
      <c r="U19" s="281">
        <v>10992</v>
      </c>
      <c r="V19" s="281">
        <v>35655</v>
      </c>
      <c r="W19" s="35">
        <v>19531</v>
      </c>
      <c r="X19" s="281">
        <v>10069</v>
      </c>
      <c r="Y19" s="281">
        <v>9462</v>
      </c>
      <c r="Z19" s="35">
        <v>3</v>
      </c>
      <c r="AA19" s="281">
        <v>1</v>
      </c>
      <c r="AB19" s="281">
        <v>2</v>
      </c>
      <c r="AC19" s="35">
        <v>21877</v>
      </c>
      <c r="AD19" s="281">
        <v>16447</v>
      </c>
      <c r="AE19" s="281">
        <v>5430</v>
      </c>
      <c r="AF19" s="35">
        <v>3925</v>
      </c>
      <c r="AG19" s="281">
        <v>3823</v>
      </c>
      <c r="AH19" s="281">
        <v>102</v>
      </c>
    </row>
    <row r="20" spans="1:36" s="282" customFormat="1" ht="21" customHeight="1" thickBot="1">
      <c r="A20" s="361">
        <v>2024</v>
      </c>
      <c r="B20" s="885">
        <v>1</v>
      </c>
      <c r="C20" s="1018">
        <v>6</v>
      </c>
      <c r="D20" s="1019">
        <v>1</v>
      </c>
      <c r="E20" s="1019">
        <v>6</v>
      </c>
      <c r="F20" s="1186">
        <v>0</v>
      </c>
      <c r="G20" s="1019">
        <v>0</v>
      </c>
      <c r="H20" s="1018">
        <v>4</v>
      </c>
      <c r="I20" s="1019">
        <v>1</v>
      </c>
      <c r="J20" s="1019">
        <v>3</v>
      </c>
      <c r="K20" s="1018">
        <f>L20+M20</f>
        <v>47581</v>
      </c>
      <c r="L20" s="1019">
        <v>1480</v>
      </c>
      <c r="M20" s="1019">
        <v>46101</v>
      </c>
      <c r="N20" s="1018">
        <f>O20+P20</f>
        <v>27787</v>
      </c>
      <c r="O20" s="1019">
        <v>1480</v>
      </c>
      <c r="P20" s="1019">
        <v>26307</v>
      </c>
      <c r="Q20" s="1018">
        <f>SUM(R20:S20)</f>
        <v>6</v>
      </c>
      <c r="R20" s="1019">
        <v>1</v>
      </c>
      <c r="S20" s="1019">
        <v>5</v>
      </c>
      <c r="T20" s="1018">
        <v>25212</v>
      </c>
      <c r="U20" s="1019">
        <v>10992</v>
      </c>
      <c r="V20" s="1019">
        <v>14220</v>
      </c>
      <c r="W20" s="1018">
        <f>X20+Y20</f>
        <v>15650</v>
      </c>
      <c r="X20" s="1019">
        <v>10364</v>
      </c>
      <c r="Y20" s="1019">
        <v>5286</v>
      </c>
      <c r="Z20" s="1018">
        <v>3</v>
      </c>
      <c r="AA20" s="1019">
        <v>1</v>
      </c>
      <c r="AB20" s="1019">
        <v>2</v>
      </c>
      <c r="AC20" s="1018" t="e">
        <f>AD20+AE20</f>
        <v>#VALUE!</v>
      </c>
      <c r="AD20" s="1019">
        <v>16447</v>
      </c>
      <c r="AE20" s="1019" t="s">
        <v>1796</v>
      </c>
      <c r="AF20" s="1018">
        <f>SUM(AG20:AH20)</f>
        <v>4020</v>
      </c>
      <c r="AG20" s="1019">
        <v>3828</v>
      </c>
      <c r="AH20" s="1019">
        <v>192</v>
      </c>
    </row>
    <row r="21" spans="1:36" s="181" customFormat="1" ht="15" customHeight="1">
      <c r="A21" s="1677" t="s">
        <v>1220</v>
      </c>
      <c r="B21" s="1677"/>
      <c r="C21" s="1677"/>
      <c r="D21" s="1677"/>
      <c r="E21" s="1677"/>
      <c r="F21" s="1677"/>
      <c r="G21" s="1677"/>
      <c r="H21" s="1677"/>
      <c r="I21" s="1677"/>
      <c r="J21" s="1677"/>
      <c r="K21" s="1677"/>
      <c r="L21" s="1677"/>
      <c r="M21" s="283"/>
      <c r="N21" s="284"/>
      <c r="O21" s="283"/>
      <c r="P21" s="283"/>
      <c r="Q21" s="284"/>
      <c r="R21" s="283"/>
      <c r="S21" s="283"/>
      <c r="T21" s="284"/>
      <c r="U21" s="283"/>
      <c r="V21" s="283"/>
      <c r="W21" s="284"/>
      <c r="X21" s="283"/>
      <c r="Y21" s="283"/>
      <c r="Z21" s="284"/>
      <c r="AA21" s="283"/>
      <c r="AB21" s="283"/>
      <c r="AC21" s="284"/>
      <c r="AD21" s="283"/>
      <c r="AE21" s="283"/>
      <c r="AF21" s="284"/>
      <c r="AG21" s="283"/>
      <c r="AH21" s="283"/>
      <c r="AI21" s="96"/>
      <c r="AJ21" s="96"/>
    </row>
    <row r="22" spans="1:36" s="181" customFormat="1" ht="15" customHeight="1">
      <c r="A22" s="231" t="s">
        <v>1219</v>
      </c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  <c r="M22" s="283"/>
      <c r="N22" s="284"/>
      <c r="O22" s="283"/>
      <c r="P22" s="283"/>
      <c r="Q22" s="284"/>
      <c r="R22" s="283"/>
      <c r="S22" s="283"/>
      <c r="T22" s="284"/>
      <c r="U22" s="283"/>
      <c r="V22" s="283"/>
      <c r="W22" s="284"/>
      <c r="X22" s="283"/>
      <c r="Y22" s="283"/>
      <c r="Z22" s="284"/>
      <c r="AA22" s="283"/>
      <c r="AB22" s="283"/>
      <c r="AC22" s="284"/>
      <c r="AD22" s="283"/>
      <c r="AE22" s="283"/>
      <c r="AF22" s="284"/>
      <c r="AG22" s="283"/>
      <c r="AH22" s="283"/>
      <c r="AI22" s="96"/>
      <c r="AJ22" s="96"/>
    </row>
    <row r="23" spans="1:36" s="181" customFormat="1" ht="12" customHeight="1">
      <c r="A23" s="26" t="s">
        <v>1724</v>
      </c>
      <c r="B23" s="231"/>
      <c r="C23" s="284"/>
      <c r="D23" s="283"/>
      <c r="E23" s="283"/>
      <c r="F23" s="283"/>
      <c r="G23" s="283"/>
      <c r="H23" s="284"/>
      <c r="I23" s="283"/>
      <c r="J23" s="283"/>
      <c r="K23" s="284"/>
      <c r="L23" s="283"/>
      <c r="M23" s="283"/>
      <c r="N23" s="284"/>
      <c r="O23" s="283"/>
      <c r="P23" s="283"/>
      <c r="Q23" s="284"/>
      <c r="R23" s="283"/>
      <c r="S23" s="283"/>
      <c r="T23" s="284"/>
      <c r="U23" s="283"/>
      <c r="V23" s="283"/>
      <c r="W23" s="284"/>
      <c r="X23" s="283"/>
      <c r="Y23" s="283"/>
      <c r="Z23" s="284"/>
      <c r="AA23" s="283"/>
      <c r="AB23" s="283"/>
      <c r="AC23" s="284"/>
      <c r="AD23" s="283"/>
      <c r="AE23" s="283"/>
      <c r="AF23" s="284"/>
      <c r="AG23" s="283"/>
      <c r="AH23" s="283"/>
      <c r="AI23" s="96"/>
      <c r="AJ23" s="96"/>
    </row>
    <row r="24" spans="1:36" s="27" customFormat="1" ht="12" customHeight="1">
      <c r="B24" s="26"/>
    </row>
  </sheetData>
  <sheetProtection selectLockedCells="1"/>
  <mergeCells count="4">
    <mergeCell ref="A21:L21"/>
    <mergeCell ref="D9:E9"/>
    <mergeCell ref="A3:AH3"/>
    <mergeCell ref="A4:AH4"/>
  </mergeCells>
  <phoneticPr fontId="3" type="noConversion"/>
  <printOptions horizontalCentered="1" gridLinesSet="0"/>
  <pageMargins left="0.25" right="0.25" top="0.75" bottom="0.75" header="0.3" footer="0.3"/>
  <pageSetup paperSize="9" scale="60" fitToHeight="0" pageOrder="overThenDown" orientation="landscape" blackAndWhite="1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4F81BD"/>
  </sheetPr>
  <dimension ref="A1:Q91"/>
  <sheetViews>
    <sheetView view="pageBreakPreview" zoomScaleNormal="100" zoomScaleSheetLayoutView="100" workbookViewId="0">
      <selection activeCell="A3" sqref="A3:Q3"/>
    </sheetView>
  </sheetViews>
  <sheetFormatPr defaultRowHeight="16.5"/>
  <cols>
    <col min="1" max="16384" width="9" style="50"/>
  </cols>
  <sheetData>
    <row r="1" spans="1:17">
      <c r="A1" s="279" t="s">
        <v>1351</v>
      </c>
      <c r="B1" s="279"/>
      <c r="C1" s="279"/>
      <c r="D1" s="279"/>
      <c r="E1" s="279"/>
      <c r="F1" s="279"/>
      <c r="G1" s="279"/>
      <c r="H1" s="279"/>
      <c r="I1" s="285"/>
    </row>
    <row r="2" spans="1:17" ht="13.5" customHeight="1">
      <c r="A2" s="279"/>
      <c r="B2" s="279"/>
      <c r="C2" s="279"/>
      <c r="D2" s="279"/>
      <c r="E2" s="279"/>
      <c r="F2" s="279"/>
      <c r="G2" s="279"/>
      <c r="H2" s="279"/>
      <c r="I2" s="285"/>
    </row>
    <row r="3" spans="1:17" ht="25.5">
      <c r="A3" s="1668" t="s">
        <v>1215</v>
      </c>
      <c r="B3" s="1668"/>
      <c r="C3" s="1668"/>
      <c r="D3" s="1668"/>
      <c r="E3" s="1668"/>
      <c r="F3" s="1668"/>
      <c r="G3" s="1668"/>
      <c r="H3" s="1668"/>
      <c r="I3" s="1668"/>
      <c r="J3" s="1668"/>
      <c r="K3" s="1668"/>
      <c r="L3" s="1668"/>
      <c r="M3" s="1668"/>
      <c r="N3" s="1668"/>
      <c r="O3" s="1668"/>
      <c r="P3" s="1668"/>
      <c r="Q3" s="1668"/>
    </row>
    <row r="4" spans="1:17" ht="25.5">
      <c r="A4" s="1602" t="s">
        <v>853</v>
      </c>
      <c r="B4" s="1602"/>
      <c r="C4" s="1602"/>
      <c r="D4" s="1602"/>
      <c r="E4" s="1602"/>
      <c r="F4" s="1602"/>
      <c r="G4" s="1602"/>
      <c r="H4" s="1602"/>
      <c r="I4" s="1602"/>
      <c r="J4" s="1602"/>
      <c r="K4" s="1602"/>
      <c r="L4" s="1602"/>
      <c r="M4" s="1602"/>
      <c r="N4" s="1602"/>
      <c r="O4" s="1602"/>
      <c r="P4" s="1602"/>
      <c r="Q4" s="1602"/>
    </row>
    <row r="5" spans="1:17" ht="9.9499999999999993" customHeight="1">
      <c r="A5" s="802"/>
      <c r="B5" s="802"/>
      <c r="C5" s="802"/>
      <c r="D5" s="802"/>
      <c r="E5" s="956"/>
      <c r="F5" s="802"/>
      <c r="G5" s="956"/>
      <c r="H5" s="802"/>
      <c r="I5" s="802"/>
      <c r="J5" s="802"/>
      <c r="K5" s="802"/>
      <c r="L5" s="802"/>
      <c r="M5" s="956"/>
      <c r="N5" s="802"/>
      <c r="O5" s="956"/>
      <c r="P5" s="802"/>
      <c r="Q5" s="802"/>
    </row>
    <row r="6" spans="1:17" ht="17.25" thickBot="1">
      <c r="A6" s="99" t="s">
        <v>557</v>
      </c>
      <c r="B6" s="111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12"/>
    </row>
    <row r="7" spans="1:17">
      <c r="A7" s="346" t="s">
        <v>558</v>
      </c>
      <c r="B7" s="1678" t="s">
        <v>1352</v>
      </c>
      <c r="C7" s="1679"/>
      <c r="D7" s="1679"/>
      <c r="E7" s="1679"/>
      <c r="F7" s="1679"/>
      <c r="G7" s="1679"/>
      <c r="H7" s="1679"/>
      <c r="I7" s="1679"/>
      <c r="J7" s="1678" t="s">
        <v>1353</v>
      </c>
      <c r="K7" s="1679"/>
      <c r="L7" s="1679"/>
      <c r="M7" s="1679"/>
      <c r="N7" s="1679"/>
      <c r="O7" s="1679"/>
      <c r="P7" s="1679"/>
      <c r="Q7" s="1679"/>
    </row>
    <row r="8" spans="1:17">
      <c r="A8" s="345"/>
      <c r="B8" s="113" t="s">
        <v>559</v>
      </c>
      <c r="C8" s="113" t="s">
        <v>560</v>
      </c>
      <c r="D8" s="114" t="s">
        <v>561</v>
      </c>
      <c r="E8" s="114" t="s">
        <v>1211</v>
      </c>
      <c r="F8" s="114" t="s">
        <v>562</v>
      </c>
      <c r="G8" s="114" t="s">
        <v>565</v>
      </c>
      <c r="H8" s="115" t="s">
        <v>1354</v>
      </c>
      <c r="I8" s="113" t="s">
        <v>564</v>
      </c>
      <c r="J8" s="342" t="s">
        <v>566</v>
      </c>
      <c r="K8" s="113" t="s">
        <v>560</v>
      </c>
      <c r="L8" s="114" t="s">
        <v>561</v>
      </c>
      <c r="M8" s="114" t="s">
        <v>563</v>
      </c>
      <c r="N8" s="114" t="s">
        <v>562</v>
      </c>
      <c r="O8" s="114" t="s">
        <v>565</v>
      </c>
      <c r="P8" s="115" t="s">
        <v>1355</v>
      </c>
      <c r="Q8" s="113" t="s">
        <v>564</v>
      </c>
    </row>
    <row r="9" spans="1:17">
      <c r="A9" s="345"/>
      <c r="B9" s="113"/>
      <c r="C9" s="113"/>
      <c r="D9" s="113" t="s">
        <v>567</v>
      </c>
      <c r="E9" s="113" t="s">
        <v>568</v>
      </c>
      <c r="F9" s="113"/>
      <c r="G9" s="113"/>
      <c r="H9" s="116"/>
      <c r="I9" s="113"/>
      <c r="J9" s="345"/>
      <c r="K9" s="113"/>
      <c r="L9" s="113" t="s">
        <v>567</v>
      </c>
      <c r="M9" s="113" t="s">
        <v>568</v>
      </c>
      <c r="N9" s="113"/>
      <c r="O9" s="113"/>
      <c r="P9" s="116"/>
      <c r="Q9" s="113"/>
    </row>
    <row r="10" spans="1:17">
      <c r="A10" s="345"/>
      <c r="B10" s="117"/>
      <c r="C10" s="117"/>
      <c r="D10" s="117"/>
      <c r="E10" s="117" t="s">
        <v>572</v>
      </c>
      <c r="F10" s="117"/>
      <c r="G10" s="117"/>
      <c r="H10" s="343" t="s">
        <v>1213</v>
      </c>
      <c r="I10" s="117"/>
      <c r="J10" s="118"/>
      <c r="K10" s="117"/>
      <c r="L10" s="117"/>
      <c r="M10" s="117" t="s">
        <v>572</v>
      </c>
      <c r="N10" s="117"/>
      <c r="O10" s="117"/>
      <c r="P10" s="343" t="s">
        <v>1213</v>
      </c>
      <c r="Q10" s="117"/>
    </row>
    <row r="11" spans="1:17">
      <c r="A11" s="56" t="s">
        <v>576</v>
      </c>
      <c r="B11" s="55" t="s">
        <v>570</v>
      </c>
      <c r="C11" s="55" t="s">
        <v>571</v>
      </c>
      <c r="D11" s="55" t="s">
        <v>572</v>
      </c>
      <c r="E11" s="55" t="s">
        <v>1212</v>
      </c>
      <c r="F11" s="55" t="s">
        <v>573</v>
      </c>
      <c r="G11" s="55" t="s">
        <v>575</v>
      </c>
      <c r="H11" s="55" t="s">
        <v>1214</v>
      </c>
      <c r="I11" s="55" t="s">
        <v>574</v>
      </c>
      <c r="J11" s="344" t="s">
        <v>281</v>
      </c>
      <c r="K11" s="55" t="s">
        <v>571</v>
      </c>
      <c r="L11" s="55" t="s">
        <v>572</v>
      </c>
      <c r="M11" s="55" t="s">
        <v>1212</v>
      </c>
      <c r="N11" s="55" t="s">
        <v>573</v>
      </c>
      <c r="O11" s="55" t="s">
        <v>575</v>
      </c>
      <c r="P11" s="344" t="s">
        <v>1214</v>
      </c>
      <c r="Q11" s="55" t="s">
        <v>1788</v>
      </c>
    </row>
    <row r="12" spans="1:17">
      <c r="A12" s="23">
        <v>2019</v>
      </c>
      <c r="B12" s="119">
        <v>225</v>
      </c>
      <c r="C12" s="120">
        <v>15</v>
      </c>
      <c r="D12" s="120">
        <v>14</v>
      </c>
      <c r="E12" s="120">
        <v>9</v>
      </c>
      <c r="F12" s="120">
        <v>67</v>
      </c>
      <c r="G12" s="120">
        <v>111</v>
      </c>
      <c r="H12" s="120">
        <v>2</v>
      </c>
      <c r="I12" s="120">
        <v>7</v>
      </c>
      <c r="J12" s="30">
        <v>8026</v>
      </c>
      <c r="K12" s="121">
        <v>996</v>
      </c>
      <c r="L12" s="121">
        <v>895</v>
      </c>
      <c r="M12" s="121">
        <v>509</v>
      </c>
      <c r="N12" s="121">
        <v>3141</v>
      </c>
      <c r="O12" s="121">
        <v>1853</v>
      </c>
      <c r="P12" s="121">
        <v>38</v>
      </c>
      <c r="Q12" s="121">
        <v>594</v>
      </c>
    </row>
    <row r="13" spans="1:17">
      <c r="A13" s="23">
        <v>2020</v>
      </c>
      <c r="B13" s="119">
        <v>215</v>
      </c>
      <c r="C13" s="120">
        <v>19</v>
      </c>
      <c r="D13" s="120">
        <v>14</v>
      </c>
      <c r="E13" s="120">
        <v>9</v>
      </c>
      <c r="F13" s="120">
        <v>66</v>
      </c>
      <c r="G13" s="120">
        <v>98</v>
      </c>
      <c r="H13" s="120">
        <v>2</v>
      </c>
      <c r="I13" s="120">
        <v>7</v>
      </c>
      <c r="J13" s="30">
        <v>7389</v>
      </c>
      <c r="K13" s="121">
        <v>1183</v>
      </c>
      <c r="L13" s="121">
        <v>770</v>
      </c>
      <c r="M13" s="121">
        <v>439</v>
      </c>
      <c r="N13" s="121">
        <v>2848</v>
      </c>
      <c r="O13" s="121">
        <v>1527</v>
      </c>
      <c r="P13" s="121">
        <v>32</v>
      </c>
      <c r="Q13" s="121">
        <v>590</v>
      </c>
    </row>
    <row r="14" spans="1:17">
      <c r="A14" s="23">
        <v>2021</v>
      </c>
      <c r="B14" s="119">
        <v>207</v>
      </c>
      <c r="C14" s="120">
        <v>19</v>
      </c>
      <c r="D14" s="120">
        <v>15</v>
      </c>
      <c r="E14" s="120">
        <v>8</v>
      </c>
      <c r="F14" s="120">
        <v>62</v>
      </c>
      <c r="G14" s="120">
        <v>93</v>
      </c>
      <c r="H14" s="120">
        <v>2</v>
      </c>
      <c r="I14" s="120">
        <v>8</v>
      </c>
      <c r="J14" s="30">
        <v>7128</v>
      </c>
      <c r="K14" s="121">
        <v>1287</v>
      </c>
      <c r="L14" s="121">
        <v>651</v>
      </c>
      <c r="M14" s="121">
        <v>351</v>
      </c>
      <c r="N14" s="121">
        <v>2708</v>
      </c>
      <c r="O14" s="121">
        <v>1491</v>
      </c>
      <c r="P14" s="121">
        <v>29</v>
      </c>
      <c r="Q14" s="121">
        <v>611</v>
      </c>
    </row>
    <row r="15" spans="1:17">
      <c r="A15" s="23">
        <v>2022</v>
      </c>
      <c r="B15" s="119">
        <v>198</v>
      </c>
      <c r="C15" s="120">
        <v>24</v>
      </c>
      <c r="D15" s="120">
        <v>14</v>
      </c>
      <c r="E15" s="120">
        <v>6</v>
      </c>
      <c r="F15" s="120">
        <v>59</v>
      </c>
      <c r="G15" s="120">
        <v>86</v>
      </c>
      <c r="H15" s="120">
        <v>1</v>
      </c>
      <c r="I15" s="120">
        <v>8</v>
      </c>
      <c r="J15" s="30">
        <v>6788</v>
      </c>
      <c r="K15" s="121">
        <v>1361</v>
      </c>
      <c r="L15" s="121">
        <v>595</v>
      </c>
      <c r="M15" s="121">
        <v>288</v>
      </c>
      <c r="N15" s="121">
        <v>2515</v>
      </c>
      <c r="O15" s="121">
        <v>1372</v>
      </c>
      <c r="P15" s="121">
        <v>9</v>
      </c>
      <c r="Q15" s="121">
        <v>648</v>
      </c>
    </row>
    <row r="16" spans="1:17">
      <c r="A16" s="23">
        <v>2023</v>
      </c>
      <c r="B16" s="119">
        <v>180</v>
      </c>
      <c r="C16" s="120">
        <v>25</v>
      </c>
      <c r="D16" s="120">
        <v>13</v>
      </c>
      <c r="E16" s="120">
        <v>5</v>
      </c>
      <c r="F16" s="120">
        <v>54</v>
      </c>
      <c r="G16" s="120">
        <v>74</v>
      </c>
      <c r="H16" s="120">
        <v>0</v>
      </c>
      <c r="I16" s="120">
        <v>9</v>
      </c>
      <c r="J16" s="30">
        <v>6289</v>
      </c>
      <c r="K16" s="121">
        <v>1434</v>
      </c>
      <c r="L16" s="121">
        <v>492</v>
      </c>
      <c r="M16" s="121">
        <v>220</v>
      </c>
      <c r="N16" s="121">
        <v>2267</v>
      </c>
      <c r="O16" s="121">
        <v>1168</v>
      </c>
      <c r="P16" s="121">
        <v>0</v>
      </c>
      <c r="Q16" s="121">
        <v>708</v>
      </c>
    </row>
    <row r="17" spans="1:17" s="21" customFormat="1">
      <c r="A17" s="92">
        <v>2024</v>
      </c>
      <c r="B17" s="886">
        <f t="shared" ref="B17:B42" si="0">SUM(C17:I17)</f>
        <v>170</v>
      </c>
      <c r="C17" s="887">
        <f>SUM(C18:C42)</f>
        <v>25</v>
      </c>
      <c r="D17" s="887">
        <f t="shared" ref="D17:I17" si="1">SUM(D18:D42)</f>
        <v>9</v>
      </c>
      <c r="E17" s="887">
        <f t="shared" si="1"/>
        <v>5</v>
      </c>
      <c r="F17" s="887">
        <f t="shared" si="1"/>
        <v>52</v>
      </c>
      <c r="G17" s="887">
        <f t="shared" si="1"/>
        <v>70</v>
      </c>
      <c r="H17" s="887">
        <f t="shared" si="1"/>
        <v>0</v>
      </c>
      <c r="I17" s="887">
        <f t="shared" si="1"/>
        <v>9</v>
      </c>
      <c r="J17" s="888">
        <f>SUM(K17:Q17)</f>
        <v>5809</v>
      </c>
      <c r="K17" s="888">
        <f t="shared" ref="K17:Q17" si="2">SUM(K18:K42)</f>
        <v>1379</v>
      </c>
      <c r="L17" s="888">
        <f t="shared" si="2"/>
        <v>320</v>
      </c>
      <c r="M17" s="888">
        <f>SUM(M18:M42)</f>
        <v>194</v>
      </c>
      <c r="N17" s="888">
        <f t="shared" si="2"/>
        <v>2122</v>
      </c>
      <c r="O17" s="888">
        <f t="shared" si="2"/>
        <v>1049</v>
      </c>
      <c r="P17" s="888">
        <f t="shared" si="2"/>
        <v>0</v>
      </c>
      <c r="Q17" s="888">
        <f t="shared" si="2"/>
        <v>745</v>
      </c>
    </row>
    <row r="18" spans="1:17">
      <c r="A18" s="93" t="s">
        <v>577</v>
      </c>
      <c r="B18" s="889">
        <f t="shared" si="0"/>
        <v>4</v>
      </c>
      <c r="C18" s="122">
        <v>0</v>
      </c>
      <c r="D18" s="120">
        <v>2</v>
      </c>
      <c r="E18" s="120">
        <v>0</v>
      </c>
      <c r="F18" s="120">
        <v>2</v>
      </c>
      <c r="G18" s="120">
        <v>0</v>
      </c>
      <c r="H18" s="122">
        <v>0</v>
      </c>
      <c r="I18" s="122"/>
      <c r="J18" s="891">
        <f t="shared" ref="J18:J42" si="3">SUM(K18:Q18)</f>
        <v>238</v>
      </c>
      <c r="K18" s="121">
        <v>0</v>
      </c>
      <c r="L18" s="121">
        <v>95</v>
      </c>
      <c r="M18" s="121">
        <v>0</v>
      </c>
      <c r="N18" s="121">
        <v>143</v>
      </c>
      <c r="O18" s="121">
        <v>0</v>
      </c>
      <c r="P18" s="121">
        <v>0</v>
      </c>
      <c r="Q18" s="121">
        <v>0</v>
      </c>
    </row>
    <row r="19" spans="1:17">
      <c r="A19" s="93" t="s">
        <v>578</v>
      </c>
      <c r="B19" s="889">
        <f t="shared" si="0"/>
        <v>21</v>
      </c>
      <c r="C19" s="120">
        <v>2</v>
      </c>
      <c r="D19" s="120">
        <v>3</v>
      </c>
      <c r="E19" s="120">
        <v>0</v>
      </c>
      <c r="F19" s="120">
        <v>8</v>
      </c>
      <c r="G19" s="120">
        <v>7</v>
      </c>
      <c r="H19" s="122">
        <v>0</v>
      </c>
      <c r="I19" s="120">
        <v>1</v>
      </c>
      <c r="J19" s="891">
        <f t="shared" si="3"/>
        <v>617</v>
      </c>
      <c r="K19" s="121">
        <v>70</v>
      </c>
      <c r="L19" s="121">
        <v>83</v>
      </c>
      <c r="M19" s="121">
        <v>0</v>
      </c>
      <c r="N19" s="121">
        <v>249</v>
      </c>
      <c r="O19" s="121">
        <v>126</v>
      </c>
      <c r="P19" s="121">
        <v>0</v>
      </c>
      <c r="Q19" s="121">
        <v>89</v>
      </c>
    </row>
    <row r="20" spans="1:17">
      <c r="A20" s="93" t="s">
        <v>534</v>
      </c>
      <c r="B20" s="889">
        <f t="shared" si="0"/>
        <v>0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891">
        <f t="shared" si="3"/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</row>
    <row r="21" spans="1:17">
      <c r="A21" s="93" t="s">
        <v>579</v>
      </c>
      <c r="B21" s="889">
        <f t="shared" si="0"/>
        <v>0</v>
      </c>
      <c r="C21" s="122">
        <v>0</v>
      </c>
      <c r="D21" s="120">
        <v>0</v>
      </c>
      <c r="E21" s="120">
        <v>0</v>
      </c>
      <c r="F21" s="122">
        <v>0</v>
      </c>
      <c r="G21" s="122">
        <v>0</v>
      </c>
      <c r="H21" s="122">
        <v>0</v>
      </c>
      <c r="I21" s="122">
        <v>0</v>
      </c>
      <c r="J21" s="891">
        <f t="shared" si="3"/>
        <v>0</v>
      </c>
      <c r="K21" s="121">
        <v>0</v>
      </c>
      <c r="L21" s="121">
        <v>0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</row>
    <row r="22" spans="1:17">
      <c r="A22" s="93" t="s">
        <v>536</v>
      </c>
      <c r="B22" s="889">
        <f t="shared" si="0"/>
        <v>17</v>
      </c>
      <c r="C22" s="120">
        <v>2</v>
      </c>
      <c r="D22" s="120">
        <v>1</v>
      </c>
      <c r="E22" s="120">
        <v>1</v>
      </c>
      <c r="F22" s="120">
        <v>6</v>
      </c>
      <c r="G22" s="120">
        <v>6</v>
      </c>
      <c r="H22" s="122">
        <v>0</v>
      </c>
      <c r="I22" s="120">
        <v>1</v>
      </c>
      <c r="J22" s="891">
        <f t="shared" si="3"/>
        <v>591</v>
      </c>
      <c r="K22" s="121">
        <v>92</v>
      </c>
      <c r="L22" s="121">
        <v>33</v>
      </c>
      <c r="M22" s="121">
        <v>55</v>
      </c>
      <c r="N22" s="121">
        <v>252</v>
      </c>
      <c r="O22" s="121">
        <v>75</v>
      </c>
      <c r="P22" s="121">
        <v>0</v>
      </c>
      <c r="Q22" s="121">
        <v>84</v>
      </c>
    </row>
    <row r="23" spans="1:17">
      <c r="A23" s="93" t="s">
        <v>537</v>
      </c>
      <c r="B23" s="889">
        <f t="shared" si="0"/>
        <v>0</v>
      </c>
      <c r="C23" s="122">
        <v>0</v>
      </c>
      <c r="D23" s="122">
        <v>0</v>
      </c>
      <c r="E23" s="122">
        <v>0</v>
      </c>
      <c r="F23" s="122">
        <v>0</v>
      </c>
      <c r="G23" s="122">
        <v>0</v>
      </c>
      <c r="H23" s="122">
        <v>0</v>
      </c>
      <c r="I23" s="122">
        <v>0</v>
      </c>
      <c r="J23" s="891">
        <f t="shared" si="3"/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122">
        <v>0</v>
      </c>
    </row>
    <row r="24" spans="1:17">
      <c r="A24" s="93" t="s">
        <v>538</v>
      </c>
      <c r="B24" s="889">
        <f t="shared" si="0"/>
        <v>3</v>
      </c>
      <c r="C24" s="122">
        <v>0</v>
      </c>
      <c r="D24" s="120">
        <v>1</v>
      </c>
      <c r="E24" s="120">
        <v>0</v>
      </c>
      <c r="F24" s="120">
        <v>1</v>
      </c>
      <c r="G24" s="120">
        <v>0</v>
      </c>
      <c r="H24" s="122">
        <v>0</v>
      </c>
      <c r="I24" s="120">
        <v>1</v>
      </c>
      <c r="J24" s="891">
        <f t="shared" si="3"/>
        <v>48</v>
      </c>
      <c r="K24" s="121">
        <v>0</v>
      </c>
      <c r="L24" s="121">
        <v>7</v>
      </c>
      <c r="M24" s="121">
        <v>0</v>
      </c>
      <c r="N24" s="121">
        <v>18</v>
      </c>
      <c r="O24" s="121">
        <v>0</v>
      </c>
      <c r="P24" s="121">
        <v>0</v>
      </c>
      <c r="Q24" s="121">
        <v>23</v>
      </c>
    </row>
    <row r="25" spans="1:17">
      <c r="A25" s="93" t="s">
        <v>539</v>
      </c>
      <c r="B25" s="889">
        <f t="shared" si="0"/>
        <v>1</v>
      </c>
      <c r="C25" s="122">
        <v>0</v>
      </c>
      <c r="D25" s="122">
        <v>0</v>
      </c>
      <c r="E25" s="122">
        <v>1</v>
      </c>
      <c r="F25" s="122">
        <v>0</v>
      </c>
      <c r="G25" s="122">
        <v>0</v>
      </c>
      <c r="H25" s="122">
        <v>0</v>
      </c>
      <c r="I25" s="122">
        <v>0</v>
      </c>
      <c r="J25" s="891">
        <f t="shared" si="3"/>
        <v>10</v>
      </c>
      <c r="K25" s="121">
        <v>0</v>
      </c>
      <c r="L25" s="121">
        <v>0</v>
      </c>
      <c r="M25" s="121">
        <v>10</v>
      </c>
      <c r="N25" s="121">
        <v>0</v>
      </c>
      <c r="O25" s="121">
        <v>0</v>
      </c>
      <c r="P25" s="121">
        <v>0</v>
      </c>
      <c r="Q25" s="121">
        <v>0</v>
      </c>
    </row>
    <row r="26" spans="1:17">
      <c r="A26" s="93" t="s">
        <v>540</v>
      </c>
      <c r="B26" s="889">
        <f t="shared" si="0"/>
        <v>1</v>
      </c>
      <c r="C26" s="122">
        <v>0</v>
      </c>
      <c r="D26" s="122">
        <v>0</v>
      </c>
      <c r="E26" s="122">
        <v>1</v>
      </c>
      <c r="F26" s="122">
        <v>0</v>
      </c>
      <c r="G26" s="122">
        <v>0</v>
      </c>
      <c r="H26" s="122">
        <v>0</v>
      </c>
      <c r="I26" s="122">
        <v>0</v>
      </c>
      <c r="J26" s="891">
        <f t="shared" si="3"/>
        <v>6</v>
      </c>
      <c r="K26" s="121">
        <v>0</v>
      </c>
      <c r="L26" s="121">
        <v>0</v>
      </c>
      <c r="M26" s="121">
        <v>6</v>
      </c>
      <c r="N26" s="121">
        <v>0</v>
      </c>
      <c r="O26" s="121">
        <v>0</v>
      </c>
      <c r="P26" s="121">
        <v>0</v>
      </c>
      <c r="Q26" s="121">
        <v>0</v>
      </c>
    </row>
    <row r="27" spans="1:17">
      <c r="A27" s="93" t="s">
        <v>541</v>
      </c>
      <c r="B27" s="889">
        <f t="shared" si="0"/>
        <v>0</v>
      </c>
      <c r="C27" s="122">
        <v>0</v>
      </c>
      <c r="D27" s="122">
        <v>0</v>
      </c>
      <c r="E27" s="122">
        <v>0</v>
      </c>
      <c r="F27" s="122">
        <v>0</v>
      </c>
      <c r="G27" s="122">
        <v>0</v>
      </c>
      <c r="H27" s="122">
        <v>0</v>
      </c>
      <c r="I27" s="122">
        <v>0</v>
      </c>
      <c r="J27" s="891">
        <f t="shared" si="3"/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1">
        <v>0</v>
      </c>
      <c r="Q27" s="121">
        <v>0</v>
      </c>
    </row>
    <row r="28" spans="1:17">
      <c r="A28" s="93" t="s">
        <v>580</v>
      </c>
      <c r="B28" s="889">
        <f t="shared" si="0"/>
        <v>6</v>
      </c>
      <c r="C28" s="120">
        <v>1</v>
      </c>
      <c r="D28" s="122">
        <v>0</v>
      </c>
      <c r="E28" s="122">
        <v>0</v>
      </c>
      <c r="F28" s="120">
        <v>1</v>
      </c>
      <c r="G28" s="120">
        <v>2</v>
      </c>
      <c r="H28" s="122">
        <v>0</v>
      </c>
      <c r="I28" s="120">
        <v>2</v>
      </c>
      <c r="J28" s="891">
        <f t="shared" si="3"/>
        <v>363</v>
      </c>
      <c r="K28" s="121">
        <v>40</v>
      </c>
      <c r="L28" s="121">
        <v>0</v>
      </c>
      <c r="M28" s="121">
        <v>0</v>
      </c>
      <c r="N28" s="121">
        <v>29</v>
      </c>
      <c r="O28" s="121">
        <v>35</v>
      </c>
      <c r="P28" s="121">
        <v>0</v>
      </c>
      <c r="Q28" s="121">
        <v>259</v>
      </c>
    </row>
    <row r="29" spans="1:17">
      <c r="A29" s="93" t="s">
        <v>581</v>
      </c>
      <c r="B29" s="889">
        <f t="shared" si="0"/>
        <v>1</v>
      </c>
      <c r="C29" s="122">
        <v>0</v>
      </c>
      <c r="D29" s="122">
        <v>0</v>
      </c>
      <c r="E29" s="122">
        <v>0</v>
      </c>
      <c r="F29" s="120">
        <v>1</v>
      </c>
      <c r="G29" s="120">
        <v>0</v>
      </c>
      <c r="H29" s="122">
        <v>0</v>
      </c>
      <c r="I29" s="122">
        <v>0</v>
      </c>
      <c r="J29" s="891">
        <f t="shared" si="3"/>
        <v>28</v>
      </c>
      <c r="K29" s="121">
        <v>0</v>
      </c>
      <c r="L29" s="121">
        <v>0</v>
      </c>
      <c r="M29" s="121">
        <v>0</v>
      </c>
      <c r="N29" s="121">
        <v>28</v>
      </c>
      <c r="O29" s="121">
        <v>0</v>
      </c>
      <c r="P29" s="121">
        <v>0</v>
      </c>
      <c r="Q29" s="121">
        <v>0</v>
      </c>
    </row>
    <row r="30" spans="1:17">
      <c r="A30" s="93" t="s">
        <v>582</v>
      </c>
      <c r="B30" s="889">
        <f t="shared" si="0"/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122">
        <v>0</v>
      </c>
      <c r="I30" s="30">
        <v>0</v>
      </c>
      <c r="J30" s="891">
        <f t="shared" si="3"/>
        <v>0</v>
      </c>
      <c r="K30" s="121">
        <v>0</v>
      </c>
      <c r="L30" s="121">
        <v>0</v>
      </c>
      <c r="M30" s="121">
        <v>0</v>
      </c>
      <c r="N30" s="121">
        <v>0</v>
      </c>
      <c r="O30" s="121">
        <v>0</v>
      </c>
      <c r="P30" s="121">
        <v>0</v>
      </c>
      <c r="Q30" s="121">
        <v>0</v>
      </c>
    </row>
    <row r="31" spans="1:17">
      <c r="A31" s="93" t="s">
        <v>545</v>
      </c>
      <c r="B31" s="889">
        <f t="shared" si="0"/>
        <v>3</v>
      </c>
      <c r="C31" s="286">
        <v>3</v>
      </c>
      <c r="D31" s="30">
        <v>0</v>
      </c>
      <c r="E31" s="30">
        <v>0</v>
      </c>
      <c r="F31" s="287">
        <v>0</v>
      </c>
      <c r="G31" s="287">
        <v>0</v>
      </c>
      <c r="H31" s="122">
        <v>0</v>
      </c>
      <c r="I31" s="288">
        <v>0</v>
      </c>
      <c r="J31" s="891">
        <f t="shared" si="3"/>
        <v>142</v>
      </c>
      <c r="K31" s="286">
        <v>142</v>
      </c>
      <c r="L31" s="1138">
        <v>0</v>
      </c>
      <c r="M31" s="1138">
        <v>0</v>
      </c>
      <c r="N31" s="287">
        <v>0</v>
      </c>
      <c r="O31" s="287">
        <v>0</v>
      </c>
      <c r="P31" s="121">
        <v>0</v>
      </c>
      <c r="Q31" s="121">
        <v>0</v>
      </c>
    </row>
    <row r="32" spans="1:17">
      <c r="A32" s="93" t="s">
        <v>583</v>
      </c>
      <c r="B32" s="889">
        <f t="shared" si="0"/>
        <v>6</v>
      </c>
      <c r="C32" s="286">
        <v>2</v>
      </c>
      <c r="D32" s="287">
        <v>0</v>
      </c>
      <c r="E32" s="287">
        <v>0</v>
      </c>
      <c r="F32" s="287">
        <v>0</v>
      </c>
      <c r="G32" s="286">
        <v>2</v>
      </c>
      <c r="H32" s="122">
        <v>0</v>
      </c>
      <c r="I32" s="289">
        <v>2</v>
      </c>
      <c r="J32" s="891">
        <f t="shared" si="3"/>
        <v>294</v>
      </c>
      <c r="K32" s="286">
        <v>155</v>
      </c>
      <c r="L32" s="287">
        <v>0</v>
      </c>
      <c r="M32" s="287">
        <v>0</v>
      </c>
      <c r="N32" s="286">
        <v>0</v>
      </c>
      <c r="O32" s="286">
        <v>22</v>
      </c>
      <c r="P32" s="121">
        <v>0</v>
      </c>
      <c r="Q32" s="289">
        <v>117</v>
      </c>
    </row>
    <row r="33" spans="1:17">
      <c r="A33" s="93" t="s">
        <v>584</v>
      </c>
      <c r="B33" s="889">
        <f t="shared" si="0"/>
        <v>3</v>
      </c>
      <c r="C33" s="286">
        <v>1</v>
      </c>
      <c r="D33" s="287">
        <v>0</v>
      </c>
      <c r="E33" s="287">
        <v>0</v>
      </c>
      <c r="F33" s="287">
        <v>0</v>
      </c>
      <c r="G33" s="286">
        <v>2</v>
      </c>
      <c r="H33" s="122">
        <v>0</v>
      </c>
      <c r="I33" s="287">
        <v>0</v>
      </c>
      <c r="J33" s="891">
        <f t="shared" si="3"/>
        <v>103</v>
      </c>
      <c r="K33" s="286">
        <v>83</v>
      </c>
      <c r="L33" s="287">
        <v>0</v>
      </c>
      <c r="M33" s="287">
        <v>0</v>
      </c>
      <c r="N33" s="287">
        <v>0</v>
      </c>
      <c r="O33" s="286">
        <v>20</v>
      </c>
      <c r="P33" s="121">
        <v>0</v>
      </c>
      <c r="Q33" s="287">
        <v>0</v>
      </c>
    </row>
    <row r="34" spans="1:17">
      <c r="A34" s="93" t="s">
        <v>548</v>
      </c>
      <c r="B34" s="889">
        <f t="shared" si="0"/>
        <v>8</v>
      </c>
      <c r="C34" s="290">
        <v>1</v>
      </c>
      <c r="D34" s="291">
        <v>0</v>
      </c>
      <c r="E34" s="291">
        <v>0</v>
      </c>
      <c r="F34" s="290">
        <v>2</v>
      </c>
      <c r="G34" s="290">
        <v>4</v>
      </c>
      <c r="H34" s="122">
        <v>0</v>
      </c>
      <c r="I34" s="289">
        <v>1</v>
      </c>
      <c r="J34" s="891">
        <f t="shared" si="3"/>
        <v>244</v>
      </c>
      <c r="K34" s="290">
        <v>43</v>
      </c>
      <c r="L34" s="291">
        <v>0</v>
      </c>
      <c r="M34" s="291">
        <v>0</v>
      </c>
      <c r="N34" s="290">
        <v>49</v>
      </c>
      <c r="O34" s="290">
        <v>76</v>
      </c>
      <c r="P34" s="121">
        <v>0</v>
      </c>
      <c r="Q34" s="287">
        <v>76</v>
      </c>
    </row>
    <row r="35" spans="1:17">
      <c r="A35" s="93" t="s">
        <v>549</v>
      </c>
      <c r="B35" s="889">
        <f t="shared" si="0"/>
        <v>9</v>
      </c>
      <c r="C35" s="290">
        <v>1</v>
      </c>
      <c r="D35" s="291">
        <v>0</v>
      </c>
      <c r="E35" s="291">
        <v>0</v>
      </c>
      <c r="F35" s="290">
        <v>3</v>
      </c>
      <c r="G35" s="290">
        <v>4</v>
      </c>
      <c r="H35" s="122">
        <v>0</v>
      </c>
      <c r="I35" s="290">
        <v>1</v>
      </c>
      <c r="J35" s="891">
        <f t="shared" si="3"/>
        <v>355</v>
      </c>
      <c r="K35" s="290">
        <v>69</v>
      </c>
      <c r="L35" s="291">
        <v>0</v>
      </c>
      <c r="M35" s="291">
        <v>0</v>
      </c>
      <c r="N35" s="290">
        <v>128</v>
      </c>
      <c r="O35" s="290">
        <v>61</v>
      </c>
      <c r="P35" s="121">
        <v>0</v>
      </c>
      <c r="Q35" s="290">
        <v>97</v>
      </c>
    </row>
    <row r="36" spans="1:17">
      <c r="A36" s="93" t="s">
        <v>550</v>
      </c>
      <c r="B36" s="889">
        <f t="shared" si="0"/>
        <v>3</v>
      </c>
      <c r="C36" s="37">
        <v>0</v>
      </c>
      <c r="D36" s="37">
        <v>0</v>
      </c>
      <c r="E36" s="37">
        <v>1</v>
      </c>
      <c r="F36" s="36">
        <v>1</v>
      </c>
      <c r="G36" s="36">
        <v>1</v>
      </c>
      <c r="H36" s="122">
        <v>0</v>
      </c>
      <c r="I36" s="37">
        <v>0</v>
      </c>
      <c r="J36" s="891">
        <f t="shared" si="3"/>
        <v>134</v>
      </c>
      <c r="K36" s="37">
        <v>0</v>
      </c>
      <c r="L36" s="37">
        <v>0</v>
      </c>
      <c r="M36" s="37">
        <v>93</v>
      </c>
      <c r="N36" s="36">
        <v>33</v>
      </c>
      <c r="O36" s="36">
        <v>8</v>
      </c>
      <c r="P36" s="121">
        <v>0</v>
      </c>
      <c r="Q36" s="37">
        <v>0</v>
      </c>
    </row>
    <row r="37" spans="1:17">
      <c r="A37" s="93" t="s">
        <v>551</v>
      </c>
      <c r="B37" s="889">
        <f t="shared" si="0"/>
        <v>2</v>
      </c>
      <c r="C37" s="36">
        <v>1</v>
      </c>
      <c r="D37" s="37">
        <v>0</v>
      </c>
      <c r="E37" s="37">
        <v>0</v>
      </c>
      <c r="F37" s="36">
        <v>1</v>
      </c>
      <c r="G37" s="120">
        <v>0</v>
      </c>
      <c r="H37" s="122">
        <v>0</v>
      </c>
      <c r="I37" s="37">
        <v>0</v>
      </c>
      <c r="J37" s="891">
        <f t="shared" si="3"/>
        <v>152</v>
      </c>
      <c r="K37" s="36">
        <v>83</v>
      </c>
      <c r="L37" s="37">
        <v>0</v>
      </c>
      <c r="M37" s="37">
        <v>0</v>
      </c>
      <c r="N37" s="36">
        <v>69</v>
      </c>
      <c r="O37" s="121">
        <v>0</v>
      </c>
      <c r="P37" s="121">
        <v>0</v>
      </c>
      <c r="Q37" s="37">
        <v>0</v>
      </c>
    </row>
    <row r="38" spans="1:17">
      <c r="A38" s="93" t="s">
        <v>552</v>
      </c>
      <c r="B38" s="889">
        <f t="shared" si="0"/>
        <v>1</v>
      </c>
      <c r="C38" s="37">
        <v>0</v>
      </c>
      <c r="D38" s="37">
        <v>0</v>
      </c>
      <c r="E38" s="37">
        <v>0</v>
      </c>
      <c r="F38" s="36">
        <v>1</v>
      </c>
      <c r="G38" s="120">
        <v>0</v>
      </c>
      <c r="H38" s="122">
        <v>0</v>
      </c>
      <c r="I38" s="37">
        <v>0</v>
      </c>
      <c r="J38" s="891">
        <f t="shared" si="3"/>
        <v>113</v>
      </c>
      <c r="K38" s="37">
        <v>0</v>
      </c>
      <c r="L38" s="37">
        <v>0</v>
      </c>
      <c r="M38" s="37">
        <v>0</v>
      </c>
      <c r="N38" s="36">
        <v>113</v>
      </c>
      <c r="O38" s="121">
        <v>0</v>
      </c>
      <c r="P38" s="121">
        <v>0</v>
      </c>
      <c r="Q38" s="37">
        <v>0</v>
      </c>
    </row>
    <row r="39" spans="1:17">
      <c r="A39" s="93" t="s">
        <v>553</v>
      </c>
      <c r="B39" s="889">
        <f t="shared" si="0"/>
        <v>20</v>
      </c>
      <c r="C39" s="37">
        <v>0</v>
      </c>
      <c r="D39" s="37">
        <v>0</v>
      </c>
      <c r="E39" s="37">
        <v>0</v>
      </c>
      <c r="F39" s="36">
        <v>6</v>
      </c>
      <c r="G39" s="36">
        <v>14</v>
      </c>
      <c r="H39" s="122">
        <v>0</v>
      </c>
      <c r="I39" s="37">
        <v>0</v>
      </c>
      <c r="J39" s="891">
        <f t="shared" si="3"/>
        <v>348</v>
      </c>
      <c r="K39" s="37">
        <v>0</v>
      </c>
      <c r="L39" s="37">
        <v>0</v>
      </c>
      <c r="M39" s="37">
        <v>0</v>
      </c>
      <c r="N39" s="36">
        <v>179</v>
      </c>
      <c r="O39" s="36">
        <v>169</v>
      </c>
      <c r="P39" s="37">
        <v>0</v>
      </c>
      <c r="Q39" s="37">
        <v>0</v>
      </c>
    </row>
    <row r="40" spans="1:17">
      <c r="A40" s="93" t="s">
        <v>554</v>
      </c>
      <c r="B40" s="889">
        <f t="shared" si="0"/>
        <v>32</v>
      </c>
      <c r="C40" s="36">
        <v>4</v>
      </c>
      <c r="D40" s="39">
        <v>0</v>
      </c>
      <c r="E40" s="37">
        <v>0</v>
      </c>
      <c r="F40" s="36">
        <v>10</v>
      </c>
      <c r="G40" s="36">
        <v>18</v>
      </c>
      <c r="H40" s="122">
        <v>0</v>
      </c>
      <c r="I40" s="37">
        <v>0</v>
      </c>
      <c r="J40" s="891">
        <f t="shared" si="3"/>
        <v>863</v>
      </c>
      <c r="K40" s="36">
        <v>187</v>
      </c>
      <c r="L40" s="39">
        <v>0</v>
      </c>
      <c r="M40" s="37">
        <v>0</v>
      </c>
      <c r="N40" s="36">
        <v>396</v>
      </c>
      <c r="O40" s="36">
        <v>280</v>
      </c>
      <c r="P40" s="37">
        <v>0</v>
      </c>
      <c r="Q40" s="37">
        <v>0</v>
      </c>
    </row>
    <row r="41" spans="1:17">
      <c r="A41" s="93" t="s">
        <v>555</v>
      </c>
      <c r="B41" s="889">
        <f t="shared" si="0"/>
        <v>10</v>
      </c>
      <c r="C41" s="36">
        <v>3</v>
      </c>
      <c r="D41" s="36">
        <v>1</v>
      </c>
      <c r="E41" s="37">
        <v>0</v>
      </c>
      <c r="F41" s="36">
        <v>3</v>
      </c>
      <c r="G41" s="36">
        <v>3</v>
      </c>
      <c r="H41" s="122">
        <v>0</v>
      </c>
      <c r="I41" s="37">
        <v>0</v>
      </c>
      <c r="J41" s="891">
        <f t="shared" si="3"/>
        <v>399</v>
      </c>
      <c r="K41" s="36">
        <v>162</v>
      </c>
      <c r="L41" s="36">
        <v>30</v>
      </c>
      <c r="M41" s="37">
        <v>0</v>
      </c>
      <c r="N41" s="36">
        <v>150</v>
      </c>
      <c r="O41" s="36">
        <v>57</v>
      </c>
      <c r="P41" s="37">
        <v>0</v>
      </c>
      <c r="Q41" s="37">
        <v>0</v>
      </c>
    </row>
    <row r="42" spans="1:17" ht="17.25" thickBot="1">
      <c r="A42" s="351" t="s">
        <v>585</v>
      </c>
      <c r="B42" s="890">
        <f t="shared" si="0"/>
        <v>19</v>
      </c>
      <c r="C42" s="957">
        <v>4</v>
      </c>
      <c r="D42" s="957">
        <v>1</v>
      </c>
      <c r="E42" s="957">
        <v>1</v>
      </c>
      <c r="F42" s="957">
        <v>6</v>
      </c>
      <c r="G42" s="957">
        <v>7</v>
      </c>
      <c r="H42" s="1139">
        <v>0</v>
      </c>
      <c r="I42" s="1000">
        <v>0</v>
      </c>
      <c r="J42" s="958">
        <f t="shared" si="3"/>
        <v>761</v>
      </c>
      <c r="K42" s="957">
        <v>253</v>
      </c>
      <c r="L42" s="957">
        <v>72</v>
      </c>
      <c r="M42" s="957">
        <v>30</v>
      </c>
      <c r="N42" s="957">
        <v>286</v>
      </c>
      <c r="O42" s="957">
        <v>120</v>
      </c>
      <c r="P42" s="1000">
        <v>0</v>
      </c>
      <c r="Q42" s="1000">
        <v>0</v>
      </c>
    </row>
    <row r="43" spans="1:17">
      <c r="A43" s="270" t="s">
        <v>1728</v>
      </c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</row>
    <row r="44" spans="1:17">
      <c r="A44" s="293"/>
      <c r="B44" s="293"/>
      <c r="C44" s="293"/>
      <c r="D44" s="293"/>
      <c r="E44" s="293"/>
      <c r="J44" s="269"/>
    </row>
    <row r="45" spans="1:17">
      <c r="J45" s="269"/>
    </row>
    <row r="46" spans="1:17">
      <c r="J46" s="269"/>
    </row>
    <row r="47" spans="1:17">
      <c r="A47" s="265"/>
      <c r="J47" s="269"/>
    </row>
    <row r="48" spans="1:17">
      <c r="J48" s="269"/>
    </row>
    <row r="49" spans="10:10">
      <c r="J49" s="269"/>
    </row>
    <row r="50" spans="10:10">
      <c r="J50" s="269"/>
    </row>
    <row r="51" spans="10:10">
      <c r="J51" s="269"/>
    </row>
    <row r="52" spans="10:10">
      <c r="J52" s="269"/>
    </row>
    <row r="53" spans="10:10">
      <c r="J53" s="269"/>
    </row>
    <row r="54" spans="10:10">
      <c r="J54" s="269"/>
    </row>
    <row r="55" spans="10:10">
      <c r="J55" s="269"/>
    </row>
    <row r="56" spans="10:10">
      <c r="J56" s="269"/>
    </row>
    <row r="57" spans="10:10">
      <c r="J57" s="269"/>
    </row>
    <row r="58" spans="10:10">
      <c r="J58" s="269"/>
    </row>
    <row r="59" spans="10:10">
      <c r="J59" s="269"/>
    </row>
    <row r="60" spans="10:10">
      <c r="J60" s="269"/>
    </row>
    <row r="61" spans="10:10">
      <c r="J61" s="269"/>
    </row>
    <row r="62" spans="10:10">
      <c r="J62" s="269"/>
    </row>
    <row r="63" spans="10:10">
      <c r="J63" s="269"/>
    </row>
    <row r="64" spans="10:10">
      <c r="J64" s="269"/>
    </row>
    <row r="65" spans="10:10">
      <c r="J65" s="269"/>
    </row>
    <row r="66" spans="10:10">
      <c r="J66" s="269"/>
    </row>
    <row r="67" spans="10:10">
      <c r="J67" s="269"/>
    </row>
    <row r="68" spans="10:10">
      <c r="J68" s="269"/>
    </row>
    <row r="69" spans="10:10">
      <c r="J69" s="269"/>
    </row>
    <row r="70" spans="10:10">
      <c r="J70" s="269"/>
    </row>
    <row r="71" spans="10:10">
      <c r="J71" s="269"/>
    </row>
    <row r="72" spans="10:10">
      <c r="J72" s="269"/>
    </row>
    <row r="73" spans="10:10">
      <c r="J73" s="269"/>
    </row>
    <row r="74" spans="10:10">
      <c r="J74" s="269"/>
    </row>
    <row r="75" spans="10:10">
      <c r="J75" s="269"/>
    </row>
    <row r="76" spans="10:10">
      <c r="J76" s="269"/>
    </row>
    <row r="77" spans="10:10">
      <c r="J77" s="269"/>
    </row>
    <row r="78" spans="10:10">
      <c r="J78" s="269"/>
    </row>
    <row r="79" spans="10:10">
      <c r="J79" s="269"/>
    </row>
    <row r="80" spans="10:10">
      <c r="J80" s="269"/>
    </row>
    <row r="81" spans="10:10">
      <c r="J81" s="269"/>
    </row>
    <row r="82" spans="10:10">
      <c r="J82" s="269"/>
    </row>
    <row r="83" spans="10:10">
      <c r="J83" s="269"/>
    </row>
    <row r="84" spans="10:10">
      <c r="J84" s="269"/>
    </row>
    <row r="85" spans="10:10">
      <c r="J85" s="269"/>
    </row>
    <row r="86" spans="10:10">
      <c r="J86" s="269"/>
    </row>
    <row r="87" spans="10:10">
      <c r="J87" s="269"/>
    </row>
    <row r="88" spans="10:10">
      <c r="J88" s="269"/>
    </row>
    <row r="89" spans="10:10">
      <c r="J89" s="269"/>
    </row>
    <row r="90" spans="10:10">
      <c r="J90" s="269"/>
    </row>
    <row r="91" spans="10:10">
      <c r="J91" s="269"/>
    </row>
  </sheetData>
  <mergeCells count="4">
    <mergeCell ref="B7:I7"/>
    <mergeCell ref="J7:Q7"/>
    <mergeCell ref="A4:Q4"/>
    <mergeCell ref="A3:Q3"/>
  </mergeCells>
  <phoneticPr fontId="3" type="noConversion"/>
  <pageMargins left="0.7" right="0.7" top="0.75" bottom="0.75" header="0.3" footer="0.3"/>
  <pageSetup paperSize="9" scale="4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40</vt:i4>
      </vt:variant>
      <vt:variant>
        <vt:lpstr>이름 지정된 범위</vt:lpstr>
      </vt:variant>
      <vt:variant>
        <vt:i4>28</vt:i4>
      </vt:variant>
    </vt:vector>
  </HeadingPairs>
  <TitlesOfParts>
    <vt:vector size="68" baseType="lpstr">
      <vt:lpstr>01.의료기관</vt:lpstr>
      <vt:lpstr>02.의료기관종사의료인력</vt:lpstr>
      <vt:lpstr>03.보건소인력</vt:lpstr>
      <vt:lpstr>04.보건지소인력</vt:lpstr>
      <vt:lpstr>05.의약품제조판매</vt:lpstr>
      <vt:lpstr>06.식품위생업소</vt:lpstr>
      <vt:lpstr>07.공중위생업소</vt:lpstr>
      <vt:lpstr>08.예방접종</vt:lpstr>
      <vt:lpstr>9.법정감염병(1급)</vt:lpstr>
      <vt:lpstr>9-1.법정감염병(2급)</vt:lpstr>
      <vt:lpstr>9-2. 법정감염병(3~4급) (2)</vt:lpstr>
      <vt:lpstr>10.한센사업대상자현황</vt:lpstr>
      <vt:lpstr>11.결핵환자현황</vt:lpstr>
      <vt:lpstr>12.구강보건사업</vt:lpstr>
      <vt:lpstr>13.모자보건사업</vt:lpstr>
      <vt:lpstr>14.건강보험적용인구</vt:lpstr>
      <vt:lpstr>15.건강보험급여</vt:lpstr>
      <vt:lpstr>16.건강보험대상자진료실적</vt:lpstr>
      <vt:lpstr>17.국민연금가입자</vt:lpstr>
      <vt:lpstr>18.국민연금급여지급현황</vt:lpstr>
      <vt:lpstr>19.보훈대상자</vt:lpstr>
      <vt:lpstr>20.국가보훈대상자취업</vt:lpstr>
      <vt:lpstr>21.국가보훈대상자및자녀취학</vt:lpstr>
      <vt:lpstr>22.참전유공자등록현황</vt:lpstr>
      <vt:lpstr>23.적십자회비</vt:lpstr>
      <vt:lpstr>24.노인여가복지시설</vt:lpstr>
      <vt:lpstr>25.노인주거복지시설</vt:lpstr>
      <vt:lpstr>26.노인의료복지시설</vt:lpstr>
      <vt:lpstr>27.재가노인복지시설</vt:lpstr>
      <vt:lpstr>28.국민기초생활보장수급자</vt:lpstr>
      <vt:lpstr>29.기초연금수급자수</vt:lpstr>
      <vt:lpstr>30.여성복지시설</vt:lpstr>
      <vt:lpstr>31.여성폭력상담</vt:lpstr>
      <vt:lpstr>32.아동복지시설</vt:lpstr>
      <vt:lpstr>33.장애인 거주시설 수및 입소현황</vt:lpstr>
      <vt:lpstr>34.장애인등록</vt:lpstr>
      <vt:lpstr>35.노숙인 생활시설</vt:lpstr>
      <vt:lpstr>36.저소득한부모가족</vt:lpstr>
      <vt:lpstr>37.묘지및봉안시설</vt:lpstr>
      <vt:lpstr>38.어린이집</vt:lpstr>
      <vt:lpstr>'01.의료기관'!Print_Area</vt:lpstr>
      <vt:lpstr>'03.보건소인력'!Print_Area</vt:lpstr>
      <vt:lpstr>'04.보건지소인력'!Print_Area</vt:lpstr>
      <vt:lpstr>'05.의약품제조판매'!Print_Area</vt:lpstr>
      <vt:lpstr>'06.식품위생업소'!Print_Area</vt:lpstr>
      <vt:lpstr>'07.공중위생업소'!Print_Area</vt:lpstr>
      <vt:lpstr>'08.예방접종'!Print_Area</vt:lpstr>
      <vt:lpstr>'11.결핵환자현황'!Print_Area</vt:lpstr>
      <vt:lpstr>'12.구강보건사업'!Print_Area</vt:lpstr>
      <vt:lpstr>'13.모자보건사업'!Print_Area</vt:lpstr>
      <vt:lpstr>'14.건강보험적용인구'!Print_Area</vt:lpstr>
      <vt:lpstr>'15.건강보험급여'!Print_Area</vt:lpstr>
      <vt:lpstr>'17.국민연금가입자'!Print_Area</vt:lpstr>
      <vt:lpstr>'18.국민연금급여지급현황'!Print_Area</vt:lpstr>
      <vt:lpstr>'19.보훈대상자'!Print_Area</vt:lpstr>
      <vt:lpstr>'23.적십자회비'!Print_Area</vt:lpstr>
      <vt:lpstr>'24.노인여가복지시설'!Print_Area</vt:lpstr>
      <vt:lpstr>'28.국민기초생활보장수급자'!Print_Area</vt:lpstr>
      <vt:lpstr>'29.기초연금수급자수'!Print_Area</vt:lpstr>
      <vt:lpstr>'30.여성복지시설'!Print_Area</vt:lpstr>
      <vt:lpstr>'33.장애인 거주시설 수및 입소현황'!Print_Area</vt:lpstr>
      <vt:lpstr>'34.장애인등록'!Print_Area</vt:lpstr>
      <vt:lpstr>'35.노숙인 생활시설'!Print_Area</vt:lpstr>
      <vt:lpstr>'36.저소득한부모가족'!Print_Area</vt:lpstr>
      <vt:lpstr>'37.묘지및봉안시설'!Print_Area</vt:lpstr>
      <vt:lpstr>'9.법정감염병(1급)'!Print_Area</vt:lpstr>
      <vt:lpstr>'9-1.법정감염병(2급)'!Print_Area</vt:lpstr>
      <vt:lpstr>'9-2. 법정감염병(3~4급)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DAEWOO</dc:creator>
  <cp:lastModifiedBy>user</cp:lastModifiedBy>
  <cp:lastPrinted>2021-04-16T01:46:00Z</cp:lastPrinted>
  <dcterms:created xsi:type="dcterms:W3CDTF">2018-01-08T07:02:51Z</dcterms:created>
  <dcterms:modified xsi:type="dcterms:W3CDTF">2026-06-16T08:40:46Z</dcterms:modified>
</cp:coreProperties>
</file>